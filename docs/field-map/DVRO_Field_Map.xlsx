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ventory" sheetId="2" state="visible" r:id="rId2"/>
    <sheet xmlns:r="http://schemas.openxmlformats.org/officeDocument/2006/relationships" name="DV-100" sheetId="3" state="visible" r:id="rId3"/>
    <sheet xmlns:r="http://schemas.openxmlformats.org/officeDocument/2006/relationships" name="CLETS-001" sheetId="4" state="visible" r:id="rId4"/>
    <sheet xmlns:r="http://schemas.openxmlformats.org/officeDocument/2006/relationships" name="DV-109" sheetId="5" state="visible" r:id="rId5"/>
    <sheet xmlns:r="http://schemas.openxmlformats.org/officeDocument/2006/relationships" name="DV-110" sheetId="6" state="visible" r:id="rId6"/>
    <sheet xmlns:r="http://schemas.openxmlformats.org/officeDocument/2006/relationships" name="DV-101" sheetId="7" state="visible" r:id="rId7"/>
    <sheet xmlns:r="http://schemas.openxmlformats.org/officeDocument/2006/relationships" name="DV-105" sheetId="8" state="visible" r:id="rId8"/>
    <sheet xmlns:r="http://schemas.openxmlformats.org/officeDocument/2006/relationships" name="DV-105(A)" sheetId="9" state="visible" r:id="rId9"/>
    <sheet xmlns:r="http://schemas.openxmlformats.org/officeDocument/2006/relationships" name="DV-140" sheetId="10" state="visible" r:id="rId10"/>
    <sheet xmlns:r="http://schemas.openxmlformats.org/officeDocument/2006/relationships" name="DV-108" sheetId="11" state="visible" r:id="rId11"/>
    <sheet xmlns:r="http://schemas.openxmlformats.org/officeDocument/2006/relationships" name="DV-145" sheetId="12" state="visible" r:id="rId12"/>
    <sheet xmlns:r="http://schemas.openxmlformats.org/officeDocument/2006/relationships" name="DV-160" sheetId="13" state="visible" r:id="rId13"/>
    <sheet xmlns:r="http://schemas.openxmlformats.org/officeDocument/2006/relationships" name="DV-165" sheetId="14" state="visible" r:id="rId14"/>
    <sheet xmlns:r="http://schemas.openxmlformats.org/officeDocument/2006/relationships" name="DV-170" sheetId="15" state="visible" r:id="rId15"/>
    <sheet xmlns:r="http://schemas.openxmlformats.org/officeDocument/2006/relationships" name="DV-900" sheetId="16" state="visible" r:id="rId16"/>
    <sheet xmlns:r="http://schemas.openxmlformats.org/officeDocument/2006/relationships" name="DV-901" sheetId="17" state="visible" r:id="rId17"/>
    <sheet xmlns:r="http://schemas.openxmlformats.org/officeDocument/2006/relationships" name="FL-150" sheetId="18" state="visible" r:id="rId18"/>
    <sheet xmlns:r="http://schemas.openxmlformats.org/officeDocument/2006/relationships" name="FL-155" sheetId="19" state="visible" r:id="rId19"/>
    <sheet xmlns:r="http://schemas.openxmlformats.org/officeDocument/2006/relationships" name="INT-300" sheetId="20" state="visible" r:id="rId20"/>
    <sheet xmlns:r="http://schemas.openxmlformats.org/officeDocument/2006/relationships" name="SER-001" sheetId="21" state="visible" r:id="rId21"/>
    <sheet xmlns:r="http://schemas.openxmlformats.org/officeDocument/2006/relationships" name="DV-200" sheetId="22" state="visible" r:id="rId22"/>
    <sheet xmlns:r="http://schemas.openxmlformats.org/officeDocument/2006/relationships" name="DV-250" sheetId="23" state="visible" r:id="rId23"/>
    <sheet xmlns:r="http://schemas.openxmlformats.org/officeDocument/2006/relationships" name="DV-210" sheetId="24" state="visible" r:id="rId24"/>
    <sheet xmlns:r="http://schemas.openxmlformats.org/officeDocument/2006/relationships" name="DV-130" sheetId="25" state="visible" r:id="rId25"/>
    <sheet xmlns:r="http://schemas.openxmlformats.org/officeDocument/2006/relationships" name="DV-150" sheetId="26" state="visible" r:id="rId26"/>
    <sheet xmlns:r="http://schemas.openxmlformats.org/officeDocument/2006/relationships" name="DV-175" sheetId="27" state="visible" r:id="rId27"/>
    <sheet xmlns:r="http://schemas.openxmlformats.org/officeDocument/2006/relationships" name="FL-351" sheetId="28" state="visible" r:id="rId28"/>
    <sheet xmlns:r="http://schemas.openxmlformats.org/officeDocument/2006/relationships" name="Gaps" sheetId="29" state="visible" r:id="rId29"/>
  </sheets>
  <definedNames>
    <definedName name="_xlnm._FilterDatabase" localSheetId="1" hidden="1">'Inventory'!$A$1:$P$33</definedName>
    <definedName name="_xlnm._FilterDatabase" localSheetId="2" hidden="1">'DV-100'!$A$1:$O$336</definedName>
    <definedName name="_xlnm._FilterDatabase" localSheetId="3" hidden="1">'CLETS-001'!$A$1:$O$54</definedName>
    <definedName name="_xlnm._FilterDatabase" localSheetId="4" hidden="1">'DV-109'!$A$1:$O$44</definedName>
    <definedName name="_xlnm._FilterDatabase" localSheetId="5" hidden="1">'DV-110'!$A$1:$O$198</definedName>
    <definedName name="_xlnm._FilterDatabase" localSheetId="6" hidden="1">'DV-101'!$A$1:$O$35</definedName>
    <definedName name="_xlnm._FilterDatabase" localSheetId="7" hidden="1">'DV-105'!$A$1:$O$275</definedName>
    <definedName name="_xlnm._FilterDatabase" localSheetId="8" hidden="1">'DV-105(A)'!$A$1:$O$111</definedName>
    <definedName name="_xlnm._FilterDatabase" localSheetId="9" hidden="1">'DV-140'!$A$1:$O$226</definedName>
    <definedName name="_xlnm._FilterDatabase" localSheetId="10" hidden="1">'DV-108'!$A$1:$O$62</definedName>
    <definedName name="_xlnm._FilterDatabase" localSheetId="11" hidden="1">'DV-145'!$A$1:$O$78</definedName>
    <definedName name="_xlnm._FilterDatabase" localSheetId="12" hidden="1">'DV-160'!$A$1:$O$80</definedName>
    <definedName name="_xlnm._FilterDatabase" localSheetId="13" hidden="1">'DV-165'!$A$1:$O$99</definedName>
    <definedName name="_xlnm._FilterDatabase" localSheetId="14" hidden="1">'DV-170'!$A$1:$O$16</definedName>
    <definedName name="_xlnm._FilterDatabase" localSheetId="15" hidden="1">'DV-900'!$A$1:$O$25</definedName>
    <definedName name="_xlnm._FilterDatabase" localSheetId="16" hidden="1">'DV-901'!$A$1:$O$14</definedName>
    <definedName name="_xlnm._FilterDatabase" localSheetId="17" hidden="1">'FL-150'!$A$1:$O$267</definedName>
    <definedName name="_xlnm._FilterDatabase" localSheetId="18" hidden="1">'FL-155'!$A$1:$O$101</definedName>
    <definedName name="_xlnm._FilterDatabase" localSheetId="19" hidden="1">'INT-300'!$A$1:$O$41</definedName>
    <definedName name="_xlnm._FilterDatabase" localSheetId="20" hidden="1">'SER-001'!$A$1:$O$96</definedName>
    <definedName name="_xlnm._FilterDatabase" localSheetId="21" hidden="1">'DV-200'!$A$1:$O$37</definedName>
    <definedName name="_xlnm._FilterDatabase" localSheetId="22" hidden="1">'DV-250'!$A$1:$O$34</definedName>
    <definedName name="_xlnm._FilterDatabase" localSheetId="23" hidden="1">'DV-210'!$A$1:$O$17</definedName>
    <definedName name="_xlnm._FilterDatabase" localSheetId="24" hidden="1">'DV-130'!$A$1:$O$252</definedName>
    <definedName name="_xlnm._FilterDatabase" localSheetId="25" hidden="1">'DV-150'!$A$1:$O$77</definedName>
    <definedName name="_xlnm._FilterDatabase" localSheetId="26" hidden="1">'DV-175'!$A$1:$O$23</definedName>
    <definedName name="_xlnm._FilterDatabase" localSheetId="27" hidden="1">'FL-351'!$A$1:$O$124</definedName>
    <definedName name="_xlnm._FilterDatabase" localSheetId="28" hidden="1">'Gaps'!$A$1:$G$26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sz val="11"/>
    </font>
    <font>
      <b val="1"/>
      <color rgb="00FFFFFF"/>
    </font>
  </fonts>
  <fills count="7">
    <fill>
      <patternFill/>
    </fill>
    <fill>
      <patternFill patternType="gray125"/>
    </fill>
    <fill>
      <patternFill patternType="solid">
        <fgColor rgb="001F3A5F"/>
      </patternFill>
    </fill>
    <fill>
      <patternFill patternType="solid">
        <fgColor rgb="00EAF2FB"/>
      </patternFill>
    </fill>
    <fill>
      <patternFill patternType="solid">
        <fgColor rgb="00F2F2F2"/>
      </patternFill>
    </fill>
    <fill>
      <patternFill patternType="solid">
        <fgColor rgb="00FFF4E0"/>
      </patternFill>
    </fill>
    <fill>
      <patternFill patternType="solid">
        <fgColor rgb="00F1ECFA"/>
      </patternFill>
    </fill>
  </fills>
  <borders count="2">
    <border>
      <left/>
      <right/>
      <top/>
      <bottom/>
      <diagonal/>
    </border>
    <border>
      <bottom style="thin">
        <color rgb="00D0D0D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20" customWidth="1" min="2" max="2"/>
  </cols>
  <sheetData>
    <row r="1">
      <c r="A1" s="1" t="inlineStr">
        <is>
          <t>DVRO field map: v1 (all forms)</t>
        </is>
      </c>
      <c r="B1" s="2" t="inlineStr">
        <is>
          <t>Oct 14, 2026. Built from the 32 PDFs in "California DV Court Forms (English) copy" and the DVRO Questionnaire Map (updated in pass 2). All 26 forms with fillable fields are mapped (DV-570 is logic-only and has none): one tab per form, in packet order, plus the Gaps tab. Every fillable field has a source.</t>
        </is>
      </c>
    </row>
    <row r="2">
      <c r="A2" s="2" t="inlineStr"/>
      <c r="B2" s="2" t="inlineStr"/>
    </row>
    <row r="3">
      <c r="A3" s="3" t="inlineStr">
        <is>
          <t>Columns</t>
        </is>
      </c>
      <c r="B3" s="2" t="inlineStr"/>
    </row>
    <row r="4">
      <c r="A4" s="2" t="inlineStr">
        <is>
          <t>Page</t>
        </is>
      </c>
      <c r="B4" s="2" t="inlineStr">
        <is>
          <t>PDF page (1-based).</t>
        </is>
      </c>
    </row>
    <row r="5">
      <c r="A5" s="2" t="inlineStr">
        <is>
          <t>Item</t>
        </is>
      </c>
      <c r="B5" s="2" t="inlineStr">
        <is>
          <t>Printed item number and sub-item, e.g. 4a(1), 8b(1) row 2. "Caption" = header boxes.</t>
        </is>
      </c>
    </row>
    <row r="6">
      <c r="A6" s="2" t="inlineStr">
        <is>
          <t>Printed label</t>
        </is>
      </c>
      <c r="B6" s="2" t="inlineStr">
        <is>
          <t>The field tooltip (/TU), which matches the printed label. If the tooltip is empty, the text printed to the left of the field.</t>
        </is>
      </c>
    </row>
    <row r="7">
      <c r="A7" s="2" t="inlineStr">
        <is>
          <t>Field name</t>
        </is>
      </c>
      <c r="B7" s="2" t="inlineStr">
        <is>
          <t>Full official AcroForm name. Fill this exactly; no re-fielding.</t>
        </is>
      </c>
    </row>
    <row r="8">
      <c r="A8" s="2" t="inlineStr">
        <is>
          <t>Type</t>
        </is>
      </c>
      <c r="B8" s="2" t="inlineStr">
        <is>
          <t>text / checkbox / radio / dropdown. Every choice on the mapped forms is a checkbox; none of the forms has a radio group or dropdown.</t>
        </is>
      </c>
    </row>
    <row r="9">
      <c r="A9" s="2" t="inlineStr">
        <is>
          <t>Export value</t>
        </is>
      </c>
      <c r="B9" s="2" t="inlineStr">
        <is>
          <t>The "on" value for that checkbox. Values vary (1, 3, 5, 6, 8, 9, 11, 21, 99). Always set the widget's own value; never assume "Yes" or "On".</t>
        </is>
      </c>
    </row>
    <row r="10">
      <c r="A10" s="2" t="inlineStr">
        <is>
          <t>Max length</t>
        </is>
      </c>
      <c r="B10" s="2" t="inlineStr">
        <is>
          <t>The /MaxLen limit, if the PDF sets one. None on DV-100.</t>
        </is>
      </c>
    </row>
    <row r="11">
      <c r="A11" s="2" t="inlineStr">
        <is>
          <t>Position</t>
        </is>
      </c>
      <c r="B11" s="2" t="inlineStr">
        <is>
          <t>x0, y0, x1, y1 in points, measured from the top-left of the page (PyMuPDF convention).</t>
        </is>
      </c>
    </row>
    <row r="12">
      <c r="A12" s="2" t="inlineStr">
        <is>
          <t>Kind</t>
        </is>
      </c>
      <c r="B12" s="2" t="inlineStr">
        <is>
          <t>question = filled from a question ID · derived = calculated · court/clerk = left blank for the court · server = completed by whoever serves · ignore = UI button.</t>
        </is>
      </c>
    </row>
    <row r="13">
      <c r="A13" s="2" t="inlineStr">
        <is>
          <t>Question ID(s)</t>
        </is>
      </c>
      <c r="B13" s="2" t="inlineStr">
        <is>
          <t>IDs from the questionnaire map. A dotted suffix names one part of a multi-part answer (L4.city, O12.places). [n] = row n (0-based) of a repeat. cards[k] = incident card k.</t>
        </is>
      </c>
    </row>
    <row r="14">
      <c r="A14" s="2" t="inlineStr">
        <is>
          <t>Rule</t>
        </is>
      </c>
      <c r="B14" s="2" t="inlineStr">
        <is>
          <t>"= X" copies X. "check if &lt;condition&gt;" sets the field to its export value when true, otherwise Off. Helpers: age(dob, asOf), fmtDate() → MM/DD/YYYY, money() → 1,234.56 with no $, join(), fit() = what fits; the rest goes to an attachment. protected = roster.where(PR8 == "Y").</t>
        </is>
      </c>
    </row>
    <row r="15">
      <c r="A15" s="2" t="inlineStr">
        <is>
          <t>Fill when</t>
        </is>
      </c>
      <c r="B15" s="2" t="inlineStr">
        <is>
          <t>Condition for filling the field. When it is false, leave the field blank or Off.</t>
        </is>
      </c>
    </row>
    <row r="16">
      <c r="A16" s="2" t="inlineStr">
        <is>
          <t>Review</t>
        </is>
      </c>
      <c r="B16" s="2" t="inlineStr">
        <is>
          <t>Blank column for your review notes.</t>
        </is>
      </c>
    </row>
    <row r="17">
      <c r="A17" s="2" t="inlineStr"/>
      <c r="B17" s="2" t="inlineStr"/>
    </row>
    <row r="18">
      <c r="A18" s="3" t="inlineStr">
        <is>
          <t>Filling notes for the code</t>
        </is>
      </c>
      <c r="B18" s="2" t="inlineStr"/>
    </row>
    <row r="19">
      <c r="A19" s="2" t="inlineStr">
        <is>
          <t>XFA</t>
        </is>
      </c>
      <c r="B19" s="2" t="inlineStr">
        <is>
          <t>Every form except FL-155 and DV-570 is an XFA hybrid. Fill the AcroForm fields, then delete /XFA from the AcroForm dictionary. Otherwise Acrobat shows the XFA layer, which has no data.</t>
        </is>
      </c>
    </row>
    <row r="20">
      <c r="A20" s="2" t="inlineStr">
        <is>
          <t>Usage rights</t>
        </is>
      </c>
      <c r="B20" s="2" t="inlineStr">
        <is>
          <t>All forms carry Reader usage rights (/Perms) except DV-570. Filling invalidates them, and Reader then warns that the document "has been changed". Remove /Perms when you save.</t>
        </is>
      </c>
    </row>
    <row r="21">
      <c r="A21" s="2" t="inlineStr">
        <is>
          <t>Encryption</t>
        </is>
      </c>
      <c r="B21" s="2" t="inlineStr">
        <is>
          <t>All 31 files have an owner password and an empty user password. pypdf reads them as they are. pdf-lib needs the file decrypted first, e.g. qpdf --decrypt in.pdf out.pdf.</t>
        </is>
      </c>
    </row>
    <row r="22">
      <c r="A22" s="2" t="inlineStr">
        <is>
          <t>Yes/No pairs</t>
        </is>
      </c>
      <c r="B22" s="2" t="inlineStr">
        <is>
          <t>Each box in a Yes/No (or a 3–4 option) group is its own checkbox field, not a radio group. Set one and explicitly set its siblings Off.</t>
        </is>
      </c>
    </row>
    <row r="23">
      <c r="A23" s="2" t="inlineStr">
        <is>
          <t>Appearances</t>
        </is>
      </c>
      <c r="B23" s="2" t="inlineStr">
        <is>
          <t>Generate appearance streams (or set NeedAppearances = true) so filled values show in every viewer.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26" customWidth="1" min="3" max="3"/>
    <col width="7" customWidth="1" min="4" max="4"/>
    <col width="9" customWidth="1" min="5" max="5"/>
    <col width="7" customWidth="1" min="6" max="6"/>
    <col width="9" customWidth="1" min="7" max="7"/>
    <col width="7" customWidth="1" min="8" max="8"/>
    <col width="9" customWidth="1" min="9" max="9"/>
    <col width="8" customWidth="1" min="10" max="10"/>
    <col width="9" customWidth="1" min="11" max="11"/>
    <col width="9" customWidth="1" min="12" max="12"/>
    <col width="9" customWidth="1" min="13" max="13"/>
    <col width="24" customWidth="1" min="14" max="14"/>
    <col width="10" customWidth="1" min="15" max="15"/>
    <col width="70" customWidth="1" min="16" max="16"/>
  </cols>
  <sheetData>
    <row r="1">
      <c r="A1" s="4" t="inlineStr">
        <is>
          <t>Form</t>
        </is>
      </c>
      <c r="B1" s="4" t="inlineStr">
        <is>
          <t>File</t>
        </is>
      </c>
      <c r="C1" s="4" t="inlineStr">
        <is>
          <t>Scope</t>
        </is>
      </c>
      <c r="D1" s="4" t="inlineStr">
        <is>
          <t>Pages</t>
        </is>
      </c>
      <c r="E1" s="4" t="inlineStr">
        <is>
          <t>Fillable fields</t>
        </is>
      </c>
      <c r="F1" s="4" t="inlineStr">
        <is>
          <t>Text</t>
        </is>
      </c>
      <c r="G1" s="4" t="inlineStr">
        <is>
          <t>Checkbox</t>
        </is>
      </c>
      <c r="H1" s="4" t="inlineStr">
        <is>
          <t>Radio</t>
        </is>
      </c>
      <c r="I1" s="4" t="inlineStr">
        <is>
          <t>Dropdown</t>
        </is>
      </c>
      <c r="J1" s="4" t="inlineStr">
        <is>
          <t>Buttons</t>
        </is>
      </c>
      <c r="K1" s="4" t="inlineStr">
        <is>
          <t>XFA hybrid</t>
        </is>
      </c>
      <c r="L1" s="4" t="inlineStr">
        <is>
          <t>Encrypted</t>
        </is>
      </c>
      <c r="M1" s="4" t="inlineStr">
        <is>
          <t>Usage rights</t>
        </is>
      </c>
      <c r="N1" s="4" t="inlineStr">
        <is>
          <t>Revision (as printed)</t>
        </is>
      </c>
      <c r="O1" s="4" t="inlineStr">
        <is>
          <t>Fillable?</t>
        </is>
      </c>
      <c r="P1" s="4" t="inlineStr">
        <is>
          <t>Notes</t>
        </is>
      </c>
    </row>
    <row r="2">
      <c r="A2" s="5" t="inlineStr">
        <is>
          <t>CLETS-001</t>
        </is>
      </c>
      <c r="B2" s="5" t="inlineStr">
        <is>
          <t>CLETS-001 Confidential Information for Law Enforcement [EN].pdf</t>
        </is>
      </c>
      <c r="C2" s="5" t="inlineStr">
        <is>
          <t>Mapped</t>
        </is>
      </c>
      <c r="D2" s="5" t="n">
        <v>2</v>
      </c>
      <c r="E2" s="5" t="n">
        <v>50</v>
      </c>
      <c r="F2" s="5" t="n">
        <v>38</v>
      </c>
      <c r="G2" s="5" t="n">
        <v>12</v>
      </c>
      <c r="H2" s="5" t="n">
        <v>0</v>
      </c>
      <c r="I2" s="5" t="n">
        <v>0</v>
      </c>
      <c r="J2" s="5" t="n">
        <v>3</v>
      </c>
      <c r="K2" s="5" t="inlineStr">
        <is>
          <t>Yes</t>
        </is>
      </c>
      <c r="L2" s="5" t="inlineStr">
        <is>
          <t>Yes</t>
        </is>
      </c>
      <c r="M2" s="5" t="inlineStr">
        <is>
          <t>Yes</t>
        </is>
      </c>
      <c r="N2" s="5" t="inlineStr">
        <is>
          <t>Rev. January 1, 2026</t>
        </is>
      </c>
      <c r="O2" s="5" t="inlineStr">
        <is>
          <t>Yes</t>
        </is>
      </c>
      <c r="P2" s="5" t="inlineStr">
        <is>
          <t>Stage 1, always. Never filed (law-enforcement bundle). Jan 2026 revision: one combined firearms-or-body-armor question; one vehicle row.</t>
        </is>
      </c>
    </row>
    <row r="3">
      <c r="A3" s="5" t="inlineStr">
        <is>
          <t>DV-100</t>
        </is>
      </c>
      <c r="B3" s="5" t="inlineStr">
        <is>
          <t>DV-100 Request for Domestic Violence Restraining Order [EN].pdf</t>
        </is>
      </c>
      <c r="C3" s="5" t="inlineStr">
        <is>
          <t>Mapped</t>
        </is>
      </c>
      <c r="D3" s="5" t="n">
        <v>13</v>
      </c>
      <c r="E3" s="5" t="n">
        <v>321</v>
      </c>
      <c r="F3" s="5" t="n">
        <v>163</v>
      </c>
      <c r="G3" s="5" t="n">
        <v>158</v>
      </c>
      <c r="H3" s="5" t="n">
        <v>0</v>
      </c>
      <c r="I3" s="5" t="n">
        <v>0</v>
      </c>
      <c r="J3" s="5" t="n">
        <v>14</v>
      </c>
      <c r="K3" s="5" t="inlineStr">
        <is>
          <t>Yes</t>
        </is>
      </c>
      <c r="L3" s="5" t="inlineStr">
        <is>
          <t>Yes</t>
        </is>
      </c>
      <c r="M3" s="5" t="inlineStr">
        <is>
          <t>Yes</t>
        </is>
      </c>
      <c r="N3" s="5" t="inlineStr">
        <is>
          <t>Rev. January 1, 2025</t>
        </is>
      </c>
      <c r="O3" s="5" t="inlineStr">
        <is>
          <t>Yes</t>
        </is>
      </c>
      <c r="P3" s="5" t="inlineStr"/>
    </row>
    <row r="4">
      <c r="A4" s="5" t="inlineStr">
        <is>
          <t>DV-101</t>
        </is>
      </c>
      <c r="B4" s="5" t="inlineStr">
        <is>
          <t>DV-101 Description of Abuse [EN].pdf</t>
        </is>
      </c>
      <c r="C4" s="5" t="inlineStr">
        <is>
          <t>Mapped</t>
        </is>
      </c>
      <c r="D4" s="5" t="n">
        <v>2</v>
      </c>
      <c r="E4" s="5" t="n">
        <v>30</v>
      </c>
      <c r="F4" s="5" t="n">
        <v>15</v>
      </c>
      <c r="G4" s="5" t="n">
        <v>15</v>
      </c>
      <c r="H4" s="5" t="n">
        <v>0</v>
      </c>
      <c r="I4" s="5" t="n">
        <v>0</v>
      </c>
      <c r="J4" s="5" t="n">
        <v>4</v>
      </c>
      <c r="K4" s="5" t="inlineStr">
        <is>
          <t>Yes</t>
        </is>
      </c>
      <c r="L4" s="5" t="inlineStr">
        <is>
          <t>Yes</t>
        </is>
      </c>
      <c r="M4" s="5" t="inlineStr">
        <is>
          <t>Yes</t>
        </is>
      </c>
      <c r="N4" s="5" t="inlineStr">
        <is>
          <t>Rev. January 1, 2017</t>
        </is>
      </c>
      <c r="O4" s="5" t="inlineStr">
        <is>
          <t>Yes</t>
        </is>
      </c>
      <c r="P4" s="5" t="inlineStr"/>
    </row>
    <row r="5">
      <c r="A5" s="5" t="inlineStr">
        <is>
          <t>DV-105</t>
        </is>
      </c>
      <c r="B5" s="5" t="inlineStr">
        <is>
          <t>DV-105 Request for Child Custody and Visitation Orders [EN].pdf</t>
        </is>
      </c>
      <c r="C5" s="5" t="inlineStr">
        <is>
          <t>Mapped</t>
        </is>
      </c>
      <c r="D5" s="5" t="n">
        <v>6</v>
      </c>
      <c r="E5" s="5" t="n">
        <v>271</v>
      </c>
      <c r="F5" s="5" t="n">
        <v>162</v>
      </c>
      <c r="G5" s="5" t="n">
        <v>109</v>
      </c>
      <c r="H5" s="5" t="n">
        <v>0</v>
      </c>
      <c r="I5" s="5" t="n">
        <v>0</v>
      </c>
      <c r="J5" s="5" t="n">
        <v>3</v>
      </c>
      <c r="K5" s="5" t="inlineStr">
        <is>
          <t>Yes</t>
        </is>
      </c>
      <c r="L5" s="5" t="inlineStr">
        <is>
          <t>Yes</t>
        </is>
      </c>
      <c r="M5" s="5" t="inlineStr">
        <is>
          <t>Yes</t>
        </is>
      </c>
      <c r="N5" s="5" t="inlineStr">
        <is>
          <t>Rev. July 1, 2026</t>
        </is>
      </c>
      <c r="O5" s="5" t="inlineStr">
        <is>
          <t>Yes</t>
        </is>
      </c>
      <c r="P5" s="5" t="inlineStr">
        <is>
          <t>Revised July 1, 2026, the newest revision in the set.</t>
        </is>
      </c>
    </row>
    <row r="6">
      <c r="A6" s="5" t="inlineStr">
        <is>
          <t>DV-105(A)</t>
        </is>
      </c>
      <c r="B6" s="5" t="inlineStr">
        <is>
          <t>DV-105(A) City and State Where Children Lived - Domestic Violence Prevention [EN].pdf</t>
        </is>
      </c>
      <c r="C6" s="5" t="inlineStr">
        <is>
          <t>Mapped</t>
        </is>
      </c>
      <c r="D6" s="5" t="n">
        <v>1</v>
      </c>
      <c r="E6" s="5" t="n">
        <v>106</v>
      </c>
      <c r="F6" s="5" t="n">
        <v>57</v>
      </c>
      <c r="G6" s="5" t="n">
        <v>49</v>
      </c>
      <c r="H6" s="5" t="n">
        <v>0</v>
      </c>
      <c r="I6" s="5" t="n">
        <v>0</v>
      </c>
      <c r="J6" s="5" t="n">
        <v>4</v>
      </c>
      <c r="K6" s="5" t="inlineStr">
        <is>
          <t>Yes</t>
        </is>
      </c>
      <c r="L6" s="5" t="inlineStr">
        <is>
          <t>Yes</t>
        </is>
      </c>
      <c r="M6" s="5" t="inlineStr">
        <is>
          <t>Yes</t>
        </is>
      </c>
      <c r="N6" s="5" t="inlineStr">
        <is>
          <t>Rev. January 1, 2025</t>
        </is>
      </c>
      <c r="O6" s="5" t="inlineStr">
        <is>
          <t>Yes</t>
        </is>
      </c>
      <c r="P6" s="5" t="inlineStr"/>
    </row>
    <row r="7">
      <c r="A7" s="5" t="inlineStr">
        <is>
          <t>DV-108</t>
        </is>
      </c>
      <c r="B7" s="5" t="inlineStr">
        <is>
          <t>DV-108 Request for Orders to Prevent Child Abduction - Domestic Violence Prevention [EN].pdf</t>
        </is>
      </c>
      <c r="C7" s="5" t="inlineStr">
        <is>
          <t>Mapped</t>
        </is>
      </c>
      <c r="D7" s="5" t="n">
        <v>2</v>
      </c>
      <c r="E7" s="5" t="n">
        <v>56</v>
      </c>
      <c r="F7" s="5" t="n">
        <v>19</v>
      </c>
      <c r="G7" s="5" t="n">
        <v>37</v>
      </c>
      <c r="H7" s="5" t="n">
        <v>0</v>
      </c>
      <c r="I7" s="5" t="n">
        <v>0</v>
      </c>
      <c r="J7" s="5" t="n">
        <v>5</v>
      </c>
      <c r="K7" s="5" t="inlineStr">
        <is>
          <t>Yes</t>
        </is>
      </c>
      <c r="L7" s="5" t="inlineStr">
        <is>
          <t>Yes</t>
        </is>
      </c>
      <c r="M7" s="5" t="inlineStr">
        <is>
          <t>Yes</t>
        </is>
      </c>
      <c r="N7" s="5" t="inlineStr">
        <is>
          <t>Rev. January 1, 2023</t>
        </is>
      </c>
      <c r="O7" s="5" t="inlineStr">
        <is>
          <t>Yes</t>
        </is>
      </c>
      <c r="P7" s="5" t="inlineStr"/>
    </row>
    <row r="8">
      <c r="A8" s="5" t="inlineStr">
        <is>
          <t>DV-109</t>
        </is>
      </c>
      <c r="B8" s="5" t="inlineStr">
        <is>
          <t>DV-109 Notice of Court Hearing - Domestic Violence Prevention [EN].pdf</t>
        </is>
      </c>
      <c r="C8" s="5" t="inlineStr">
        <is>
          <t>Mapped</t>
        </is>
      </c>
      <c r="D8" s="5" t="n">
        <v>3</v>
      </c>
      <c r="E8" s="5" t="n">
        <v>30</v>
      </c>
      <c r="F8" s="5" t="n">
        <v>17</v>
      </c>
      <c r="G8" s="5" t="n">
        <v>13</v>
      </c>
      <c r="H8" s="5" t="n">
        <v>0</v>
      </c>
      <c r="I8" s="5" t="n">
        <v>0</v>
      </c>
      <c r="J8" s="5" t="n">
        <v>13</v>
      </c>
      <c r="K8" s="5" t="inlineStr">
        <is>
          <t>Yes</t>
        </is>
      </c>
      <c r="L8" s="5" t="inlineStr">
        <is>
          <t>Yes</t>
        </is>
      </c>
      <c r="M8" s="5" t="inlineStr">
        <is>
          <t>Yes</t>
        </is>
      </c>
      <c r="N8" s="5" t="inlineStr">
        <is>
          <t>Rev. January 1, 2025</t>
        </is>
      </c>
      <c r="O8" s="5" t="inlineStr">
        <is>
          <t>Yes</t>
        </is>
      </c>
      <c r="P8" s="5" t="inlineStr">
        <is>
          <t>Stage 1, always: caption and items 1–2. The court completes the rest.</t>
        </is>
      </c>
    </row>
    <row r="9">
      <c r="A9" s="5" t="inlineStr">
        <is>
          <t>DV-110</t>
        </is>
      </c>
      <c r="B9" s="5" t="inlineStr">
        <is>
          <t>DV-110 Temporary Restraining Order (CLETS-TRO) [EN].pdf</t>
        </is>
      </c>
      <c r="C9" s="5" t="inlineStr">
        <is>
          <t>Mapped</t>
        </is>
      </c>
      <c r="D9" s="5" t="n">
        <v>9</v>
      </c>
      <c r="E9" s="5" t="n">
        <v>193</v>
      </c>
      <c r="F9" s="5" t="n">
        <v>108</v>
      </c>
      <c r="G9" s="5" t="n">
        <v>85</v>
      </c>
      <c r="H9" s="5" t="n">
        <v>0</v>
      </c>
      <c r="I9" s="5" t="n">
        <v>0</v>
      </c>
      <c r="J9" s="5" t="n">
        <v>4</v>
      </c>
      <c r="K9" s="5" t="inlineStr">
        <is>
          <t>Yes</t>
        </is>
      </c>
      <c r="L9" s="5" t="inlineStr">
        <is>
          <t>Yes</t>
        </is>
      </c>
      <c r="M9" s="5" t="inlineStr">
        <is>
          <t>Yes</t>
        </is>
      </c>
      <c r="N9" s="5" t="inlineStr">
        <is>
          <t>Rev. January 1, 2025</t>
        </is>
      </c>
      <c r="O9" s="5" t="inlineStr">
        <is>
          <t>Yes</t>
        </is>
      </c>
      <c r="P9" s="5" t="inlineStr">
        <is>
          <t>Stage 1, always: caption, Original/Amended and items 1–3. The judge completes the rest.</t>
        </is>
      </c>
    </row>
    <row r="10">
      <c r="A10" s="5" t="inlineStr">
        <is>
          <t>DV-120</t>
        </is>
      </c>
      <c r="B10" s="5" t="inlineStr">
        <is>
          <t>DV-120 Response to Request for Domestic Violence Restraining Order [EN].pdf</t>
        </is>
      </c>
      <c r="C10" s="5" t="inlineStr">
        <is>
          <t>Inventory only (blank / logic)</t>
        </is>
      </c>
      <c r="D10" s="5" t="n">
        <v>8</v>
      </c>
      <c r="E10" s="5" t="n">
        <v>155</v>
      </c>
      <c r="F10" s="5" t="n">
        <v>75</v>
      </c>
      <c r="G10" s="5" t="n">
        <v>80</v>
      </c>
      <c r="H10" s="5" t="n">
        <v>0</v>
      </c>
      <c r="I10" s="5" t="n">
        <v>0</v>
      </c>
      <c r="J10" s="5" t="n">
        <v>13</v>
      </c>
      <c r="K10" s="5" t="inlineStr">
        <is>
          <t>Yes</t>
        </is>
      </c>
      <c r="L10" s="5" t="inlineStr">
        <is>
          <t>Yes</t>
        </is>
      </c>
      <c r="M10" s="5" t="inlineStr">
        <is>
          <t>Yes</t>
        </is>
      </c>
      <c r="N10" s="5" t="inlineStr">
        <is>
          <t>Rev. January 1, 2026</t>
        </is>
      </c>
      <c r="O10" s="5" t="inlineStr">
        <is>
          <t>Yes</t>
        </is>
      </c>
      <c r="P10" s="5" t="inlineStr"/>
    </row>
    <row r="11">
      <c r="A11" s="5" t="inlineStr">
        <is>
          <t>DV-120-INFO</t>
        </is>
      </c>
      <c r="B11" s="5" t="inlineStr">
        <is>
          <t>DV-120-INFO How Can I Respond to a Request for Domestic Violence Restraining Order [EN].pdf</t>
        </is>
      </c>
      <c r="C11" s="5" t="inlineStr">
        <is>
          <t>Inventory only (blank / logic)</t>
        </is>
      </c>
      <c r="D11" s="5" t="n">
        <v>4</v>
      </c>
      <c r="E11" s="5" t="n">
        <v>0</v>
      </c>
      <c r="F11" s="5" t="n">
        <v>0</v>
      </c>
      <c r="G11" s="5" t="n">
        <v>0</v>
      </c>
      <c r="H11" s="5" t="n">
        <v>0</v>
      </c>
      <c r="I11" s="5" t="n">
        <v>0</v>
      </c>
      <c r="J11" s="5" t="n">
        <v>3</v>
      </c>
      <c r="K11" s="5" t="inlineStr">
        <is>
          <t>Yes</t>
        </is>
      </c>
      <c r="L11" s="5" t="inlineStr">
        <is>
          <t>Yes</t>
        </is>
      </c>
      <c r="M11" s="5" t="inlineStr">
        <is>
          <t>Yes</t>
        </is>
      </c>
      <c r="N11" s="5" t="inlineStr">
        <is>
          <t>Rev. January 1, 2026</t>
        </is>
      </c>
      <c r="O11" s="5" t="inlineStr">
        <is>
          <t>Info sheet</t>
        </is>
      </c>
      <c r="P11" s="5" t="inlineStr">
        <is>
          <t>Added to the folder in pass 2. Information sheet: no fillable fields. Served blank. The 13 info sheets now drive the help text in the UX guide.</t>
        </is>
      </c>
    </row>
    <row r="12">
      <c r="A12" s="5" t="inlineStr">
        <is>
          <t>DV-125</t>
        </is>
      </c>
      <c r="B12" s="5" t="inlineStr">
        <is>
          <t>DV-125 Response to Request for Child Custody and Visitation Orders [EN].pdf</t>
        </is>
      </c>
      <c r="C12" s="5" t="inlineStr">
        <is>
          <t>Inventory only (blank / logic)</t>
        </is>
      </c>
      <c r="D12" s="5" t="n">
        <v>3</v>
      </c>
      <c r="E12" s="5" t="n">
        <v>122</v>
      </c>
      <c r="F12" s="5" t="n">
        <v>74</v>
      </c>
      <c r="G12" s="5" t="n">
        <v>48</v>
      </c>
      <c r="H12" s="5" t="n">
        <v>0</v>
      </c>
      <c r="I12" s="5" t="n">
        <v>0</v>
      </c>
      <c r="J12" s="5" t="n">
        <v>5</v>
      </c>
      <c r="K12" s="5" t="inlineStr">
        <is>
          <t>Yes</t>
        </is>
      </c>
      <c r="L12" s="5" t="inlineStr">
        <is>
          <t>Yes</t>
        </is>
      </c>
      <c r="M12" s="5" t="inlineStr">
        <is>
          <t>Yes</t>
        </is>
      </c>
      <c r="N12" s="5" t="inlineStr">
        <is>
          <t>New January 1, 2023</t>
        </is>
      </c>
      <c r="O12" s="5" t="inlineStr">
        <is>
          <t>Yes</t>
        </is>
      </c>
      <c r="P12" s="5" t="inlineStr"/>
    </row>
    <row r="13">
      <c r="A13" s="5" t="inlineStr">
        <is>
          <t>DV-130</t>
        </is>
      </c>
      <c r="B13" s="5" t="inlineStr">
        <is>
          <t>DV-130 Restraining Order After Hearing (Order of Protection) (CLETS-OAH) [EN].pdf</t>
        </is>
      </c>
      <c r="C13" s="5" t="inlineStr">
        <is>
          <t>Mapped</t>
        </is>
      </c>
      <c r="D13" s="5" t="n">
        <v>11</v>
      </c>
      <c r="E13" s="5" t="n">
        <v>242</v>
      </c>
      <c r="F13" s="5" t="n">
        <v>144</v>
      </c>
      <c r="G13" s="5" t="n">
        <v>98</v>
      </c>
      <c r="H13" s="5" t="n">
        <v>0</v>
      </c>
      <c r="I13" s="5" t="n">
        <v>0</v>
      </c>
      <c r="J13" s="5" t="n">
        <v>9</v>
      </c>
      <c r="K13" s="5" t="inlineStr">
        <is>
          <t>Yes</t>
        </is>
      </c>
      <c r="L13" s="5" t="inlineStr">
        <is>
          <t>Yes</t>
        </is>
      </c>
      <c r="M13" s="5" t="inlineStr">
        <is>
          <t>Yes</t>
        </is>
      </c>
      <c r="N13" s="5" t="inlineStr">
        <is>
          <t>Rev. January 1, 2026</t>
        </is>
      </c>
      <c r="O13" s="5" t="inlineStr">
        <is>
          <t>Yes</t>
        </is>
      </c>
      <c r="P13" s="5" t="inlineStr">
        <is>
          <t>Stage 3 and after the hearing: pre-filled caption and items 1–3 (DV-520-INFO). Judge completes the rest.</t>
        </is>
      </c>
    </row>
    <row r="14">
      <c r="A14" s="5" t="inlineStr">
        <is>
          <t>DV-140</t>
        </is>
      </c>
      <c r="B14" s="5" t="inlineStr">
        <is>
          <t>DV-140 Child Custody and Visitation Order [EN].pdf</t>
        </is>
      </c>
      <c r="C14" s="5" t="inlineStr">
        <is>
          <t>Mapped</t>
        </is>
      </c>
      <c r="D14" s="5" t="n">
        <v>6</v>
      </c>
      <c r="E14" s="5" t="n">
        <v>221</v>
      </c>
      <c r="F14" s="5" t="n">
        <v>120</v>
      </c>
      <c r="G14" s="5" t="n">
        <v>101</v>
      </c>
      <c r="H14" s="5" t="n">
        <v>0</v>
      </c>
      <c r="I14" s="5" t="n">
        <v>0</v>
      </c>
      <c r="J14" s="5" t="n">
        <v>4</v>
      </c>
      <c r="K14" s="5" t="inlineStr">
        <is>
          <t>Yes</t>
        </is>
      </c>
      <c r="L14" s="5" t="inlineStr">
        <is>
          <t>Yes</t>
        </is>
      </c>
      <c r="M14" s="5" t="inlineStr">
        <is>
          <t>Yes</t>
        </is>
      </c>
      <c r="N14" s="5" t="inlineStr">
        <is>
          <t>Rev. January 1, 2026</t>
        </is>
      </c>
      <c r="O14" s="5" t="inlineStr">
        <is>
          <t>Yes</t>
        </is>
      </c>
      <c r="P14" s="5" t="inlineStr"/>
    </row>
    <row r="15">
      <c r="A15" s="5" t="inlineStr">
        <is>
          <t>DV-145</t>
        </is>
      </c>
      <c r="B15" s="5" t="inlineStr">
        <is>
          <t>DV-145 Order to Prevent Child Abduction [EN].pdf</t>
        </is>
      </c>
      <c r="C15" s="5" t="inlineStr">
        <is>
          <t>Mapped</t>
        </is>
      </c>
      <c r="D15" s="5" t="n">
        <v>2</v>
      </c>
      <c r="E15" s="5" t="n">
        <v>72</v>
      </c>
      <c r="F15" s="5" t="n">
        <v>25</v>
      </c>
      <c r="G15" s="5" t="n">
        <v>47</v>
      </c>
      <c r="H15" s="5" t="n">
        <v>0</v>
      </c>
      <c r="I15" s="5" t="n">
        <v>0</v>
      </c>
      <c r="J15" s="5" t="n">
        <v>5</v>
      </c>
      <c r="K15" s="5" t="inlineStr">
        <is>
          <t>Yes</t>
        </is>
      </c>
      <c r="L15" s="5" t="inlineStr">
        <is>
          <t>Yes</t>
        </is>
      </c>
      <c r="M15" s="5" t="inlineStr">
        <is>
          <t>Yes</t>
        </is>
      </c>
      <c r="N15" s="5" t="inlineStr">
        <is>
          <t>Rev. January 1, 2023</t>
        </is>
      </c>
      <c r="O15" s="5" t="inlineStr">
        <is>
          <t>Yes</t>
        </is>
      </c>
      <c r="P15" s="5" t="inlineStr"/>
    </row>
    <row r="16">
      <c r="A16" s="5" t="inlineStr">
        <is>
          <t>DV-150</t>
        </is>
      </c>
      <c r="B16" s="5" t="inlineStr">
        <is>
          <t>DV-150 Mandatory Findings for Child Custody and Visitation Order - Domestic Violence Prevention [EN].pdf</t>
        </is>
      </c>
      <c r="C16" s="5" t="inlineStr">
        <is>
          <t>Mapped</t>
        </is>
      </c>
      <c r="D16" s="5" t="n">
        <v>5</v>
      </c>
      <c r="E16" s="5" t="n">
        <v>73</v>
      </c>
      <c r="F16" s="5" t="n">
        <v>33</v>
      </c>
      <c r="G16" s="5" t="n">
        <v>40</v>
      </c>
      <c r="H16" s="5" t="n">
        <v>0</v>
      </c>
      <c r="I16" s="5" t="n">
        <v>0</v>
      </c>
      <c r="J16" s="5" t="n">
        <v>3</v>
      </c>
      <c r="K16" s="5" t="inlineStr">
        <is>
          <t>Yes</t>
        </is>
      </c>
      <c r="L16" s="5" t="inlineStr">
        <is>
          <t>Yes</t>
        </is>
      </c>
      <c r="M16" s="5" t="inlineStr">
        <is>
          <t>Yes</t>
        </is>
      </c>
      <c r="N16" s="5" t="inlineStr">
        <is>
          <t>New January 1, 2026</t>
        </is>
      </c>
      <c r="O16" s="5" t="inlineStr">
        <is>
          <t>Yes</t>
        </is>
      </c>
      <c r="P16" s="5" t="inlineStr">
        <is>
          <t>Stage 3, when O15: caption and items 1–2. Judge completes the findings.</t>
        </is>
      </c>
    </row>
    <row r="17">
      <c r="A17" s="5" t="inlineStr">
        <is>
          <t>DV-160</t>
        </is>
      </c>
      <c r="B17" s="5" t="inlineStr">
        <is>
          <t>DV-160 Request to Keep Minor's Information Confidential [EN].pdf</t>
        </is>
      </c>
      <c r="C17" s="5" t="inlineStr">
        <is>
          <t>Mapped</t>
        </is>
      </c>
      <c r="D17" s="5" t="n">
        <v>6</v>
      </c>
      <c r="E17" s="5" t="n">
        <v>75</v>
      </c>
      <c r="F17" s="5" t="n">
        <v>42</v>
      </c>
      <c r="G17" s="5" t="n">
        <v>33</v>
      </c>
      <c r="H17" s="5" t="n">
        <v>0</v>
      </c>
      <c r="I17" s="5" t="n">
        <v>0</v>
      </c>
      <c r="J17" s="5" t="n">
        <v>4</v>
      </c>
      <c r="K17" s="5" t="inlineStr">
        <is>
          <t>Yes</t>
        </is>
      </c>
      <c r="L17" s="5" t="inlineStr">
        <is>
          <t>Yes</t>
        </is>
      </c>
      <c r="M17" s="5" t="inlineStr">
        <is>
          <t>Yes</t>
        </is>
      </c>
      <c r="N17" s="5" t="inlineStr">
        <is>
          <t>Rev. September 1, 2020</t>
        </is>
      </c>
      <c r="O17" s="5" t="inlineStr">
        <is>
          <t>Yes</t>
        </is>
      </c>
      <c r="P17" s="5" t="inlineStr"/>
    </row>
    <row r="18">
      <c r="A18" s="5" t="inlineStr">
        <is>
          <t>DV-165</t>
        </is>
      </c>
      <c r="B18" s="5" t="inlineStr">
        <is>
          <t>DV-165 Order on Request to Keep Minor's Information Confidential [EN].pdf</t>
        </is>
      </c>
      <c r="C18" s="5" t="inlineStr">
        <is>
          <t>Mapped</t>
        </is>
      </c>
      <c r="D18" s="5" t="n">
        <v>6</v>
      </c>
      <c r="E18" s="5" t="n">
        <v>93</v>
      </c>
      <c r="F18" s="5" t="n">
        <v>46</v>
      </c>
      <c r="G18" s="5" t="n">
        <v>47</v>
      </c>
      <c r="H18" s="5" t="n">
        <v>0</v>
      </c>
      <c r="I18" s="5" t="n">
        <v>0</v>
      </c>
      <c r="J18" s="5" t="n">
        <v>5</v>
      </c>
      <c r="K18" s="5" t="inlineStr">
        <is>
          <t>Yes</t>
        </is>
      </c>
      <c r="L18" s="5" t="inlineStr">
        <is>
          <t>Yes</t>
        </is>
      </c>
      <c r="M18" s="5" t="inlineStr">
        <is>
          <t>Yes</t>
        </is>
      </c>
      <c r="N18" s="5" t="inlineStr">
        <is>
          <t>Rev. January 1, 2021</t>
        </is>
      </c>
      <c r="O18" s="5" t="inlineStr">
        <is>
          <t>Yes</t>
        </is>
      </c>
      <c r="P18" s="5" t="inlineStr"/>
    </row>
    <row r="19">
      <c r="A19" s="5" t="inlineStr">
        <is>
          <t>DV-170</t>
        </is>
      </c>
      <c r="B19" s="5" t="inlineStr">
        <is>
          <t>DV-170 Notice of Order Protecting Information of Minor [EN].pdf</t>
        </is>
      </c>
      <c r="C19" s="5" t="inlineStr">
        <is>
          <t>Mapped</t>
        </is>
      </c>
      <c r="D19" s="5" t="n">
        <v>1</v>
      </c>
      <c r="E19" s="5" t="n">
        <v>11</v>
      </c>
      <c r="F19" s="5" t="n">
        <v>3</v>
      </c>
      <c r="G19" s="5" t="n">
        <v>8</v>
      </c>
      <c r="H19" s="5" t="n">
        <v>0</v>
      </c>
      <c r="I19" s="5" t="n">
        <v>0</v>
      </c>
      <c r="J19" s="5" t="n">
        <v>4</v>
      </c>
      <c r="K19" s="5" t="inlineStr">
        <is>
          <t>Yes</t>
        </is>
      </c>
      <c r="L19" s="5" t="inlineStr">
        <is>
          <t>Yes</t>
        </is>
      </c>
      <c r="M19" s="5" t="inlineStr">
        <is>
          <t>Yes</t>
        </is>
      </c>
      <c r="N19" s="5" t="inlineStr">
        <is>
          <t>Rev. September 1, 2020</t>
        </is>
      </c>
      <c r="O19" s="5" t="inlineStr">
        <is>
          <t>Yes</t>
        </is>
      </c>
      <c r="P19" s="5" t="inlineStr"/>
    </row>
    <row r="20">
      <c r="A20" s="5" t="inlineStr">
        <is>
          <t>DV-175</t>
        </is>
      </c>
      <c r="B20" s="5" t="inlineStr">
        <is>
          <t>DV-175 Cover Sheet for Confidential Information [EN].pdf</t>
        </is>
      </c>
      <c r="C20" s="5" t="inlineStr">
        <is>
          <t>Mapped</t>
        </is>
      </c>
      <c r="D20" s="5" t="n">
        <v>1</v>
      </c>
      <c r="E20" s="5" t="n">
        <v>18</v>
      </c>
      <c r="F20" s="5" t="n">
        <v>12</v>
      </c>
      <c r="G20" s="5" t="n">
        <v>6</v>
      </c>
      <c r="H20" s="5" t="n">
        <v>0</v>
      </c>
      <c r="I20" s="5" t="n">
        <v>0</v>
      </c>
      <c r="J20" s="5" t="n">
        <v>4</v>
      </c>
      <c r="K20" s="5" t="inlineStr">
        <is>
          <t>Yes</t>
        </is>
      </c>
      <c r="L20" s="5" t="inlineStr">
        <is>
          <t>Yes</t>
        </is>
      </c>
      <c r="M20" s="5" t="inlineStr">
        <is>
          <t>Yes</t>
        </is>
      </c>
      <c r="N20" s="5" t="inlineStr">
        <is>
          <t>Rev. September 1, 2020</t>
        </is>
      </c>
      <c r="O20" s="5" t="inlineStr">
        <is>
          <t>Yes</t>
        </is>
      </c>
      <c r="P20" s="5" t="inlineStr">
        <is>
          <t>Stage 3: one per filing that carries the protected minor's information (X2 granted or partly, X4).</t>
        </is>
      </c>
    </row>
    <row r="21">
      <c r="A21" s="5" t="inlineStr">
        <is>
          <t>DV-200</t>
        </is>
      </c>
      <c r="B21" s="5" t="inlineStr">
        <is>
          <t>DV-200 Proof of Personal Service (CLETS) [EN].pdf</t>
        </is>
      </c>
      <c r="C21" s="5" t="inlineStr">
        <is>
          <t>Mapped</t>
        </is>
      </c>
      <c r="D21" s="5" t="n">
        <v>1</v>
      </c>
      <c r="E21" s="5" t="n">
        <v>32</v>
      </c>
      <c r="F21" s="5" t="n">
        <v>21</v>
      </c>
      <c r="G21" s="5" t="n">
        <v>11</v>
      </c>
      <c r="H21" s="5" t="n">
        <v>0</v>
      </c>
      <c r="I21" s="5" t="n">
        <v>0</v>
      </c>
      <c r="J21" s="5" t="n">
        <v>4</v>
      </c>
      <c r="K21" s="5" t="inlineStr">
        <is>
          <t>Yes</t>
        </is>
      </c>
      <c r="L21" s="5" t="inlineStr">
        <is>
          <t>Yes</t>
        </is>
      </c>
      <c r="M21" s="5" t="inlineStr">
        <is>
          <t>Yes</t>
        </is>
      </c>
      <c r="N21" s="5" t="inlineStr">
        <is>
          <t>Revised January 1, 2023</t>
        </is>
      </c>
      <c r="O21" s="5" t="inlineStr">
        <is>
          <t>Yes</t>
        </is>
      </c>
      <c r="P21" s="5" t="inlineStr">
        <is>
          <t>Stage 2, always: caption, items 1–2 and the item 4 checklist. The server completes items 5–7. A second copy is made for serving DV-130.</t>
        </is>
      </c>
    </row>
    <row r="22">
      <c r="A22" s="5" t="inlineStr">
        <is>
          <t>DV-210</t>
        </is>
      </c>
      <c r="B22" s="5" t="inlineStr">
        <is>
          <t>DV-210 Summons (Domestic Violence Restraining Order) [EN].pdf</t>
        </is>
      </c>
      <c r="C22" s="5" t="inlineStr">
        <is>
          <t>Mapped</t>
        </is>
      </c>
      <c r="D22" s="5" t="n">
        <v>2</v>
      </c>
      <c r="E22" s="5" t="n">
        <v>12</v>
      </c>
      <c r="F22" s="5" t="n">
        <v>12</v>
      </c>
      <c r="G22" s="5" t="n">
        <v>0</v>
      </c>
      <c r="H22" s="5" t="n">
        <v>0</v>
      </c>
      <c r="I22" s="5" t="n">
        <v>0</v>
      </c>
      <c r="J22" s="5" t="n">
        <v>4</v>
      </c>
      <c r="K22" s="5" t="inlineStr">
        <is>
          <t>Yes</t>
        </is>
      </c>
      <c r="L22" s="5" t="inlineStr">
        <is>
          <t>Yes</t>
        </is>
      </c>
      <c r="M22" s="5" t="inlineStr">
        <is>
          <t>Yes</t>
        </is>
      </c>
      <c r="N22" s="5" t="inlineStr">
        <is>
          <t>New January 1, 2020</t>
        </is>
      </c>
      <c r="O22" s="5" t="inlineStr">
        <is>
          <t>Yes</t>
        </is>
      </c>
      <c r="P22" s="5" t="inlineStr">
        <is>
          <t>Stage 2, when X3 = Y (service by publication or posting, per DV-205-INFO): items 1–2 only.</t>
        </is>
      </c>
    </row>
    <row r="23">
      <c r="A23" s="5" t="inlineStr">
        <is>
          <t>DV-250</t>
        </is>
      </c>
      <c r="B23" s="5" t="inlineStr">
        <is>
          <t>DV-250 Proof of Service by Mail (CLETS) - Domestic Violence Prevention [EN].pdf</t>
        </is>
      </c>
      <c r="C23" s="5" t="inlineStr">
        <is>
          <t>Mapped</t>
        </is>
      </c>
      <c r="D23" s="5" t="n">
        <v>1</v>
      </c>
      <c r="E23" s="5" t="n">
        <v>29</v>
      </c>
      <c r="F23" s="5" t="n">
        <v>23</v>
      </c>
      <c r="G23" s="5" t="n">
        <v>6</v>
      </c>
      <c r="H23" s="5" t="n">
        <v>0</v>
      </c>
      <c r="I23" s="5" t="n">
        <v>0</v>
      </c>
      <c r="J23" s="5" t="n">
        <v>4</v>
      </c>
      <c r="K23" s="5" t="inlineStr">
        <is>
          <t>Yes</t>
        </is>
      </c>
      <c r="L23" s="5" t="inlineStr">
        <is>
          <t>Yes</t>
        </is>
      </c>
      <c r="M23" s="5" t="inlineStr">
        <is>
          <t>Yes</t>
        </is>
      </c>
      <c r="N23" s="5" t="inlineStr">
        <is>
          <t>Revised January 1, 2020</t>
        </is>
      </c>
      <c r="O23" s="5" t="inlineStr">
        <is>
          <t>Yes</t>
        </is>
      </c>
      <c r="P23" s="5" t="inlineStr"/>
    </row>
    <row r="24">
      <c r="A24" s="5" t="inlineStr">
        <is>
          <t>DV-570</t>
        </is>
      </c>
      <c r="B24" s="5" t="inlineStr">
        <is>
          <t>DV-570 Which Financial Form-FL-155 or FL-150 - Domestic Violence Prevention [EN].pdf</t>
        </is>
      </c>
      <c r="C24" s="5" t="inlineStr">
        <is>
          <t>Inventory only (blank / logic)</t>
        </is>
      </c>
      <c r="D24" s="5" t="n">
        <v>1</v>
      </c>
      <c r="E24" s="5" t="n">
        <v>0</v>
      </c>
      <c r="F24" s="5" t="n">
        <v>0</v>
      </c>
      <c r="G24" s="5" t="n">
        <v>0</v>
      </c>
      <c r="H24" s="5" t="n">
        <v>0</v>
      </c>
      <c r="I24" s="5" t="n">
        <v>0</v>
      </c>
      <c r="J24" s="5" t="n">
        <v>1</v>
      </c>
      <c r="K24" s="5" t="inlineStr">
        <is>
          <t>No</t>
        </is>
      </c>
      <c r="L24" s="5" t="inlineStr">
        <is>
          <t>Yes</t>
        </is>
      </c>
      <c r="M24" s="5" t="inlineStr">
        <is>
          <t>No</t>
        </is>
      </c>
      <c r="N24" s="5" t="inlineStr">
        <is>
          <t>New January 1, 2003</t>
        </is>
      </c>
      <c r="O24" s="5" t="inlineStr">
        <is>
          <t>NO FIELDS</t>
        </is>
      </c>
      <c r="P24" s="5" t="inlineStr">
        <is>
          <t>FLATTENED: no fillable fields (only a logo button). OK, since it is logic only.</t>
        </is>
      </c>
    </row>
    <row r="25">
      <c r="A25" s="5" t="inlineStr">
        <is>
          <t>DV-800</t>
        </is>
      </c>
      <c r="B25" s="5" t="inlineStr">
        <is>
          <t>DV-800 Receipt for Firearms, Firearm Parts, and Ammunition [EN].pdf</t>
        </is>
      </c>
      <c r="C25" s="5" t="inlineStr">
        <is>
          <t>Inventory only (blank / logic)</t>
        </is>
      </c>
      <c r="D25" s="5" t="n">
        <v>3</v>
      </c>
      <c r="E25" s="5" t="n">
        <v>119</v>
      </c>
      <c r="F25" s="5" t="n">
        <v>70</v>
      </c>
      <c r="G25" s="5" t="n">
        <v>49</v>
      </c>
      <c r="H25" s="5" t="n">
        <v>0</v>
      </c>
      <c r="I25" s="5" t="n">
        <v>0</v>
      </c>
      <c r="J25" s="5" t="n">
        <v>4</v>
      </c>
      <c r="K25" s="5" t="inlineStr">
        <is>
          <t>Yes</t>
        </is>
      </c>
      <c r="L25" s="5" t="inlineStr">
        <is>
          <t>Yes</t>
        </is>
      </c>
      <c r="M25" s="5" t="inlineStr">
        <is>
          <t>Yes</t>
        </is>
      </c>
      <c r="N25" s="5" t="inlineStr">
        <is>
          <t>Rev. January 1, 2023</t>
        </is>
      </c>
      <c r="O25" s="5" t="inlineStr">
        <is>
          <t>Yes</t>
        </is>
      </c>
      <c r="P25" s="5" t="inlineStr"/>
    </row>
    <row r="26">
      <c r="A26" s="5" t="inlineStr">
        <is>
          <t>DV-800-INFO</t>
        </is>
      </c>
      <c r="B26" s="5" t="inlineStr">
        <is>
          <t>DV-800-INFO How Do I Turn In, Sell, or Store My Firearms, Firearm Parts, and Ammunition [EN].pdf</t>
        </is>
      </c>
      <c r="C26" s="5" t="inlineStr">
        <is>
          <t>Inventory only (blank / logic)</t>
        </is>
      </c>
      <c r="D26" s="5" t="n">
        <v>2</v>
      </c>
      <c r="E26" s="5" t="n">
        <v>0</v>
      </c>
      <c r="F26" s="5" t="n">
        <v>0</v>
      </c>
      <c r="G26" s="5" t="n">
        <v>0</v>
      </c>
      <c r="H26" s="5" t="n">
        <v>0</v>
      </c>
      <c r="I26" s="5" t="n">
        <v>0</v>
      </c>
      <c r="J26" s="5" t="n">
        <v>2</v>
      </c>
      <c r="K26" s="5" t="inlineStr">
        <is>
          <t>Yes</t>
        </is>
      </c>
      <c r="L26" s="5" t="inlineStr">
        <is>
          <t>Yes</t>
        </is>
      </c>
      <c r="M26" s="5" t="inlineStr">
        <is>
          <t>Yes</t>
        </is>
      </c>
      <c r="N26" s="5" t="inlineStr">
        <is>
          <t>Rev. January 1, 2024</t>
        </is>
      </c>
      <c r="O26" s="5" t="inlineStr">
        <is>
          <t>Info sheet</t>
        </is>
      </c>
      <c r="P26" s="5" t="inlineStr">
        <is>
          <t>Information sheet: no fillable fields. Served blank with DV-800.</t>
        </is>
      </c>
    </row>
    <row r="27">
      <c r="A27" s="5" t="inlineStr">
        <is>
          <t>DV-900</t>
        </is>
      </c>
      <c r="B27" s="5" t="inlineStr">
        <is>
          <t>DV-900 Order Transferring Wireless Phone Account [EN].pdf</t>
        </is>
      </c>
      <c r="C27" s="5" t="inlineStr">
        <is>
          <t>Mapped</t>
        </is>
      </c>
      <c r="D27" s="5" t="n">
        <v>2</v>
      </c>
      <c r="E27" s="5" t="n">
        <v>20</v>
      </c>
      <c r="F27" s="5" t="n">
        <v>17</v>
      </c>
      <c r="G27" s="5" t="n">
        <v>3</v>
      </c>
      <c r="H27" s="5" t="n">
        <v>0</v>
      </c>
      <c r="I27" s="5" t="n">
        <v>0</v>
      </c>
      <c r="J27" s="5" t="n">
        <v>4</v>
      </c>
      <c r="K27" s="5" t="inlineStr">
        <is>
          <t>Yes</t>
        </is>
      </c>
      <c r="L27" s="5" t="inlineStr">
        <is>
          <t>Yes</t>
        </is>
      </c>
      <c r="M27" s="5" t="inlineStr">
        <is>
          <t>Yes</t>
        </is>
      </c>
      <c r="N27" s="5" t="inlineStr">
        <is>
          <t>New July 1, 2016</t>
        </is>
      </c>
      <c r="O27" s="5" t="inlineStr">
        <is>
          <t>Yes</t>
        </is>
      </c>
      <c r="P27" s="5" t="inlineStr">
        <is>
          <t>Stage 1, when O28: proposed order. Petitioner fills caption and items 1–4; judge fills 5 and signs.</t>
        </is>
      </c>
    </row>
    <row r="28">
      <c r="A28" s="5" t="inlineStr">
        <is>
          <t>DV-901</t>
        </is>
      </c>
      <c r="B28" s="5" t="inlineStr">
        <is>
          <t>DV-901 Attachment to Order Transferring Wireless Phone Account [EN].pdf</t>
        </is>
      </c>
      <c r="C28" s="5" t="inlineStr">
        <is>
          <t>Mapped</t>
        </is>
      </c>
      <c r="D28" s="5" t="n">
        <v>1</v>
      </c>
      <c r="E28" s="5" t="n">
        <v>9</v>
      </c>
      <c r="F28" s="5" t="n">
        <v>9</v>
      </c>
      <c r="G28" s="5" t="n">
        <v>0</v>
      </c>
      <c r="H28" s="5" t="n">
        <v>0</v>
      </c>
      <c r="I28" s="5" t="n">
        <v>0</v>
      </c>
      <c r="J28" s="5" t="n">
        <v>4</v>
      </c>
      <c r="K28" s="5" t="inlineStr">
        <is>
          <t>Yes</t>
        </is>
      </c>
      <c r="L28" s="5" t="inlineStr">
        <is>
          <t>Yes</t>
        </is>
      </c>
      <c r="M28" s="5" t="inlineStr">
        <is>
          <t>Yes</t>
        </is>
      </c>
      <c r="N28" s="5" t="inlineStr">
        <is>
          <t>New July 1, 2016</t>
        </is>
      </c>
      <c r="O28" s="5" t="inlineStr">
        <is>
          <t>Yes</t>
        </is>
      </c>
      <c r="P28" s="5" t="inlineStr">
        <is>
          <t>Stage 2, when O28 and X6 = Y. Confidential; goes to the wireless provider and is never filed.</t>
        </is>
      </c>
    </row>
    <row r="29">
      <c r="A29" s="5" t="inlineStr">
        <is>
          <t>FL-150</t>
        </is>
      </c>
      <c r="B29" s="5" t="inlineStr">
        <is>
          <t>FL-150 Income and Expense Declaration.pdf</t>
        </is>
      </c>
      <c r="C29" s="5" t="inlineStr">
        <is>
          <t>Mapped</t>
        </is>
      </c>
      <c r="D29" s="5" t="n">
        <v>4</v>
      </c>
      <c r="E29" s="5" t="n">
        <v>262</v>
      </c>
      <c r="F29" s="5" t="n">
        <v>212</v>
      </c>
      <c r="G29" s="5" t="n">
        <v>50</v>
      </c>
      <c r="H29" s="5" t="n">
        <v>0</v>
      </c>
      <c r="I29" s="5" t="n">
        <v>0</v>
      </c>
      <c r="J29" s="5" t="n">
        <v>4</v>
      </c>
      <c r="K29" s="5" t="inlineStr">
        <is>
          <t>Yes</t>
        </is>
      </c>
      <c r="L29" s="5" t="inlineStr">
        <is>
          <t>Yes</t>
        </is>
      </c>
      <c r="M29" s="5" t="inlineStr">
        <is>
          <t>Yes</t>
        </is>
      </c>
      <c r="N29" s="5" t="inlineStr">
        <is>
          <t>Rev. September 1, 2024</t>
        </is>
      </c>
      <c r="O29" s="5" t="inlineStr">
        <is>
          <t>Yes</t>
        </is>
      </c>
      <c r="P29" s="5" t="inlineStr"/>
    </row>
    <row r="30">
      <c r="A30" s="5" t="inlineStr">
        <is>
          <t>FL-155</t>
        </is>
      </c>
      <c r="B30" s="5" t="inlineStr">
        <is>
          <t>FL-155 Financial Statement (Simplified).pdf</t>
        </is>
      </c>
      <c r="C30" s="5" t="inlineStr">
        <is>
          <t>Mapped</t>
        </is>
      </c>
      <c r="D30" s="5" t="n">
        <v>2</v>
      </c>
      <c r="E30" s="5" t="n">
        <v>97</v>
      </c>
      <c r="F30" s="5" t="n">
        <v>61</v>
      </c>
      <c r="G30" s="5" t="n">
        <v>34</v>
      </c>
      <c r="H30" s="5" t="n">
        <v>0</v>
      </c>
      <c r="I30" s="5" t="n">
        <v>0</v>
      </c>
      <c r="J30" s="5" t="n">
        <v>3</v>
      </c>
      <c r="K30" s="5" t="inlineStr">
        <is>
          <t>No</t>
        </is>
      </c>
      <c r="L30" s="5" t="inlineStr">
        <is>
          <t>Yes</t>
        </is>
      </c>
      <c r="M30" s="5" t="inlineStr">
        <is>
          <t>Yes</t>
        </is>
      </c>
      <c r="N30" s="5" t="inlineStr">
        <is>
          <t>Rev. January 1, 2004</t>
        </is>
      </c>
      <c r="O30" s="5" t="inlineStr">
        <is>
          <t>Yes</t>
        </is>
      </c>
      <c r="P30" s="5" t="inlineStr">
        <is>
          <t>Plain AcroForm (not XFA). One field, TEXT.0.3.156564.3.0 ("OTHER PARENT" caption, pages 1–2), has no field type; treat it as text.</t>
        </is>
      </c>
    </row>
    <row r="31">
      <c r="A31" s="5" t="inlineStr">
        <is>
          <t>FL-351</t>
        </is>
      </c>
      <c r="B31" s="5" t="inlineStr">
        <is>
          <t>FL-351 Mandatory Findings for Child Custody and Visitation (Parenting Time) Orders [EN].pdf</t>
        </is>
      </c>
      <c r="C31" s="5" t="inlineStr">
        <is>
          <t>Mapped</t>
        </is>
      </c>
      <c r="D31" s="5" t="n">
        <v>6</v>
      </c>
      <c r="E31" s="5" t="n">
        <v>120</v>
      </c>
      <c r="F31" s="5" t="n">
        <v>72</v>
      </c>
      <c r="G31" s="5" t="n">
        <v>48</v>
      </c>
      <c r="H31" s="5" t="n">
        <v>0</v>
      </c>
      <c r="I31" s="5" t="n">
        <v>0</v>
      </c>
      <c r="J31" s="5" t="n">
        <v>3</v>
      </c>
      <c r="K31" s="5" t="inlineStr">
        <is>
          <t>Yes</t>
        </is>
      </c>
      <c r="L31" s="5" t="inlineStr">
        <is>
          <t>Yes</t>
        </is>
      </c>
      <c r="M31" s="5" t="inlineStr">
        <is>
          <t>Yes</t>
        </is>
      </c>
      <c r="N31" s="5" t="inlineStr">
        <is>
          <t>New January 1, 2026</t>
        </is>
      </c>
      <c r="O31" s="5" t="inlineStr">
        <is>
          <t>Yes</t>
        </is>
      </c>
      <c r="P31" s="5" t="inlineStr">
        <is>
          <t>Family-law version of DV-150. Caption only; excluded.</t>
        </is>
      </c>
    </row>
    <row r="32">
      <c r="A32" s="5" t="inlineStr">
        <is>
          <t>INT-300</t>
        </is>
      </c>
      <c r="B32" s="5" t="inlineStr">
        <is>
          <t>INT-300 Request for Interpreter.pdf</t>
        </is>
      </c>
      <c r="C32" s="5" t="inlineStr">
        <is>
          <t>Mapped</t>
        </is>
      </c>
      <c r="D32" s="5" t="n">
        <v>2</v>
      </c>
      <c r="E32" s="5" t="n">
        <v>40</v>
      </c>
      <c r="F32" s="5" t="n">
        <v>21</v>
      </c>
      <c r="G32" s="5" t="n">
        <v>19</v>
      </c>
      <c r="H32" s="5" t="n">
        <v>0</v>
      </c>
      <c r="I32" s="5" t="n">
        <v>0</v>
      </c>
      <c r="J32" s="5" t="n">
        <v>0</v>
      </c>
      <c r="K32" s="5" t="inlineStr">
        <is>
          <t>Yes</t>
        </is>
      </c>
      <c r="L32" s="5" t="inlineStr">
        <is>
          <t>Yes</t>
        </is>
      </c>
      <c r="M32" s="5" t="inlineStr">
        <is>
          <t>Yes</t>
        </is>
      </c>
      <c r="N32" s="5" t="inlineStr">
        <is>
          <t>effective 7/1/2016</t>
        </is>
      </c>
      <c r="O32" s="5" t="inlineStr">
        <is>
          <t>Yes</t>
        </is>
      </c>
      <c r="P32" s="5" t="inlineStr">
        <is>
          <t>No "Rev." date: "Approved for MODEL use effective 7/1/2016; OPTIONAL use effective 1/1/2018". Matches the map.</t>
        </is>
      </c>
    </row>
    <row r="33">
      <c r="A33" s="5" t="inlineStr">
        <is>
          <t>SER-001</t>
        </is>
      </c>
      <c r="B33" s="5" t="inlineStr">
        <is>
          <t>SER-001 Request for Sheriff to Serve Court Papers.pdf</t>
        </is>
      </c>
      <c r="C33" s="5" t="inlineStr">
        <is>
          <t>Mapped</t>
        </is>
      </c>
      <c r="D33" s="5" t="n">
        <v>5</v>
      </c>
      <c r="E33" s="5" t="n">
        <v>92</v>
      </c>
      <c r="F33" s="5" t="n">
        <v>55</v>
      </c>
      <c r="G33" s="5" t="n">
        <v>37</v>
      </c>
      <c r="H33" s="5" t="n">
        <v>0</v>
      </c>
      <c r="I33" s="5" t="n">
        <v>0</v>
      </c>
      <c r="J33" s="5" t="n">
        <v>3</v>
      </c>
      <c r="K33" s="5" t="inlineStr">
        <is>
          <t>Yes</t>
        </is>
      </c>
      <c r="L33" s="5" t="inlineStr">
        <is>
          <t>Yes</t>
        </is>
      </c>
      <c r="M33" s="5" t="inlineStr">
        <is>
          <t>Yes</t>
        </is>
      </c>
      <c r="N33" s="5" t="inlineStr">
        <is>
          <t>Rev. January 1, 2026</t>
        </is>
      </c>
      <c r="O33" s="5" t="inlineStr">
        <is>
          <t>Yes</t>
        </is>
      </c>
      <c r="P33" s="5" t="inlineStr"/>
    </row>
  </sheetData>
  <autoFilter ref="A1:P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6"/>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6" t="n">
        <v>1</v>
      </c>
      <c r="B2" s="6" t="n">
        <v>1</v>
      </c>
      <c r="C2" s="6" t="inlineStr">
        <is>
          <t>Caption</t>
        </is>
      </c>
      <c r="D2" s="6" t="inlineStr">
        <is>
          <t>Superior Court of California, County of</t>
        </is>
      </c>
      <c r="E2" s="6" t="inlineStr">
        <is>
          <t>DV-100[0].Page1[0].rightCaption[0].CourtInfo[0]</t>
        </is>
      </c>
      <c r="F2" s="6" t="inlineStr">
        <is>
          <t>text</t>
        </is>
      </c>
      <c r="G2" s="6" t="inlineStr"/>
      <c r="H2" s="6" t="inlineStr"/>
      <c r="I2" s="6" t="inlineStr">
        <is>
          <t>400, 207, 574, 274</t>
        </is>
      </c>
      <c r="J2" s="6" t="inlineStr">
        <is>
          <t>derived</t>
        </is>
      </c>
      <c r="K2" s="6" t="inlineStr">
        <is>
          <t>S1,S2</t>
        </is>
      </c>
      <c r="L2" s="6">
        <f> S1.countyName + "\n" + courthouse(S1,S2).streetAddress + ", " + courthouse(S1,S2).cityZip</f>
        <v/>
      </c>
      <c r="M2" s="6" t="inlineStr">
        <is>
          <t>always</t>
        </is>
      </c>
      <c r="N2" s="6" t="inlineStr">
        <is>
          <t>Label "Superior Court of California, County of" is pre-printed; value starts with the county name. Needs a courthouse lookup table (not built yet).</t>
        </is>
      </c>
      <c r="O2" s="6" t="inlineStr"/>
    </row>
    <row r="3">
      <c r="A3" s="5" t="n">
        <v>2</v>
      </c>
      <c r="B3" s="5" t="n">
        <v>1</v>
      </c>
      <c r="C3" s="5" t="inlineStr">
        <is>
          <t>Caption</t>
        </is>
      </c>
      <c r="D3" s="5" t="inlineStr">
        <is>
          <t>Case Number:</t>
        </is>
      </c>
      <c r="E3" s="5" t="inlineStr">
        <is>
          <t>DV-100[0].Page1[0].rightCaption[0].CaseNumber[0]</t>
        </is>
      </c>
      <c r="F3" s="5" t="inlineStr">
        <is>
          <t>text</t>
        </is>
      </c>
      <c r="G3" s="5" t="inlineStr"/>
      <c r="H3" s="5" t="inlineStr"/>
      <c r="I3" s="5" t="inlineStr">
        <is>
          <t>400, 306, 574, 323</t>
        </is>
      </c>
      <c r="J3" s="5" t="inlineStr">
        <is>
          <t>question</t>
        </is>
      </c>
      <c r="K3" s="5" t="inlineStr">
        <is>
          <t>S3,S4</t>
        </is>
      </c>
      <c r="L3" s="5">
        <f> S4</f>
        <v/>
      </c>
      <c r="M3" s="5" t="inlineStr">
        <is>
          <t>S3 == "update"; otherwise blank for clerk</t>
        </is>
      </c>
      <c r="N3" s="5" t="inlineStr">
        <is>
          <t>Case number box, repeated on every page; fill all 13 when known.</t>
        </is>
      </c>
      <c r="O3" s="5" t="inlineStr"/>
    </row>
    <row r="4">
      <c r="A4" s="5" t="n">
        <v>3</v>
      </c>
      <c r="B4" s="5" t="n">
        <v>1</v>
      </c>
      <c r="C4" s="5" t="inlineStr">
        <is>
          <t>1a</t>
        </is>
      </c>
      <c r="D4" s="5" t="inlineStr">
        <is>
          <t>Your name:</t>
        </is>
      </c>
      <c r="E4" s="5" t="inlineStr">
        <is>
          <t>DV-100[0].Page1[0].List1[0].Li1[0].YourName_tf[0]</t>
        </is>
      </c>
      <c r="F4" s="5" t="inlineStr">
        <is>
          <t>text</t>
        </is>
      </c>
      <c r="G4" s="5" t="inlineStr"/>
      <c r="H4" s="5" t="inlineStr"/>
      <c r="I4" s="5" t="inlineStr">
        <is>
          <t>139, 215, 387, 226</t>
        </is>
      </c>
      <c r="J4" s="5" t="inlineStr">
        <is>
          <t>question</t>
        </is>
      </c>
      <c r="K4" s="5" t="inlineStr">
        <is>
          <t>P1</t>
        </is>
      </c>
      <c r="L4" s="5">
        <f> P1</f>
        <v/>
      </c>
      <c r="M4" s="5" t="inlineStr"/>
      <c r="N4" s="5" t="inlineStr"/>
      <c r="O4" s="5" t="inlineStr"/>
    </row>
    <row r="5">
      <c r="A5" s="5" t="n">
        <v>4</v>
      </c>
      <c r="B5" s="5" t="n">
        <v>1</v>
      </c>
      <c r="C5" s="5" t="inlineStr">
        <is>
          <t>1b</t>
        </is>
      </c>
      <c r="D5" s="5" t="inlineStr">
        <is>
          <t>Your age:</t>
        </is>
      </c>
      <c r="E5" s="5" t="inlineStr">
        <is>
          <t>DV-100[0].Page1[0].List1[0].Li2[0].tf[0]</t>
        </is>
      </c>
      <c r="F5" s="5" t="inlineStr">
        <is>
          <t>text</t>
        </is>
      </c>
      <c r="G5" s="5" t="inlineStr"/>
      <c r="H5" s="5" t="inlineStr"/>
      <c r="I5" s="5" t="inlineStr">
        <is>
          <t>129, 235, 230, 246</t>
        </is>
      </c>
      <c r="J5" s="5" t="inlineStr">
        <is>
          <t>question</t>
        </is>
      </c>
      <c r="K5" s="5" t="inlineStr">
        <is>
          <t>P2,P3,G1</t>
        </is>
      </c>
      <c r="L5" s="5">
        <f> P2 ? age(P2, G1) : P3</f>
        <v/>
      </c>
      <c r="M5" s="5" t="inlineStr"/>
      <c r="N5" s="5" t="inlineStr"/>
      <c r="O5" s="5" t="inlineStr"/>
    </row>
    <row r="6">
      <c r="A6" s="5" t="n">
        <v>5</v>
      </c>
      <c r="B6" s="5" t="n">
        <v>1</v>
      </c>
      <c r="C6" s="5" t="inlineStr">
        <is>
          <t>1c</t>
        </is>
      </c>
      <c r="D6" s="5" t="inlineStr">
        <is>
          <t>Address:</t>
        </is>
      </c>
      <c r="E6" s="5" t="inlineStr">
        <is>
          <t>DV-100[0].Page1[0].List1[0].Li3[0].address_ft[0]</t>
        </is>
      </c>
      <c r="F6" s="5" t="inlineStr">
        <is>
          <t>text</t>
        </is>
      </c>
      <c r="G6" s="5" t="inlineStr"/>
      <c r="H6" s="5" t="inlineStr"/>
      <c r="I6" s="5" t="inlineStr">
        <is>
          <t>121, 353, 393, 365</t>
        </is>
      </c>
      <c r="J6" s="5" t="inlineStr">
        <is>
          <t>question</t>
        </is>
      </c>
      <c r="K6" s="5" t="inlineStr">
        <is>
          <t>S5,L4,P6</t>
        </is>
      </c>
      <c r="L6" s="5">
        <f> S5 == "Y" ? L4.street : P6.street</f>
        <v/>
      </c>
      <c r="M6" s="5" t="inlineStr">
        <is>
          <t>always</t>
        </is>
      </c>
      <c r="N6" s="5" t="inlineStr">
        <is>
          <t>Safe mailing address. Respondent receives DV-100: show the P6 warning.</t>
        </is>
      </c>
      <c r="O6" s="5" t="inlineStr"/>
    </row>
    <row r="7">
      <c r="A7" s="5" t="n">
        <v>6</v>
      </c>
      <c r="B7" s="5" t="n">
        <v>1</v>
      </c>
      <c r="C7" s="5" t="inlineStr">
        <is>
          <t>1c</t>
        </is>
      </c>
      <c r="D7" s="5" t="inlineStr">
        <is>
          <t>City:</t>
        </is>
      </c>
      <c r="E7" s="5" t="inlineStr">
        <is>
          <t>DV-100[0].Page1[0].List1[0].Li3[0].T70[0]</t>
        </is>
      </c>
      <c r="F7" s="5" t="inlineStr">
        <is>
          <t>text</t>
        </is>
      </c>
      <c r="G7" s="5" t="inlineStr"/>
      <c r="H7" s="5" t="inlineStr"/>
      <c r="I7" s="5" t="inlineStr">
        <is>
          <t>104, 369, 231, 380</t>
        </is>
      </c>
      <c r="J7" s="5" t="inlineStr">
        <is>
          <t>question</t>
        </is>
      </c>
      <c r="K7" s="5" t="inlineStr">
        <is>
          <t>S5,L4,P6</t>
        </is>
      </c>
      <c r="L7" s="5">
        <f> S5 == "Y" ? L4.city : P6.city</f>
        <v/>
      </c>
      <c r="M7" s="5" t="inlineStr">
        <is>
          <t>always</t>
        </is>
      </c>
      <c r="N7" s="5" t="inlineStr">
        <is>
          <t>Safe mailing address. Respondent receives DV-100: show the P6 warning.</t>
        </is>
      </c>
      <c r="O7" s="5" t="inlineStr"/>
    </row>
    <row r="8">
      <c r="A8" s="5" t="n">
        <v>7</v>
      </c>
      <c r="B8" s="5" t="n">
        <v>1</v>
      </c>
      <c r="C8" s="5" t="inlineStr">
        <is>
          <t>1c</t>
        </is>
      </c>
      <c r="D8" s="5" t="inlineStr">
        <is>
          <t>State</t>
        </is>
      </c>
      <c r="E8" s="5" t="inlineStr">
        <is>
          <t>DV-100[0].Page1[0].List1[0].Li3[0].T76[0]</t>
        </is>
      </c>
      <c r="F8" s="5" t="inlineStr">
        <is>
          <t>text</t>
        </is>
      </c>
      <c r="G8" s="5" t="inlineStr"/>
      <c r="H8" s="5" t="inlineStr"/>
      <c r="I8" s="5" t="inlineStr">
        <is>
          <t>260, 369, 348, 380</t>
        </is>
      </c>
      <c r="J8" s="5" t="inlineStr">
        <is>
          <t>question</t>
        </is>
      </c>
      <c r="K8" s="5" t="inlineStr">
        <is>
          <t>S5,L4,P6</t>
        </is>
      </c>
      <c r="L8" s="5">
        <f> S5 == "Y" ? L4.state : P6.state</f>
        <v/>
      </c>
      <c r="M8" s="5" t="inlineStr">
        <is>
          <t>always</t>
        </is>
      </c>
      <c r="N8" s="5" t="inlineStr">
        <is>
          <t>Safe mailing address. Respondent receives DV-100: show the P6 warning.</t>
        </is>
      </c>
      <c r="O8" s="5" t="inlineStr"/>
    </row>
    <row r="9">
      <c r="A9" s="5" t="n">
        <v>8</v>
      </c>
      <c r="B9" s="5" t="n">
        <v>1</v>
      </c>
      <c r="C9" s="5" t="inlineStr">
        <is>
          <t>1c</t>
        </is>
      </c>
      <c r="D9" s="5" t="inlineStr">
        <is>
          <t>Zip:</t>
        </is>
      </c>
      <c r="E9" s="5" t="inlineStr">
        <is>
          <t>DV-100[0].Page1[0].List1[0].Li3[0].T77[0]</t>
        </is>
      </c>
      <c r="F9" s="5" t="inlineStr">
        <is>
          <t>text</t>
        </is>
      </c>
      <c r="G9" s="5" t="inlineStr"/>
      <c r="H9" s="5" t="inlineStr"/>
      <c r="I9" s="5" t="inlineStr">
        <is>
          <t>372, 369, 434, 380</t>
        </is>
      </c>
      <c r="J9" s="5" t="inlineStr">
        <is>
          <t>question</t>
        </is>
      </c>
      <c r="K9" s="5" t="inlineStr">
        <is>
          <t>S5,L4,P6</t>
        </is>
      </c>
      <c r="L9" s="5">
        <f> S5 == "Y" ? L4.zip : P6.zip</f>
        <v/>
      </c>
      <c r="M9" s="5" t="inlineStr">
        <is>
          <t>always</t>
        </is>
      </c>
      <c r="N9" s="5" t="inlineStr">
        <is>
          <t>Safe mailing address. Respondent receives DV-100: show the P6 warning.</t>
        </is>
      </c>
      <c r="O9" s="5" t="inlineStr"/>
    </row>
    <row r="10">
      <c r="A10" s="5" t="n">
        <v>9</v>
      </c>
      <c r="B10" s="5" t="n">
        <v>1</v>
      </c>
      <c r="C10" s="5" t="inlineStr">
        <is>
          <t>1d</t>
        </is>
      </c>
      <c r="D10" s="5" t="inlineStr">
        <is>
          <t>Telephone:</t>
        </is>
      </c>
      <c r="E10" s="5" t="inlineStr">
        <is>
          <t>DV-100[0].Page1[0].List1[0].Li4[0].T42[0]</t>
        </is>
      </c>
      <c r="F10" s="5" t="inlineStr">
        <is>
          <t>text</t>
        </is>
      </c>
      <c r="G10" s="5" t="inlineStr"/>
      <c r="H10" s="5" t="inlineStr"/>
      <c r="I10" s="5" t="inlineStr">
        <is>
          <t>130, 449, 251, 460</t>
        </is>
      </c>
      <c r="J10" s="5" t="inlineStr">
        <is>
          <t>question</t>
        </is>
      </c>
      <c r="K10" s="5" t="inlineStr">
        <is>
          <t>S5,L5,P7</t>
        </is>
      </c>
      <c r="L10" s="5">
        <f> S5 == "Y" ? L5.phone : P7</f>
        <v/>
      </c>
      <c r="M10" s="5" t="inlineStr">
        <is>
          <t>optional</t>
        </is>
      </c>
      <c r="N10" s="5" t="inlineStr"/>
      <c r="O10" s="5" t="inlineStr"/>
    </row>
    <row r="11">
      <c r="A11" s="5" t="n">
        <v>10</v>
      </c>
      <c r="B11" s="5" t="n">
        <v>1</v>
      </c>
      <c r="C11" s="5" t="inlineStr">
        <is>
          <t>1d</t>
        </is>
      </c>
      <c r="D11" s="5" t="inlineStr">
        <is>
          <t>Fax:</t>
        </is>
      </c>
      <c r="E11" s="5" t="inlineStr">
        <is>
          <t>DV-100[0].Page1[0].List1[0].Li4[0].T67[0]</t>
        </is>
      </c>
      <c r="F11" s="5" t="inlineStr">
        <is>
          <t>text</t>
        </is>
      </c>
      <c r="G11" s="5" t="inlineStr"/>
      <c r="H11" s="5" t="inlineStr"/>
      <c r="I11" s="5" t="inlineStr">
        <is>
          <t>284, 449, 400, 460</t>
        </is>
      </c>
      <c r="J11" s="5" t="inlineStr">
        <is>
          <t>question</t>
        </is>
      </c>
      <c r="K11" s="5" t="inlineStr">
        <is>
          <t>S5,L5,P8</t>
        </is>
      </c>
      <c r="L11" s="5">
        <f> S5 == "Y" ? L5.fax : P8.fax</f>
        <v/>
      </c>
      <c r="M11" s="5" t="inlineStr">
        <is>
          <t>optional</t>
        </is>
      </c>
      <c r="N11" s="5" t="inlineStr"/>
      <c r="O11" s="5" t="inlineStr"/>
    </row>
    <row r="12">
      <c r="A12" s="5" t="n">
        <v>11</v>
      </c>
      <c r="B12" s="5" t="n">
        <v>1</v>
      </c>
      <c r="C12" s="5" t="inlineStr">
        <is>
          <t>1d</t>
        </is>
      </c>
      <c r="D12" s="5" t="inlineStr">
        <is>
          <t>Email Address:</t>
        </is>
      </c>
      <c r="E12" s="5" t="inlineStr">
        <is>
          <t>DV-100[0].Page1[0].List1[0].Li4[0].T73[0]</t>
        </is>
      </c>
      <c r="F12" s="5" t="inlineStr">
        <is>
          <t>text</t>
        </is>
      </c>
      <c r="G12" s="5" t="inlineStr"/>
      <c r="H12" s="5" t="inlineStr"/>
      <c r="I12" s="5" t="inlineStr">
        <is>
          <t>153, 464, 439, 475</t>
        </is>
      </c>
      <c r="J12" s="5" t="inlineStr">
        <is>
          <t>question</t>
        </is>
      </c>
      <c r="K12" s="5" t="inlineStr">
        <is>
          <t>S5,L5,P8</t>
        </is>
      </c>
      <c r="L12" s="5">
        <f> S5 == "Y" ? L5.email : P8.email</f>
        <v/>
      </c>
      <c r="M12" s="5" t="inlineStr">
        <is>
          <t>optional</t>
        </is>
      </c>
      <c r="N12" s="5" t="inlineStr"/>
      <c r="O12" s="5" t="inlineStr"/>
    </row>
    <row r="13">
      <c r="A13" s="5" t="n">
        <v>12</v>
      </c>
      <c r="B13" s="5" t="n">
        <v>1</v>
      </c>
      <c r="C13" s="5" t="inlineStr">
        <is>
          <t>1e</t>
        </is>
      </c>
      <c r="D13" s="5" t="inlineStr">
        <is>
          <t>Name:</t>
        </is>
      </c>
      <c r="E13" s="5" t="inlineStr">
        <is>
          <t>DV-100[0].Page1[0].List1[0].Li5[0].ParentRel1[0]</t>
        </is>
      </c>
      <c r="F13" s="5" t="inlineStr">
        <is>
          <t>text</t>
        </is>
      </c>
      <c r="G13" s="5" t="inlineStr"/>
      <c r="H13" s="5" t="inlineStr"/>
      <c r="I13" s="5" t="inlineStr">
        <is>
          <t>111, 513, 316, 524</t>
        </is>
      </c>
      <c r="J13" s="5" t="inlineStr">
        <is>
          <t>question</t>
        </is>
      </c>
      <c r="K13" s="5" t="inlineStr">
        <is>
          <t>L1</t>
        </is>
      </c>
      <c r="L13" s="5">
        <f> L1</f>
        <v/>
      </c>
      <c r="M13" s="5" t="inlineStr">
        <is>
          <t>S5 == "Y"</t>
        </is>
      </c>
      <c r="N13" s="5" t="inlineStr">
        <is>
          <t>Lawyer name (field name is a leftover "ParentRel1").</t>
        </is>
      </c>
      <c r="O13" s="5" t="inlineStr"/>
    </row>
    <row r="14">
      <c r="A14" s="5" t="n">
        <v>13</v>
      </c>
      <c r="B14" s="5" t="n">
        <v>1</v>
      </c>
      <c r="C14" s="5" t="inlineStr">
        <is>
          <t>1e</t>
        </is>
      </c>
      <c r="D14" s="5" t="inlineStr">
        <is>
          <t>State Bar No.:</t>
        </is>
      </c>
      <c r="E14" s="5" t="inlineStr">
        <is>
          <t>DV-100[0].Page1[0].List1[0].Li5[0].ParentRel2[0]</t>
        </is>
      </c>
      <c r="F14" s="5" t="inlineStr">
        <is>
          <t>text</t>
        </is>
      </c>
      <c r="G14" s="5" t="inlineStr"/>
      <c r="H14" s="5" t="inlineStr"/>
      <c r="I14" s="5" t="inlineStr">
        <is>
          <t>386, 513, 474, 524</t>
        </is>
      </c>
      <c r="J14" s="5" t="inlineStr">
        <is>
          <t>question</t>
        </is>
      </c>
      <c r="K14" s="5" t="inlineStr">
        <is>
          <t>L2</t>
        </is>
      </c>
      <c r="L14" s="5">
        <f> L2</f>
        <v/>
      </c>
      <c r="M14" s="5" t="inlineStr">
        <is>
          <t>S5 == "Y"</t>
        </is>
      </c>
      <c r="N14" s="5" t="inlineStr"/>
      <c r="O14" s="5" t="inlineStr"/>
    </row>
    <row r="15">
      <c r="A15" s="5" t="n">
        <v>14</v>
      </c>
      <c r="B15" s="5" t="n">
        <v>1</v>
      </c>
      <c r="C15" s="5" t="inlineStr">
        <is>
          <t>1e</t>
        </is>
      </c>
      <c r="D15" s="5" t="inlineStr">
        <is>
          <t>Firm Name:</t>
        </is>
      </c>
      <c r="E15" s="5" t="inlineStr">
        <is>
          <t>DV-100[0].Page1[0].List1[0].Li5[0].ParentRel[0]</t>
        </is>
      </c>
      <c r="F15" s="5" t="inlineStr">
        <is>
          <t>text</t>
        </is>
      </c>
      <c r="G15" s="5" t="inlineStr"/>
      <c r="H15" s="5" t="inlineStr"/>
      <c r="I15" s="5" t="inlineStr">
        <is>
          <t>135, 528, 477, 539</t>
        </is>
      </c>
      <c r="J15" s="5" t="inlineStr">
        <is>
          <t>question</t>
        </is>
      </c>
      <c r="K15" s="5" t="inlineStr">
        <is>
          <t>L3</t>
        </is>
      </c>
      <c r="L15" s="5">
        <f> L3</f>
        <v/>
      </c>
      <c r="M15" s="5" t="inlineStr">
        <is>
          <t>S5 == "Y"</t>
        </is>
      </c>
      <c r="N15" s="5" t="inlineStr"/>
      <c r="O15" s="5" t="inlineStr"/>
    </row>
    <row r="16">
      <c r="A16" s="5" t="n">
        <v>15</v>
      </c>
      <c r="B16" s="5" t="n">
        <v>1</v>
      </c>
      <c r="C16" s="5" t="inlineStr">
        <is>
          <t>2a</t>
        </is>
      </c>
      <c r="D16" s="5" t="inlineStr">
        <is>
          <t>Full name:</t>
        </is>
      </c>
      <c r="E16" s="5" t="inlineStr">
        <is>
          <t>DV-100[0].Page1[0].List2[0].Li1[0].TextField[0]</t>
        </is>
      </c>
      <c r="F16" s="5" t="inlineStr">
        <is>
          <t>text</t>
        </is>
      </c>
      <c r="G16" s="5" t="inlineStr"/>
      <c r="H16" s="5" t="inlineStr"/>
      <c r="I16" s="5" t="inlineStr">
        <is>
          <t>138, 598, 567, 610</t>
        </is>
      </c>
      <c r="J16" s="5" t="inlineStr">
        <is>
          <t>question</t>
        </is>
      </c>
      <c r="K16" s="5" t="inlineStr">
        <is>
          <t>R1</t>
        </is>
      </c>
      <c r="L16" s="5">
        <f> R1</f>
        <v/>
      </c>
      <c r="M16" s="5" t="inlineStr"/>
      <c r="N16" s="5" t="inlineStr"/>
      <c r="O16" s="5" t="inlineStr"/>
    </row>
    <row r="17">
      <c r="A17" s="5" t="n">
        <v>16</v>
      </c>
      <c r="B17" s="5" t="n">
        <v>1</v>
      </c>
      <c r="C17" s="5" t="inlineStr">
        <is>
          <t>2b</t>
        </is>
      </c>
      <c r="D17" s="5" t="inlineStr">
        <is>
          <t>Age (give estimate if you do not know exact age):</t>
        </is>
      </c>
      <c r="E17" s="5" t="inlineStr">
        <is>
          <t>DV-100[0].Page1[0].List2[0].Li2[0].T78[0]</t>
        </is>
      </c>
      <c r="F17" s="5" t="inlineStr">
        <is>
          <t>text</t>
        </is>
      </c>
      <c r="G17" s="5" t="inlineStr"/>
      <c r="H17" s="5" t="inlineStr"/>
      <c r="I17" s="5" t="inlineStr">
        <is>
          <t>299, 616, 511, 627</t>
        </is>
      </c>
      <c r="J17" s="5" t="inlineStr">
        <is>
          <t>question</t>
        </is>
      </c>
      <c r="K17" s="5" t="inlineStr">
        <is>
          <t>R3,R4,G1</t>
        </is>
      </c>
      <c r="L17" s="5">
        <f> R3 ? age(R3, G1) : R4</f>
        <v/>
      </c>
      <c r="M17" s="5" t="inlineStr"/>
      <c r="N17" s="5" t="inlineStr"/>
      <c r="O17" s="5" t="inlineStr"/>
    </row>
    <row r="18">
      <c r="A18" s="5" t="n">
        <v>17</v>
      </c>
      <c r="B18" s="5" t="n">
        <v>1</v>
      </c>
      <c r="C18" s="5" t="inlineStr">
        <is>
          <t>2c</t>
        </is>
      </c>
      <c r="D18" s="5" t="inlineStr">
        <is>
          <t>Date of birth (if known):</t>
        </is>
      </c>
      <c r="E18" s="5" t="inlineStr">
        <is>
          <t>DV-100[0].Page1[0].List2[0].Li3[0].T78[0]</t>
        </is>
      </c>
      <c r="F18" s="5" t="inlineStr">
        <is>
          <t>text</t>
        </is>
      </c>
      <c r="G18" s="5" t="inlineStr"/>
      <c r="H18" s="5" t="inlineStr"/>
      <c r="I18" s="5" t="inlineStr">
        <is>
          <t>194, 635, 511, 646</t>
        </is>
      </c>
      <c r="J18" s="5" t="inlineStr">
        <is>
          <t>question</t>
        </is>
      </c>
      <c r="K18" s="5" t="inlineStr">
        <is>
          <t>R3</t>
        </is>
      </c>
      <c r="L18" s="5">
        <f> fmtDate(R3)</f>
        <v/>
      </c>
      <c r="M18" s="5" t="inlineStr">
        <is>
          <t>R3 given</t>
        </is>
      </c>
      <c r="N18" s="5" t="inlineStr"/>
      <c r="O18" s="5" t="inlineStr"/>
    </row>
    <row r="19">
      <c r="A19" s="5" t="n">
        <v>18</v>
      </c>
      <c r="B19" s="5" t="n">
        <v>1</v>
      </c>
      <c r="C19" s="5" t="inlineStr">
        <is>
          <t>2d</t>
        </is>
      </c>
      <c r="D19" s="5" t="inlineStr">
        <is>
          <t>M</t>
        </is>
      </c>
      <c r="E19" s="5" t="inlineStr">
        <is>
          <t>DV-100[0].Page1[0].List2[0].Li4[0].gender2d_cb[0]</t>
        </is>
      </c>
      <c r="F19" s="5" t="inlineStr">
        <is>
          <t>checkbox</t>
        </is>
      </c>
      <c r="G19" s="5" t="inlineStr">
        <is>
          <t>1</t>
        </is>
      </c>
      <c r="H19" s="5" t="inlineStr"/>
      <c r="I19" s="5" t="inlineStr">
        <is>
          <t>123, 654, 132, 663</t>
        </is>
      </c>
      <c r="J19" s="5" t="inlineStr">
        <is>
          <t>question</t>
        </is>
      </c>
      <c r="K19" s="5" t="inlineStr">
        <is>
          <t>R5</t>
        </is>
      </c>
      <c r="L19" s="5" t="inlineStr">
        <is>
          <t>check if R5 == "M"</t>
        </is>
      </c>
      <c r="M19" s="5" t="inlineStr"/>
      <c r="N19" s="5" t="inlineStr">
        <is>
          <t>Three separate checkbox fields, not a radio group: set one, leave the others Off.</t>
        </is>
      </c>
      <c r="O19" s="5" t="inlineStr"/>
    </row>
    <row r="20">
      <c r="A20" s="5" t="n">
        <v>19</v>
      </c>
      <c r="B20" s="5" t="n">
        <v>1</v>
      </c>
      <c r="C20" s="5" t="inlineStr">
        <is>
          <t>2d</t>
        </is>
      </c>
      <c r="D20" s="5" t="inlineStr">
        <is>
          <t>F</t>
        </is>
      </c>
      <c r="E20" s="5" t="inlineStr">
        <is>
          <t>DV-100[0].Page1[0].List2[0].Li4[0].gender2d_cb[1]</t>
        </is>
      </c>
      <c r="F20" s="5" t="inlineStr">
        <is>
          <t>checkbox</t>
        </is>
      </c>
      <c r="G20" s="5" t="inlineStr">
        <is>
          <t>3</t>
        </is>
      </c>
      <c r="H20" s="5" t="inlineStr"/>
      <c r="I20" s="5" t="inlineStr">
        <is>
          <t>171, 654, 180, 663</t>
        </is>
      </c>
      <c r="J20" s="5" t="inlineStr">
        <is>
          <t>question</t>
        </is>
      </c>
      <c r="K20" s="5" t="inlineStr">
        <is>
          <t>R5</t>
        </is>
      </c>
      <c r="L20" s="5" t="inlineStr">
        <is>
          <t>check if R5 == "F"</t>
        </is>
      </c>
      <c r="M20" s="5" t="inlineStr"/>
      <c r="N20" s="5" t="inlineStr"/>
      <c r="O20" s="5" t="inlineStr"/>
    </row>
    <row r="21">
      <c r="A21" s="5" t="n">
        <v>20</v>
      </c>
      <c r="B21" s="5" t="n">
        <v>1</v>
      </c>
      <c r="C21" s="5" t="inlineStr">
        <is>
          <t>2d</t>
        </is>
      </c>
      <c r="D21" s="5" t="inlineStr">
        <is>
          <t>Nonbinary</t>
        </is>
      </c>
      <c r="E21" s="5" t="inlineStr">
        <is>
          <t>DV-100[0].Page1[0].List2[0].Li4[0].gender2d_cb[2]</t>
        </is>
      </c>
      <c r="F21" s="5" t="inlineStr">
        <is>
          <t>checkbox</t>
        </is>
      </c>
      <c r="G21" s="5" t="inlineStr">
        <is>
          <t>5</t>
        </is>
      </c>
      <c r="H21" s="5" t="inlineStr"/>
      <c r="I21" s="5" t="inlineStr">
        <is>
          <t>218, 654, 227, 663</t>
        </is>
      </c>
      <c r="J21" s="5" t="inlineStr">
        <is>
          <t>question</t>
        </is>
      </c>
      <c r="K21" s="5" t="inlineStr">
        <is>
          <t>R5</t>
        </is>
      </c>
      <c r="L21" s="5" t="inlineStr">
        <is>
          <t>check if R5 == "X"</t>
        </is>
      </c>
      <c r="M21" s="5" t="inlineStr"/>
      <c r="N21" s="5" t="inlineStr"/>
      <c r="O21" s="5" t="inlineStr"/>
    </row>
    <row r="22">
      <c r="A22" s="5" t="n">
        <v>21</v>
      </c>
      <c r="B22" s="5" t="n">
        <v>1</v>
      </c>
      <c r="C22" s="5" t="inlineStr">
        <is>
          <t>2e</t>
        </is>
      </c>
      <c r="D22" s="5" t="inlineStr">
        <is>
          <t>Race:</t>
        </is>
      </c>
      <c r="E22" s="5" t="inlineStr">
        <is>
          <t>DV-100[0].Page1[0].List2[0].li5[0].TextField[0]</t>
        </is>
      </c>
      <c r="F22" s="5" t="inlineStr">
        <is>
          <t>text</t>
        </is>
      </c>
      <c r="G22" s="5" t="inlineStr"/>
      <c r="H22" s="5" t="inlineStr"/>
      <c r="I22" s="5" t="inlineStr">
        <is>
          <t>108, 670, 367, 682</t>
        </is>
      </c>
      <c r="J22" s="5" t="inlineStr">
        <is>
          <t>question</t>
        </is>
      </c>
      <c r="K22" s="5" t="inlineStr">
        <is>
          <t>R6</t>
        </is>
      </c>
      <c r="L22" s="5">
        <f> R6</f>
        <v/>
      </c>
      <c r="M22" s="5" t="inlineStr"/>
      <c r="N22" s="5" t="inlineStr"/>
      <c r="O22" s="5" t="inlineStr"/>
    </row>
    <row r="23">
      <c r="A23" s="5" t="n">
        <v>22</v>
      </c>
      <c r="B23" s="5" t="n">
        <v>2</v>
      </c>
      <c r="C23" s="5" t="inlineStr">
        <is>
          <t>Caption</t>
        </is>
      </c>
      <c r="D23" s="5" t="inlineStr">
        <is>
          <t>Case Number:</t>
        </is>
      </c>
      <c r="E23" s="5" t="inlineStr">
        <is>
          <t>DV-100[0].Page2[0].PxCaption[0].CaseNumber[0]</t>
        </is>
      </c>
      <c r="F23" s="5" t="inlineStr">
        <is>
          <t>text</t>
        </is>
      </c>
      <c r="G23" s="5" t="inlineStr"/>
      <c r="H23" s="5" t="inlineStr"/>
      <c r="I23" s="5" t="inlineStr">
        <is>
          <t>398, 48, 573, 63</t>
        </is>
      </c>
      <c r="J23" s="5" t="inlineStr">
        <is>
          <t>question</t>
        </is>
      </c>
      <c r="K23" s="5" t="inlineStr">
        <is>
          <t>S3,S4</t>
        </is>
      </c>
      <c r="L23" s="5">
        <f> S4</f>
        <v/>
      </c>
      <c r="M23" s="5" t="inlineStr">
        <is>
          <t>S3 == "update"; otherwise blank for clerk</t>
        </is>
      </c>
      <c r="N23" s="5" t="inlineStr">
        <is>
          <t>Case number box, repeated on every page; fill all 13 when known.</t>
        </is>
      </c>
      <c r="O23" s="5" t="inlineStr"/>
    </row>
    <row r="24">
      <c r="A24" s="5" t="n">
        <v>23</v>
      </c>
      <c r="B24" s="5" t="n">
        <v>2</v>
      </c>
      <c r="C24" s="5" t="inlineStr">
        <is>
          <t>3a</t>
        </is>
      </c>
      <c r="D24" s="5" t="inlineStr">
        <is>
          <t>We have a child or children together</t>
        </is>
      </c>
      <c r="E24" s="5" t="inlineStr">
        <is>
          <t>DV-100[0].Page2[0].List3[0].Li1[0].CheckBox2[0]</t>
        </is>
      </c>
      <c r="F24" s="5" t="inlineStr">
        <is>
          <t>checkbox</t>
        </is>
      </c>
      <c r="G24" s="5" t="inlineStr">
        <is>
          <t>1</t>
        </is>
      </c>
      <c r="H24" s="5" t="inlineStr"/>
      <c r="I24" s="5" t="inlineStr">
        <is>
          <t>78, 146, 87, 155</t>
        </is>
      </c>
      <c r="J24" s="5" t="inlineStr">
        <is>
          <t>question</t>
        </is>
      </c>
      <c r="K24" s="5" t="inlineStr">
        <is>
          <t>RL1</t>
        </is>
      </c>
      <c r="L24" s="5" t="inlineStr">
        <is>
          <t>check if RL1 has "children"</t>
        </is>
      </c>
      <c r="M24" s="5" t="inlineStr"/>
      <c r="N24" s="5" t="inlineStr"/>
      <c r="O24" s="5" t="inlineStr"/>
    </row>
    <row r="25">
      <c r="A25" s="6" t="n">
        <v>24</v>
      </c>
      <c r="B25" s="6" t="n">
        <v>2</v>
      </c>
      <c r="C25" s="6" t="inlineStr">
        <is>
          <t>3a</t>
        </is>
      </c>
      <c r="D25" s="6" t="inlineStr">
        <is>
          <t>We have a child or children together (names of children):</t>
        </is>
      </c>
      <c r="E25" s="6" t="inlineStr">
        <is>
          <t>DV-100[0].Page2[0].List3[0].Li1[0].TextField[0]</t>
        </is>
      </c>
      <c r="F25" s="6" t="inlineStr">
        <is>
          <t>text</t>
        </is>
      </c>
      <c r="G25" s="6" t="inlineStr"/>
      <c r="H25" s="6" t="inlineStr"/>
      <c r="I25" s="6" t="inlineStr">
        <is>
          <t>352, 145, 573, 157</t>
        </is>
      </c>
      <c r="J25" s="6" t="inlineStr">
        <is>
          <t>derived</t>
        </is>
      </c>
      <c r="K25" s="6" t="inlineStr">
        <is>
          <t>PR1,PR7</t>
        </is>
      </c>
      <c r="L25" s="6">
        <f> join(roster.where(PR7=="Y").PR1, ", ") [line 1]</f>
        <v/>
      </c>
      <c r="M25" s="6" t="inlineStr">
        <is>
          <t>RL1 has "children"</t>
        </is>
      </c>
      <c r="N25" s="6" t="inlineStr">
        <is>
          <t>Wrap the overflow onto line 2.</t>
        </is>
      </c>
      <c r="O25" s="6" t="inlineStr"/>
    </row>
    <row r="26">
      <c r="A26" s="6" t="n">
        <v>25</v>
      </c>
      <c r="B26" s="6" t="n">
        <v>2</v>
      </c>
      <c r="C26" s="6" t="inlineStr">
        <is>
          <t>3a</t>
        </is>
      </c>
      <c r="D26" s="6" t="inlineStr">
        <is>
          <t>We have a child or children together (names of children):</t>
        </is>
      </c>
      <c r="E26" s="6" t="inlineStr">
        <is>
          <t>DV-100[0].Page2[0].List3[0].Li1[0].TextField1[0]</t>
        </is>
      </c>
      <c r="F26" s="6" t="inlineStr">
        <is>
          <t>text</t>
        </is>
      </c>
      <c r="G26" s="6" t="inlineStr"/>
      <c r="H26" s="6" t="inlineStr"/>
      <c r="I26" s="6" t="inlineStr">
        <is>
          <t>95, 160, 573, 172</t>
        </is>
      </c>
      <c r="J26" s="6" t="inlineStr">
        <is>
          <t>derived</t>
        </is>
      </c>
      <c r="K26" s="6" t="inlineStr">
        <is>
          <t>PR1,PR7</t>
        </is>
      </c>
      <c r="L26" s="6">
        <f> [overflow of line 1]</f>
        <v/>
      </c>
      <c r="M26" s="6" t="inlineStr">
        <is>
          <t>RL1 has "children"</t>
        </is>
      </c>
      <c r="N26" s="6" t="inlineStr"/>
      <c r="O26" s="6" t="inlineStr"/>
    </row>
    <row r="27">
      <c r="A27" s="5" t="n">
        <v>26</v>
      </c>
      <c r="B27" s="5" t="n">
        <v>2</v>
      </c>
      <c r="C27" s="5" t="inlineStr">
        <is>
          <t>3b</t>
        </is>
      </c>
      <c r="D27" s="5" t="inlineStr">
        <is>
          <t>We are married or registered domestic partners.</t>
        </is>
      </c>
      <c r="E27" s="5" t="inlineStr">
        <is>
          <t>DV-100[0].Page2[0].List3[0].Li2[0].CheckBox2[0]</t>
        </is>
      </c>
      <c r="F27" s="5" t="inlineStr">
        <is>
          <t>checkbox</t>
        </is>
      </c>
      <c r="G27" s="5" t="inlineStr">
        <is>
          <t>1</t>
        </is>
      </c>
      <c r="H27" s="5" t="inlineStr"/>
      <c r="I27" s="5" t="inlineStr">
        <is>
          <t>78, 180, 87, 189</t>
        </is>
      </c>
      <c r="J27" s="5" t="inlineStr">
        <is>
          <t>question</t>
        </is>
      </c>
      <c r="K27" s="5" t="inlineStr">
        <is>
          <t>RL1</t>
        </is>
      </c>
      <c r="L27" s="5" t="inlineStr">
        <is>
          <t>check if RL1 has "married"</t>
        </is>
      </c>
      <c r="M27" s="5" t="inlineStr"/>
      <c r="N27" s="5" t="inlineStr"/>
      <c r="O27" s="5" t="inlineStr"/>
    </row>
    <row r="28">
      <c r="A28" s="5" t="n">
        <v>27</v>
      </c>
      <c r="B28" s="5" t="n">
        <v>2</v>
      </c>
      <c r="C28" s="5" t="inlineStr">
        <is>
          <t>3c</t>
        </is>
      </c>
      <c r="D28" s="5" t="inlineStr">
        <is>
          <t>We used to be married or registered domestic partners.</t>
        </is>
      </c>
      <c r="E28" s="5" t="inlineStr">
        <is>
          <t>DV-100[0].Page2[0].List3[0].Li3[0].CheckBox2[0]</t>
        </is>
      </c>
      <c r="F28" s="5" t="inlineStr">
        <is>
          <t>checkbox</t>
        </is>
      </c>
      <c r="G28" s="5" t="inlineStr">
        <is>
          <t>1</t>
        </is>
      </c>
      <c r="H28" s="5" t="inlineStr"/>
      <c r="I28" s="5" t="inlineStr">
        <is>
          <t>78, 198, 87, 207</t>
        </is>
      </c>
      <c r="J28" s="5" t="inlineStr">
        <is>
          <t>question</t>
        </is>
      </c>
      <c r="K28" s="5" t="inlineStr">
        <is>
          <t>RL1</t>
        </is>
      </c>
      <c r="L28" s="5" t="inlineStr">
        <is>
          <t>check if RL1 has "formerly married"</t>
        </is>
      </c>
      <c r="M28" s="5" t="inlineStr"/>
      <c r="N28" s="5" t="inlineStr"/>
      <c r="O28" s="5" t="inlineStr"/>
    </row>
    <row r="29">
      <c r="A29" s="5" t="n">
        <v>28</v>
      </c>
      <c r="B29" s="5" t="n">
        <v>2</v>
      </c>
      <c r="C29" s="5" t="inlineStr">
        <is>
          <t>3d</t>
        </is>
      </c>
      <c r="D29" s="5" t="inlineStr">
        <is>
          <t>We are dating or used to date.</t>
        </is>
      </c>
      <c r="E29" s="5" t="inlineStr">
        <is>
          <t>DV-100[0].Page2[0].List3[0].Li4[0].CheckBox2[0]</t>
        </is>
      </c>
      <c r="F29" s="5" t="inlineStr">
        <is>
          <t>checkbox</t>
        </is>
      </c>
      <c r="G29" s="5" t="inlineStr">
        <is>
          <t>1</t>
        </is>
      </c>
      <c r="H29" s="5" t="inlineStr"/>
      <c r="I29" s="5" t="inlineStr">
        <is>
          <t>78, 216, 87, 225</t>
        </is>
      </c>
      <c r="J29" s="5" t="inlineStr">
        <is>
          <t>question</t>
        </is>
      </c>
      <c r="K29" s="5" t="inlineStr">
        <is>
          <t>RL1</t>
        </is>
      </c>
      <c r="L29" s="5" t="inlineStr">
        <is>
          <t>check if RL1 has "dating"</t>
        </is>
      </c>
      <c r="M29" s="5" t="inlineStr"/>
      <c r="N29" s="5" t="inlineStr"/>
      <c r="O29" s="5" t="inlineStr"/>
    </row>
    <row r="30">
      <c r="A30" s="5" t="n">
        <v>29</v>
      </c>
      <c r="B30" s="5" t="n">
        <v>2</v>
      </c>
      <c r="C30" s="5" t="inlineStr">
        <is>
          <t>3e</t>
        </is>
      </c>
      <c r="D30" s="5" t="inlineStr">
        <is>
          <t>We are or used to be engaged to be married.</t>
        </is>
      </c>
      <c r="E30" s="5" t="inlineStr">
        <is>
          <t>DV-100[0].Page2[0].List3[0].Li5[0].CheckBox2[0]</t>
        </is>
      </c>
      <c r="F30" s="5" t="inlineStr">
        <is>
          <t>checkbox</t>
        </is>
      </c>
      <c r="G30" s="5" t="inlineStr">
        <is>
          <t>1</t>
        </is>
      </c>
      <c r="H30" s="5" t="inlineStr"/>
      <c r="I30" s="5" t="inlineStr">
        <is>
          <t>78, 234, 87, 243</t>
        </is>
      </c>
      <c r="J30" s="5" t="inlineStr">
        <is>
          <t>question</t>
        </is>
      </c>
      <c r="K30" s="5" t="inlineStr">
        <is>
          <t>RL1</t>
        </is>
      </c>
      <c r="L30" s="5" t="inlineStr">
        <is>
          <t>check if RL1 has "engaged"</t>
        </is>
      </c>
      <c r="M30" s="5" t="inlineStr"/>
      <c r="N30" s="5" t="inlineStr"/>
      <c r="O30" s="5" t="inlineStr"/>
    </row>
    <row r="31">
      <c r="A31" s="5" t="n">
        <v>30</v>
      </c>
      <c r="B31" s="5" t="n">
        <v>2</v>
      </c>
      <c r="C31" s="5" t="inlineStr">
        <is>
          <t>3f</t>
        </is>
      </c>
      <c r="D31" s="5" t="inlineStr">
        <is>
          <t>We are related. The person in 2 is my (check all that apply):</t>
        </is>
      </c>
      <c r="E31" s="5" t="inlineStr">
        <is>
          <t>DV-100[0].Page2[0].List3[0].Li6[0].CheckBox1[0]</t>
        </is>
      </c>
      <c r="F31" s="5" t="inlineStr">
        <is>
          <t>checkbox</t>
        </is>
      </c>
      <c r="G31" s="5" t="inlineStr">
        <is>
          <t>1</t>
        </is>
      </c>
      <c r="H31" s="5" t="inlineStr"/>
      <c r="I31" s="5" t="inlineStr">
        <is>
          <t>78, 254, 87, 263</t>
        </is>
      </c>
      <c r="J31" s="5" t="inlineStr">
        <is>
          <t>question</t>
        </is>
      </c>
      <c r="K31" s="5" t="inlineStr">
        <is>
          <t>RL1</t>
        </is>
      </c>
      <c r="L31" s="5" t="inlineStr">
        <is>
          <t>check if RL1 has "related"</t>
        </is>
      </c>
      <c r="M31" s="5" t="inlineStr"/>
      <c r="N31" s="5" t="inlineStr"/>
      <c r="O31" s="5" t="inlineStr"/>
    </row>
    <row r="32">
      <c r="A32" s="5" t="n">
        <v>31</v>
      </c>
      <c r="B32" s="5" t="n">
        <v>2</v>
      </c>
      <c r="C32" s="5" t="inlineStr">
        <is>
          <t>3f</t>
        </is>
      </c>
      <c r="D32" s="5" t="inlineStr">
        <is>
          <t>Parent, stepparent, or parent-in-law</t>
        </is>
      </c>
      <c r="E32" s="5" t="inlineStr">
        <is>
          <t>DV-100[0].Page2[0].List3[0].Li6[0].CheckBox2[0]</t>
        </is>
      </c>
      <c r="F32" s="5" t="inlineStr">
        <is>
          <t>checkbox</t>
        </is>
      </c>
      <c r="G32" s="5" t="inlineStr">
        <is>
          <t>1</t>
        </is>
      </c>
      <c r="H32" s="5" t="inlineStr"/>
      <c r="I32" s="5" t="inlineStr">
        <is>
          <t>95, 270, 104, 279</t>
        </is>
      </c>
      <c r="J32" s="5" t="inlineStr">
        <is>
          <t>question</t>
        </is>
      </c>
      <c r="K32" s="5" t="inlineStr">
        <is>
          <t>RL2</t>
        </is>
      </c>
      <c r="L32" s="5" t="inlineStr">
        <is>
          <t>check if RL2 has "parent/step/in-law"</t>
        </is>
      </c>
      <c r="M32" s="5" t="inlineStr">
        <is>
          <t>RL1 has "related"</t>
        </is>
      </c>
      <c r="N32" s="5" t="inlineStr"/>
      <c r="O32" s="5" t="inlineStr"/>
    </row>
    <row r="33">
      <c r="A33" s="5" t="n">
        <v>32</v>
      </c>
      <c r="B33" s="5" t="n">
        <v>2</v>
      </c>
      <c r="C33" s="5" t="inlineStr">
        <is>
          <t>3f</t>
        </is>
      </c>
      <c r="D33" s="5" t="inlineStr">
        <is>
          <t>Brother, sister, sibling, step-sibling, or sibling in-law</t>
        </is>
      </c>
      <c r="E33" s="5" t="inlineStr">
        <is>
          <t>DV-100[0].Page2[0].List3[0].Li6[0].CheckBox3[0]</t>
        </is>
      </c>
      <c r="F33" s="5" t="inlineStr">
        <is>
          <t>checkbox</t>
        </is>
      </c>
      <c r="G33" s="5" t="inlineStr">
        <is>
          <t>1</t>
        </is>
      </c>
      <c r="H33" s="5" t="inlineStr"/>
      <c r="I33" s="5" t="inlineStr">
        <is>
          <t>311, 270, 320, 279</t>
        </is>
      </c>
      <c r="J33" s="5" t="inlineStr">
        <is>
          <t>question</t>
        </is>
      </c>
      <c r="K33" s="5" t="inlineStr">
        <is>
          <t>RL2</t>
        </is>
      </c>
      <c r="L33" s="5" t="inlineStr">
        <is>
          <t>check if RL2 has "sibling/step/in-law"</t>
        </is>
      </c>
      <c r="M33" s="5" t="inlineStr">
        <is>
          <t>RL1 has "related"</t>
        </is>
      </c>
      <c r="N33" s="5" t="inlineStr"/>
      <c r="O33" s="5" t="inlineStr"/>
    </row>
    <row r="34">
      <c r="A34" s="5" t="n">
        <v>33</v>
      </c>
      <c r="B34" s="5" t="n">
        <v>2</v>
      </c>
      <c r="C34" s="5" t="inlineStr">
        <is>
          <t>3f</t>
        </is>
      </c>
      <c r="D34" s="5" t="inlineStr">
        <is>
          <t>Child, stepchild, or legally adopted child</t>
        </is>
      </c>
      <c r="E34" s="5" t="inlineStr">
        <is>
          <t>DV-100[0].Page2[0].List3[0].Li6[0].CheckBox4[0]</t>
        </is>
      </c>
      <c r="F34" s="5" t="inlineStr">
        <is>
          <t>checkbox</t>
        </is>
      </c>
      <c r="G34" s="5" t="inlineStr">
        <is>
          <t>1</t>
        </is>
      </c>
      <c r="H34" s="5" t="inlineStr"/>
      <c r="I34" s="5" t="inlineStr">
        <is>
          <t>95, 285, 104, 294</t>
        </is>
      </c>
      <c r="J34" s="5" t="inlineStr">
        <is>
          <t>question</t>
        </is>
      </c>
      <c r="K34" s="5" t="inlineStr">
        <is>
          <t>RL2</t>
        </is>
      </c>
      <c r="L34" s="5" t="inlineStr">
        <is>
          <t>check if RL2 has "child/step/adopted"</t>
        </is>
      </c>
      <c r="M34" s="5" t="inlineStr">
        <is>
          <t>RL1 has "related"</t>
        </is>
      </c>
      <c r="N34" s="5" t="inlineStr"/>
      <c r="O34" s="5" t="inlineStr"/>
    </row>
    <row r="35">
      <c r="A35" s="5" t="n">
        <v>34</v>
      </c>
      <c r="B35" s="5" t="n">
        <v>2</v>
      </c>
      <c r="C35" s="5" t="inlineStr">
        <is>
          <t>3f</t>
        </is>
      </c>
      <c r="D35" s="5" t="inlineStr">
        <is>
          <t>Grandparent, step-grandparent, or grandparent-in-law</t>
        </is>
      </c>
      <c r="E35" s="5" t="inlineStr">
        <is>
          <t>DV-100[0].Page2[0].List3[0].Li6[0].CheckBox5[0]</t>
        </is>
      </c>
      <c r="F35" s="5" t="inlineStr">
        <is>
          <t>checkbox</t>
        </is>
      </c>
      <c r="G35" s="5" t="inlineStr">
        <is>
          <t>1</t>
        </is>
      </c>
      <c r="H35" s="5" t="inlineStr"/>
      <c r="I35" s="5" t="inlineStr">
        <is>
          <t>311, 285, 320, 294</t>
        </is>
      </c>
      <c r="J35" s="5" t="inlineStr">
        <is>
          <t>question</t>
        </is>
      </c>
      <c r="K35" s="5" t="inlineStr">
        <is>
          <t>RL2</t>
        </is>
      </c>
      <c r="L35" s="5" t="inlineStr">
        <is>
          <t>check if RL2 has "grandparent"</t>
        </is>
      </c>
      <c r="M35" s="5" t="inlineStr">
        <is>
          <t>RL1 has "related"</t>
        </is>
      </c>
      <c r="N35" s="5" t="inlineStr"/>
      <c r="O35" s="5" t="inlineStr"/>
    </row>
    <row r="36">
      <c r="A36" s="5" t="n">
        <v>35</v>
      </c>
      <c r="B36" s="5" t="n">
        <v>2</v>
      </c>
      <c r="C36" s="5" t="inlineStr">
        <is>
          <t>3f</t>
        </is>
      </c>
      <c r="D36" s="5" t="inlineStr">
        <is>
          <t>Child’s spouse</t>
        </is>
      </c>
      <c r="E36" s="5" t="inlineStr">
        <is>
          <t>DV-100[0].Page2[0].List3[0].Li6[0].CheckBox6[0]</t>
        </is>
      </c>
      <c r="F36" s="5" t="inlineStr">
        <is>
          <t>checkbox</t>
        </is>
      </c>
      <c r="G36" s="5" t="inlineStr">
        <is>
          <t>1</t>
        </is>
      </c>
      <c r="H36" s="5" t="inlineStr"/>
      <c r="I36" s="5" t="inlineStr">
        <is>
          <t>95, 300, 104, 309</t>
        </is>
      </c>
      <c r="J36" s="5" t="inlineStr">
        <is>
          <t>question</t>
        </is>
      </c>
      <c r="K36" s="5" t="inlineStr">
        <is>
          <t>RL2</t>
        </is>
      </c>
      <c r="L36" s="5" t="inlineStr">
        <is>
          <t>check if RL2 has "child's spouse"</t>
        </is>
      </c>
      <c r="M36" s="5" t="inlineStr">
        <is>
          <t>RL1 has "related"</t>
        </is>
      </c>
      <c r="N36" s="5" t="inlineStr"/>
      <c r="O36" s="5" t="inlineStr"/>
    </row>
    <row r="37">
      <c r="A37" s="5" t="n">
        <v>36</v>
      </c>
      <c r="B37" s="5" t="n">
        <v>2</v>
      </c>
      <c r="C37" s="5" t="inlineStr">
        <is>
          <t>3f</t>
        </is>
      </c>
      <c r="D37" s="5" t="inlineStr">
        <is>
          <t>Grandchild, step-grandchild, or grandchild-in-law</t>
        </is>
      </c>
      <c r="E37" s="5" t="inlineStr">
        <is>
          <t>DV-100[0].Page2[0].List3[0].Li6[0].CheckBox7[0]</t>
        </is>
      </c>
      <c r="F37" s="5" t="inlineStr">
        <is>
          <t>checkbox</t>
        </is>
      </c>
      <c r="G37" s="5" t="inlineStr">
        <is>
          <t>1</t>
        </is>
      </c>
      <c r="H37" s="5" t="inlineStr"/>
      <c r="I37" s="5" t="inlineStr">
        <is>
          <t>311, 300, 320, 309</t>
        </is>
      </c>
      <c r="J37" s="5" t="inlineStr">
        <is>
          <t>question</t>
        </is>
      </c>
      <c r="K37" s="5" t="inlineStr">
        <is>
          <t>RL2</t>
        </is>
      </c>
      <c r="L37" s="5" t="inlineStr">
        <is>
          <t>check if RL2 has "grandchild"</t>
        </is>
      </c>
      <c r="M37" s="5" t="inlineStr">
        <is>
          <t>RL1 has "related"</t>
        </is>
      </c>
      <c r="N37" s="5" t="inlineStr"/>
      <c r="O37" s="5" t="inlineStr"/>
    </row>
    <row r="38">
      <c r="A38" s="5" t="n">
        <v>37</v>
      </c>
      <c r="B38" s="5" t="n">
        <v>2</v>
      </c>
      <c r="C38" s="5" t="inlineStr">
        <is>
          <t>3g</t>
        </is>
      </c>
      <c r="D38" s="5" t="inlineStr">
        <is>
          <t>We live together or used to live together. (If checked, answer question below):</t>
        </is>
      </c>
      <c r="E38" s="5" t="inlineStr">
        <is>
          <t>DV-100[0].Page2[0].List3[0].Li7[0].CheckBox2[0]</t>
        </is>
      </c>
      <c r="F38" s="5" t="inlineStr">
        <is>
          <t>checkbox</t>
        </is>
      </c>
      <c r="G38" s="5" t="inlineStr">
        <is>
          <t>1</t>
        </is>
      </c>
      <c r="H38" s="5" t="inlineStr"/>
      <c r="I38" s="5" t="inlineStr">
        <is>
          <t>78, 327, 87, 336</t>
        </is>
      </c>
      <c r="J38" s="5" t="inlineStr">
        <is>
          <t>question</t>
        </is>
      </c>
      <c r="K38" s="5" t="inlineStr">
        <is>
          <t>RL1</t>
        </is>
      </c>
      <c r="L38" s="5" t="inlineStr">
        <is>
          <t>check if RL1 has "live together"</t>
        </is>
      </c>
      <c r="M38" s="5" t="inlineStr"/>
      <c r="N38" s="5" t="inlineStr"/>
      <c r="O38" s="5" t="inlineStr"/>
    </row>
    <row r="39">
      <c r="A39" s="5" t="n">
        <v>38</v>
      </c>
      <c r="B39" s="5" t="n">
        <v>2</v>
      </c>
      <c r="C39" s="5" t="inlineStr">
        <is>
          <t>3g</t>
        </is>
      </c>
      <c r="D39" s="5" t="inlineStr">
        <is>
          <t>Yes</t>
        </is>
      </c>
      <c r="E39" s="5" t="inlineStr">
        <is>
          <t>DV-100[0].Page2[0].List3[0].Li7[0].YesNo3g_cb[0]</t>
        </is>
      </c>
      <c r="F39" s="5" t="inlineStr">
        <is>
          <t>checkbox</t>
        </is>
      </c>
      <c r="G39" s="5" t="inlineStr">
        <is>
          <t>1</t>
        </is>
      </c>
      <c r="H39" s="5" t="inlineStr"/>
      <c r="I39" s="5" t="inlineStr">
        <is>
          <t>95, 364, 104, 373</t>
        </is>
      </c>
      <c r="J39" s="5" t="inlineStr">
        <is>
          <t>question</t>
        </is>
      </c>
      <c r="K39" s="5" t="inlineStr">
        <is>
          <t>RL3</t>
        </is>
      </c>
      <c r="L39" s="5" t="inlineStr">
        <is>
          <t>check if RL3 == "Y"</t>
        </is>
      </c>
      <c r="M39" s="5" t="inlineStr">
        <is>
          <t>RL1 has "live together"</t>
        </is>
      </c>
      <c r="N39" s="5" t="inlineStr"/>
      <c r="O39" s="5" t="inlineStr"/>
    </row>
    <row r="40">
      <c r="A40" s="5" t="n">
        <v>39</v>
      </c>
      <c r="B40" s="5" t="n">
        <v>2</v>
      </c>
      <c r="C40" s="5" t="inlineStr">
        <is>
          <t>3g</t>
        </is>
      </c>
      <c r="D40" s="5" t="inlineStr">
        <is>
          <t>No</t>
        </is>
      </c>
      <c r="E40" s="5" t="inlineStr">
        <is>
          <t>DV-100[0].Page2[0].List3[0].Li7[0].YesNo3g_cb[1]</t>
        </is>
      </c>
      <c r="F40" s="5" t="inlineStr">
        <is>
          <t>checkbox</t>
        </is>
      </c>
      <c r="G40" s="5" t="inlineStr">
        <is>
          <t>3</t>
        </is>
      </c>
      <c r="H40" s="5" t="inlineStr"/>
      <c r="I40" s="5" t="inlineStr">
        <is>
          <t>142, 364, 151, 373</t>
        </is>
      </c>
      <c r="J40" s="5" t="inlineStr">
        <is>
          <t>question</t>
        </is>
      </c>
      <c r="K40" s="5" t="inlineStr">
        <is>
          <t>RL3</t>
        </is>
      </c>
      <c r="L40" s="5" t="inlineStr">
        <is>
          <t>check if RL3 == "N"</t>
        </is>
      </c>
      <c r="M40" s="5" t="inlineStr">
        <is>
          <t>RL1 has "live together"</t>
        </is>
      </c>
      <c r="N40" s="5" t="inlineStr">
        <is>
          <t>The stop rule applies if this is the only relationship.</t>
        </is>
      </c>
      <c r="O40" s="5" t="inlineStr"/>
    </row>
    <row r="41">
      <c r="A41" s="5" t="n">
        <v>40</v>
      </c>
      <c r="B41" s="5" t="n">
        <v>2</v>
      </c>
      <c r="C41" s="5" t="inlineStr">
        <is>
          <t>4a</t>
        </is>
      </c>
      <c r="D41" s="5" t="inlineStr">
        <is>
          <t>No</t>
        </is>
      </c>
      <c r="E41" s="5" t="inlineStr">
        <is>
          <t>DV-100[0].Page2[0].List4[0].Li1[0].YesNo4a_cb[0]</t>
        </is>
      </c>
      <c r="F41" s="5" t="inlineStr">
        <is>
          <t>checkbox</t>
        </is>
      </c>
      <c r="G41" s="5" t="inlineStr">
        <is>
          <t>1</t>
        </is>
      </c>
      <c r="H41" s="5" t="inlineStr"/>
      <c r="I41" s="5" t="inlineStr">
        <is>
          <t>78, 469, 87, 478</t>
        </is>
      </c>
      <c r="J41" s="5" t="inlineStr">
        <is>
          <t>question</t>
        </is>
      </c>
      <c r="K41" s="5" t="inlineStr">
        <is>
          <t>C1</t>
        </is>
      </c>
      <c r="L41" s="5" t="inlineStr">
        <is>
          <t>check if C1 == "N"</t>
        </is>
      </c>
      <c r="M41" s="5" t="inlineStr"/>
      <c r="N41" s="5" t="inlineStr">
        <is>
          <t>The first box is "No" (export 1); the second is "Yes" (export 3).</t>
        </is>
      </c>
      <c r="O41" s="5" t="inlineStr"/>
    </row>
    <row r="42">
      <c r="A42" s="5" t="n">
        <v>41</v>
      </c>
      <c r="B42" s="5" t="n">
        <v>2</v>
      </c>
      <c r="C42" s="5" t="inlineStr">
        <is>
          <t>4a</t>
        </is>
      </c>
      <c r="D42" s="5" t="inlineStr">
        <is>
          <t>Yes</t>
        </is>
      </c>
      <c r="E42" s="5" t="inlineStr">
        <is>
          <t>DV-100[0].Page2[0].List4[0].Li1[0].YesNo4a_cb[1]</t>
        </is>
      </c>
      <c r="F42" s="5" t="inlineStr">
        <is>
          <t>checkbox</t>
        </is>
      </c>
      <c r="G42" s="5" t="inlineStr">
        <is>
          <t>3</t>
        </is>
      </c>
      <c r="H42" s="5" t="inlineStr"/>
      <c r="I42" s="5" t="inlineStr">
        <is>
          <t>78, 483, 87, 492</t>
        </is>
      </c>
      <c r="J42" s="5" t="inlineStr">
        <is>
          <t>question</t>
        </is>
      </c>
      <c r="K42" s="5" t="inlineStr">
        <is>
          <t>C1</t>
        </is>
      </c>
      <c r="L42" s="5" t="inlineStr">
        <is>
          <t>check if C1 == "Y"</t>
        </is>
      </c>
      <c r="M42" s="5" t="inlineStr"/>
      <c r="N42" s="5" t="inlineStr"/>
      <c r="O42" s="5" t="inlineStr"/>
    </row>
    <row r="43">
      <c r="A43" s="5" t="n">
        <v>42</v>
      </c>
      <c r="B43" s="5" t="n">
        <v>2</v>
      </c>
      <c r="C43" s="5" t="inlineStr">
        <is>
          <t>4a(1)</t>
        </is>
      </c>
      <c r="D43" s="5" t="inlineStr">
        <is>
          <t>(date of order):</t>
        </is>
      </c>
      <c r="E43" s="5" t="inlineStr">
        <is>
          <t>DV-100[0].Page2[0].List4[0].Li1[0].List1[0].Li1[0].DateField8[0]</t>
        </is>
      </c>
      <c r="F43" s="5" t="inlineStr">
        <is>
          <t>text</t>
        </is>
      </c>
      <c r="G43" s="5" t="inlineStr"/>
      <c r="H43" s="5" t="inlineStr"/>
      <c r="I43" s="5" t="inlineStr">
        <is>
          <t>169, 499, 290, 511</t>
        </is>
      </c>
      <c r="J43" s="5" t="inlineStr">
        <is>
          <t>question</t>
        </is>
      </c>
      <c r="K43" s="5" t="inlineStr">
        <is>
          <t>C2</t>
        </is>
      </c>
      <c r="L43" s="5">
        <f> fmtDate(C2[0].dateMade)</f>
        <v/>
      </c>
      <c r="M43" s="5" t="inlineStr">
        <is>
          <t>C1 == "Y"</t>
        </is>
      </c>
      <c r="N43" s="5" t="inlineStr">
        <is>
          <t>The form has no field for the order type, case number or county. Those go on the attached copy.</t>
        </is>
      </c>
      <c r="O43" s="5" t="inlineStr"/>
    </row>
    <row r="44">
      <c r="A44" s="5" t="n">
        <v>43</v>
      </c>
      <c r="B44" s="5" t="n">
        <v>2</v>
      </c>
      <c r="C44" s="5" t="inlineStr">
        <is>
          <t>4a(1)</t>
        </is>
      </c>
      <c r="D44" s="5" t="inlineStr">
        <is>
          <t>(date it expires):</t>
        </is>
      </c>
      <c r="E44" s="5" t="inlineStr">
        <is>
          <t>DV-100[0].Page2[0].List4[0].Li1[0].List1[0].Li1[0].DateField5[0]</t>
        </is>
      </c>
      <c r="F44" s="5" t="inlineStr">
        <is>
          <t>text</t>
        </is>
      </c>
      <c r="G44" s="5" t="inlineStr"/>
      <c r="H44" s="5" t="inlineStr"/>
      <c r="I44" s="5" t="inlineStr">
        <is>
          <t>377, 499, 495, 511</t>
        </is>
      </c>
      <c r="J44" s="5" t="inlineStr">
        <is>
          <t>question</t>
        </is>
      </c>
      <c r="K44" s="5" t="inlineStr">
        <is>
          <t>C2</t>
        </is>
      </c>
      <c r="L44" s="5">
        <f> fmtDate(C2[0].expires)</f>
        <v/>
      </c>
      <c r="M44" s="5" t="inlineStr">
        <is>
          <t>C1 == "Y"</t>
        </is>
      </c>
      <c r="N44" s="5" t="inlineStr"/>
      <c r="O44" s="5" t="inlineStr"/>
    </row>
    <row r="45">
      <c r="A45" s="5" t="n">
        <v>44</v>
      </c>
      <c r="B45" s="5" t="n">
        <v>2</v>
      </c>
      <c r="C45" s="5" t="inlineStr">
        <is>
          <t>4a(2)</t>
        </is>
      </c>
      <c r="D45" s="5" t="inlineStr">
        <is>
          <t>(date of order):</t>
        </is>
      </c>
      <c r="E45" s="5" t="inlineStr">
        <is>
          <t>DV-100[0].Page2[0].List4[0].Li1[0].List1[0].Li2[0].DateField9[0]</t>
        </is>
      </c>
      <c r="F45" s="5" t="inlineStr">
        <is>
          <t>text</t>
        </is>
      </c>
      <c r="G45" s="5" t="inlineStr"/>
      <c r="H45" s="5" t="inlineStr"/>
      <c r="I45" s="5" t="inlineStr">
        <is>
          <t>169, 516, 290, 528</t>
        </is>
      </c>
      <c r="J45" s="5" t="inlineStr">
        <is>
          <t>question</t>
        </is>
      </c>
      <c r="K45" s="5" t="inlineStr">
        <is>
          <t>C2</t>
        </is>
      </c>
      <c r="L45" s="5">
        <f> fmtDate(C2[1].dateMade)</f>
        <v/>
      </c>
      <c r="M45" s="5" t="inlineStr">
        <is>
          <t>C1 == "Y"</t>
        </is>
      </c>
      <c r="N45" s="5" t="inlineStr"/>
      <c r="O45" s="5" t="inlineStr"/>
    </row>
    <row r="46">
      <c r="A46" s="5" t="n">
        <v>45</v>
      </c>
      <c r="B46" s="5" t="n">
        <v>2</v>
      </c>
      <c r="C46" s="5" t="inlineStr">
        <is>
          <t>4a(2)</t>
        </is>
      </c>
      <c r="D46" s="5" t="inlineStr">
        <is>
          <t>(date it expires):</t>
        </is>
      </c>
      <c r="E46" s="5" t="inlineStr">
        <is>
          <t>DV-100[0].Page2[0].List4[0].Li1[0].List1[0].Li2[0].DateField7[0]</t>
        </is>
      </c>
      <c r="F46" s="5" t="inlineStr">
        <is>
          <t>text</t>
        </is>
      </c>
      <c r="G46" s="5" t="inlineStr"/>
      <c r="H46" s="5" t="inlineStr"/>
      <c r="I46" s="5" t="inlineStr">
        <is>
          <t>377, 516, 495, 528</t>
        </is>
      </c>
      <c r="J46" s="5" t="inlineStr">
        <is>
          <t>question</t>
        </is>
      </c>
      <c r="K46" s="5" t="inlineStr">
        <is>
          <t>C2</t>
        </is>
      </c>
      <c r="L46" s="5">
        <f> fmtDate(C2[1].expires)</f>
        <v/>
      </c>
      <c r="M46" s="5" t="inlineStr">
        <is>
          <t>C1 == "Y"</t>
        </is>
      </c>
      <c r="N46" s="5" t="inlineStr">
        <is>
          <t>More than 2 orders: there is no overflow box. Attach a list and count it in 32.</t>
        </is>
      </c>
      <c r="O46" s="5" t="inlineStr"/>
    </row>
    <row r="47">
      <c r="A47" s="5" t="n">
        <v>46</v>
      </c>
      <c r="B47" s="5" t="n">
        <v>2</v>
      </c>
      <c r="C47" s="5" t="inlineStr">
        <is>
          <t>4b</t>
        </is>
      </c>
      <c r="D47" s="5" t="inlineStr">
        <is>
          <t>No</t>
        </is>
      </c>
      <c r="E47" s="5" t="inlineStr">
        <is>
          <t>DV-100[0].Page2[0].List4[0].Li2[0].YesNo4b_cb[0]</t>
        </is>
      </c>
      <c r="F47" s="5" t="inlineStr">
        <is>
          <t>checkbox</t>
        </is>
      </c>
      <c r="G47" s="5" t="inlineStr">
        <is>
          <t>8</t>
        </is>
      </c>
      <c r="H47" s="5" t="inlineStr"/>
      <c r="I47" s="5" t="inlineStr">
        <is>
          <t>78, 562, 87, 571</t>
        </is>
      </c>
      <c r="J47" s="5" t="inlineStr">
        <is>
          <t>question</t>
        </is>
      </c>
      <c r="K47" s="5" t="inlineStr">
        <is>
          <t>C3</t>
        </is>
      </c>
      <c r="L47" s="5" t="inlineStr">
        <is>
          <t>check if C3 == "N"</t>
        </is>
      </c>
      <c r="M47" s="5" t="inlineStr"/>
      <c r="N47" s="5" t="inlineStr">
        <is>
          <t>The first box is "No" (export 8); the second is "Yes" (export 3).</t>
        </is>
      </c>
      <c r="O47" s="5" t="inlineStr"/>
    </row>
    <row r="48">
      <c r="A48" s="5" t="n">
        <v>47</v>
      </c>
      <c r="B48" s="5" t="n">
        <v>2</v>
      </c>
      <c r="C48" s="5" t="inlineStr">
        <is>
          <t>4b</t>
        </is>
      </c>
      <c r="D48" s="5" t="inlineStr">
        <is>
          <t>Yes</t>
        </is>
      </c>
      <c r="E48" s="5" t="inlineStr">
        <is>
          <t>DV-100[0].Page2[0].List4[0].Li2[0].YesNo4b_cb[1]</t>
        </is>
      </c>
      <c r="F48" s="5" t="inlineStr">
        <is>
          <t>checkbox</t>
        </is>
      </c>
      <c r="G48" s="5" t="inlineStr">
        <is>
          <t>3</t>
        </is>
      </c>
      <c r="H48" s="5" t="inlineStr"/>
      <c r="I48" s="5" t="inlineStr">
        <is>
          <t>78, 579, 87, 588</t>
        </is>
      </c>
      <c r="J48" s="5" t="inlineStr">
        <is>
          <t>question</t>
        </is>
      </c>
      <c r="K48" s="5" t="inlineStr">
        <is>
          <t>C3</t>
        </is>
      </c>
      <c r="L48" s="5" t="inlineStr">
        <is>
          <t>check if C3 == "Y"</t>
        </is>
      </c>
      <c r="M48" s="5" t="inlineStr"/>
      <c r="N48" s="5" t="inlineStr"/>
      <c r="O48" s="5" t="inlineStr"/>
    </row>
    <row r="49">
      <c r="A49" s="5" t="n">
        <v>48</v>
      </c>
      <c r="B49" s="5" t="n">
        <v>2</v>
      </c>
      <c r="C49" s="5" t="inlineStr">
        <is>
          <t>4b</t>
        </is>
      </c>
      <c r="D49" s="5" t="inlineStr">
        <is>
          <t>Custody</t>
        </is>
      </c>
      <c r="E49" s="5" t="inlineStr">
        <is>
          <t>DV-100[0].Page2[0].List4[0].Li2[0].CheckBox1[0]</t>
        </is>
      </c>
      <c r="F49" s="5" t="inlineStr">
        <is>
          <t>checkbox</t>
        </is>
      </c>
      <c r="G49" s="5" t="inlineStr">
        <is>
          <t>1</t>
        </is>
      </c>
      <c r="H49" s="5" t="inlineStr"/>
      <c r="I49" s="5" t="inlineStr">
        <is>
          <t>95, 599, 104, 608</t>
        </is>
      </c>
      <c r="J49" s="5" t="inlineStr">
        <is>
          <t>question</t>
        </is>
      </c>
      <c r="K49" s="5" t="inlineStr">
        <is>
          <t>C4</t>
        </is>
      </c>
      <c r="L49" s="5" t="inlineStr">
        <is>
          <t>check if any C4.type == "custody"</t>
        </is>
      </c>
      <c r="M49" s="5" t="inlineStr">
        <is>
          <t>C3 == "Y"</t>
        </is>
      </c>
      <c r="N49" s="5" t="inlineStr"/>
      <c r="O49" s="5" t="inlineStr"/>
    </row>
    <row r="50">
      <c r="A50" s="5" t="n">
        <v>49</v>
      </c>
      <c r="B50" s="5" t="n">
        <v>2</v>
      </c>
      <c r="C50" s="5" t="inlineStr">
        <is>
          <t>4b</t>
        </is>
      </c>
      <c r="D50" s="5" t="inlineStr">
        <is>
          <t>List where the case was filed (city, state, or tribe), the year it was filed, and case number.</t>
        </is>
      </c>
      <c r="E50" s="5" t="inlineStr">
        <is>
          <t>DV-100[0].Page2[0].List4[0].Li2[0].TextField1[0]</t>
        </is>
      </c>
      <c r="F50" s="5" t="inlineStr">
        <is>
          <t>text</t>
        </is>
      </c>
      <c r="G50" s="5" t="inlineStr"/>
      <c r="H50" s="5" t="inlineStr"/>
      <c r="I50" s="5" t="inlineStr">
        <is>
          <t>153, 598, 568, 610</t>
        </is>
      </c>
      <c r="J50" s="5" t="inlineStr">
        <is>
          <t>question</t>
        </is>
      </c>
      <c r="K50" s="5" t="inlineStr">
        <is>
          <t>C4</t>
        </is>
      </c>
      <c r="L50" s="5">
        <f> join(C4.where(type=="custody").map(c =&gt; c.where + "; " + c.year + "; " + c.caseNumber), " | ")</f>
        <v/>
      </c>
      <c r="M50" s="5" t="inlineStr">
        <is>
          <t>C3 == "Y"</t>
        </is>
      </c>
      <c r="N50" s="5" t="inlineStr"/>
      <c r="O50" s="5" t="inlineStr"/>
    </row>
    <row r="51">
      <c r="A51" s="5" t="n">
        <v>50</v>
      </c>
      <c r="B51" s="5" t="n">
        <v>2</v>
      </c>
      <c r="C51" s="5" t="inlineStr">
        <is>
          <t>4b</t>
        </is>
      </c>
      <c r="D51" s="5" t="inlineStr">
        <is>
          <t>Divorce</t>
        </is>
      </c>
      <c r="E51" s="5" t="inlineStr">
        <is>
          <t>DV-100[0].Page2[0].List4[0].Li2[0].CheckBox2[0]</t>
        </is>
      </c>
      <c r="F51" s="5" t="inlineStr">
        <is>
          <t>checkbox</t>
        </is>
      </c>
      <c r="G51" s="5" t="inlineStr">
        <is>
          <t>1</t>
        </is>
      </c>
      <c r="H51" s="5" t="inlineStr"/>
      <c r="I51" s="5" t="inlineStr">
        <is>
          <t>95, 616, 104, 625</t>
        </is>
      </c>
      <c r="J51" s="5" t="inlineStr">
        <is>
          <t>question</t>
        </is>
      </c>
      <c r="K51" s="5" t="inlineStr">
        <is>
          <t>C4</t>
        </is>
      </c>
      <c r="L51" s="5" t="inlineStr">
        <is>
          <t>check if any C4.type == "divorce"</t>
        </is>
      </c>
      <c r="M51" s="5" t="inlineStr">
        <is>
          <t>C3 == "Y"</t>
        </is>
      </c>
      <c r="N51" s="5" t="inlineStr"/>
      <c r="O51" s="5" t="inlineStr"/>
    </row>
    <row r="52">
      <c r="A52" s="5" t="n">
        <v>51</v>
      </c>
      <c r="B52" s="5" t="n">
        <v>2</v>
      </c>
      <c r="C52" s="5" t="inlineStr">
        <is>
          <t>4b</t>
        </is>
      </c>
      <c r="D52" s="5" t="inlineStr">
        <is>
          <t>List where the case was filed (city, state, or tribe), the year it was filed, and case number.</t>
        </is>
      </c>
      <c r="E52" s="5" t="inlineStr">
        <is>
          <t>DV-100[0].Page2[0].List4[0].Li2[0].TextField2[0]</t>
        </is>
      </c>
      <c r="F52" s="5" t="inlineStr">
        <is>
          <t>text</t>
        </is>
      </c>
      <c r="G52" s="5" t="inlineStr"/>
      <c r="H52" s="5" t="inlineStr"/>
      <c r="I52" s="5" t="inlineStr">
        <is>
          <t>153, 616, 567, 628</t>
        </is>
      </c>
      <c r="J52" s="5" t="inlineStr">
        <is>
          <t>question</t>
        </is>
      </c>
      <c r="K52" s="5" t="inlineStr">
        <is>
          <t>C4</t>
        </is>
      </c>
      <c r="L52" s="5">
        <f> join(C4.where(type=="divorce").map(c =&gt; c.where + "; " + c.year + "; " + c.caseNumber), " | ")</f>
        <v/>
      </c>
      <c r="M52" s="5" t="inlineStr">
        <is>
          <t>C3 == "Y"</t>
        </is>
      </c>
      <c r="N52" s="5" t="inlineStr"/>
      <c r="O52" s="5" t="inlineStr"/>
    </row>
    <row r="53">
      <c r="A53" s="5" t="n">
        <v>52</v>
      </c>
      <c r="B53" s="5" t="n">
        <v>2</v>
      </c>
      <c r="C53" s="5" t="inlineStr">
        <is>
          <t>4b</t>
        </is>
      </c>
      <c r="D53" s="5" t="inlineStr">
        <is>
          <t>Juvenile (child welfare or juvenile justice):</t>
        </is>
      </c>
      <c r="E53" s="5" t="inlineStr">
        <is>
          <t>DV-100[0].Page2[0].List4[0].Li2[0].CheckBox3[0]</t>
        </is>
      </c>
      <c r="F53" s="5" t="inlineStr">
        <is>
          <t>checkbox</t>
        </is>
      </c>
      <c r="G53" s="5" t="inlineStr">
        <is>
          <t>1</t>
        </is>
      </c>
      <c r="H53" s="5" t="inlineStr"/>
      <c r="I53" s="5" t="inlineStr">
        <is>
          <t>95, 633, 104, 642</t>
        </is>
      </c>
      <c r="J53" s="5" t="inlineStr">
        <is>
          <t>question</t>
        </is>
      </c>
      <c r="K53" s="5" t="inlineStr">
        <is>
          <t>C4</t>
        </is>
      </c>
      <c r="L53" s="5" t="inlineStr">
        <is>
          <t>check if any C4.type == "juvenile"</t>
        </is>
      </c>
      <c r="M53" s="5" t="inlineStr">
        <is>
          <t>C3 == "Y"</t>
        </is>
      </c>
      <c r="N53" s="5" t="inlineStr"/>
      <c r="O53" s="5" t="inlineStr"/>
    </row>
    <row r="54">
      <c r="A54" s="5" t="n">
        <v>53</v>
      </c>
      <c r="B54" s="5" t="n">
        <v>2</v>
      </c>
      <c r="C54" s="5" t="inlineStr">
        <is>
          <t>4b</t>
        </is>
      </c>
      <c r="D54" s="5" t="inlineStr">
        <is>
          <t>List where the case was filed (city, state, or tribe), the year it was filed, and case number.</t>
        </is>
      </c>
      <c r="E54" s="5" t="inlineStr">
        <is>
          <t>DV-100[0].Page2[0].List4[0].Li2[0].TextField3[0]</t>
        </is>
      </c>
      <c r="F54" s="5" t="inlineStr">
        <is>
          <t>text</t>
        </is>
      </c>
      <c r="G54" s="5" t="inlineStr"/>
      <c r="H54" s="5" t="inlineStr"/>
      <c r="I54" s="5" t="inlineStr">
        <is>
          <t>306, 634, 567, 646</t>
        </is>
      </c>
      <c r="J54" s="5" t="inlineStr">
        <is>
          <t>question</t>
        </is>
      </c>
      <c r="K54" s="5" t="inlineStr">
        <is>
          <t>C4</t>
        </is>
      </c>
      <c r="L54" s="5">
        <f> join(C4.where(type=="juvenile").map(c =&gt; c.where + "; " + c.year + "; " + c.caseNumber), " | ")</f>
        <v/>
      </c>
      <c r="M54" s="5" t="inlineStr">
        <is>
          <t>C3 == "Y"</t>
        </is>
      </c>
      <c r="N54" s="5" t="inlineStr"/>
      <c r="O54" s="5" t="inlineStr"/>
    </row>
    <row r="55">
      <c r="A55" s="5" t="n">
        <v>54</v>
      </c>
      <c r="B55" s="5" t="n">
        <v>2</v>
      </c>
      <c r="C55" s="5" t="inlineStr">
        <is>
          <t>4b</t>
        </is>
      </c>
      <c r="D55" s="5" t="inlineStr">
        <is>
          <t>Guardianship</t>
        </is>
      </c>
      <c r="E55" s="5" t="inlineStr">
        <is>
          <t>DV-100[0].Page2[0].List4[0].Li2[0].CheckBox4[0]</t>
        </is>
      </c>
      <c r="F55" s="5" t="inlineStr">
        <is>
          <t>checkbox</t>
        </is>
      </c>
      <c r="G55" s="5" t="inlineStr">
        <is>
          <t>1</t>
        </is>
      </c>
      <c r="H55" s="5" t="inlineStr"/>
      <c r="I55" s="5" t="inlineStr">
        <is>
          <t>95, 649, 104, 658</t>
        </is>
      </c>
      <c r="J55" s="5" t="inlineStr">
        <is>
          <t>question</t>
        </is>
      </c>
      <c r="K55" s="5" t="inlineStr">
        <is>
          <t>C4</t>
        </is>
      </c>
      <c r="L55" s="5" t="inlineStr">
        <is>
          <t>check if any C4.type == "guardianship"</t>
        </is>
      </c>
      <c r="M55" s="5" t="inlineStr">
        <is>
          <t>C3 == "Y"</t>
        </is>
      </c>
      <c r="N55" s="5" t="inlineStr"/>
      <c r="O55" s="5" t="inlineStr"/>
    </row>
    <row r="56">
      <c r="A56" s="5" t="n">
        <v>55</v>
      </c>
      <c r="B56" s="5" t="n">
        <v>2</v>
      </c>
      <c r="C56" s="5" t="inlineStr">
        <is>
          <t>4b</t>
        </is>
      </c>
      <c r="D56" s="5" t="inlineStr">
        <is>
          <t>List where the case was filed (city, state, or tribe), the year it was filed, and case number.</t>
        </is>
      </c>
      <c r="E56" s="5" t="inlineStr">
        <is>
          <t>DV-100[0].Page2[0].List4[0].Li2[0].TextField4[0]</t>
        </is>
      </c>
      <c r="F56" s="5" t="inlineStr">
        <is>
          <t>text</t>
        </is>
      </c>
      <c r="G56" s="5" t="inlineStr"/>
      <c r="H56" s="5" t="inlineStr"/>
      <c r="I56" s="5" t="inlineStr">
        <is>
          <t>174, 649, 568, 661</t>
        </is>
      </c>
      <c r="J56" s="5" t="inlineStr">
        <is>
          <t>question</t>
        </is>
      </c>
      <c r="K56" s="5" t="inlineStr">
        <is>
          <t>C4</t>
        </is>
      </c>
      <c r="L56" s="5">
        <f> join(C4.where(type=="guardianship").map(c =&gt; c.where + "; " + c.year + "; " + c.caseNumber), " | ")</f>
        <v/>
      </c>
      <c r="M56" s="5" t="inlineStr">
        <is>
          <t>C3 == "Y"</t>
        </is>
      </c>
      <c r="N56" s="5" t="inlineStr"/>
      <c r="O56" s="5" t="inlineStr"/>
    </row>
    <row r="57">
      <c r="A57" s="5" t="n">
        <v>56</v>
      </c>
      <c r="B57" s="5" t="n">
        <v>2</v>
      </c>
      <c r="C57" s="5" t="inlineStr">
        <is>
          <t>4b</t>
        </is>
      </c>
      <c r="D57" s="5" t="inlineStr">
        <is>
          <t>Criminal</t>
        </is>
      </c>
      <c r="E57" s="5" t="inlineStr">
        <is>
          <t>DV-100[0].Page2[0].List4[0].Li2[0].CheckBox5[0]</t>
        </is>
      </c>
      <c r="F57" s="5" t="inlineStr">
        <is>
          <t>checkbox</t>
        </is>
      </c>
      <c r="G57" s="5" t="inlineStr">
        <is>
          <t>1</t>
        </is>
      </c>
      <c r="H57" s="5" t="inlineStr"/>
      <c r="I57" s="5" t="inlineStr">
        <is>
          <t>95, 666, 104, 675</t>
        </is>
      </c>
      <c r="J57" s="5" t="inlineStr">
        <is>
          <t>question</t>
        </is>
      </c>
      <c r="K57" s="5" t="inlineStr">
        <is>
          <t>C4</t>
        </is>
      </c>
      <c r="L57" s="5" t="inlineStr">
        <is>
          <t>check if any C4.type == "criminal"</t>
        </is>
      </c>
      <c r="M57" s="5" t="inlineStr">
        <is>
          <t>C3 == "Y"</t>
        </is>
      </c>
      <c r="N57" s="5" t="inlineStr"/>
      <c r="O57" s="5" t="inlineStr"/>
    </row>
    <row r="58">
      <c r="A58" s="5" t="n">
        <v>57</v>
      </c>
      <c r="B58" s="5" t="n">
        <v>2</v>
      </c>
      <c r="C58" s="5" t="inlineStr">
        <is>
          <t>4b</t>
        </is>
      </c>
      <c r="D58" s="5" t="inlineStr">
        <is>
          <t>Other (what kind of case?):</t>
        </is>
      </c>
      <c r="E58" s="5" t="inlineStr">
        <is>
          <t>DV-100[0].Page2[0].List4[0].Li2[0].CheckBox6[0]</t>
        </is>
      </c>
      <c r="F58" s="5" t="inlineStr">
        <is>
          <t>checkbox</t>
        </is>
      </c>
      <c r="G58" s="5" t="inlineStr">
        <is>
          <t>1</t>
        </is>
      </c>
      <c r="H58" s="5" t="inlineStr"/>
      <c r="I58" s="5" t="inlineStr">
        <is>
          <t>95, 682, 104, 691</t>
        </is>
      </c>
      <c r="J58" s="5" t="inlineStr">
        <is>
          <t>question</t>
        </is>
      </c>
      <c r="K58" s="5" t="inlineStr">
        <is>
          <t>C4</t>
        </is>
      </c>
      <c r="L58" s="5" t="inlineStr">
        <is>
          <t>check if any C4.type in ("child support","other")</t>
        </is>
      </c>
      <c r="M58" s="5" t="inlineStr">
        <is>
          <t>C3 == "Y"</t>
        </is>
      </c>
      <c r="N58" s="5" t="inlineStr"/>
      <c r="O58" s="5" t="inlineStr"/>
    </row>
    <row r="59">
      <c r="A59" s="5" t="n">
        <v>58</v>
      </c>
      <c r="B59" s="5" t="n">
        <v>2</v>
      </c>
      <c r="C59" s="5" t="inlineStr">
        <is>
          <t>4b</t>
        </is>
      </c>
      <c r="D59" s="5" t="inlineStr">
        <is>
          <t>List where the case was filed (city, state, or tribe), the year it was filed, and case number.</t>
        </is>
      </c>
      <c r="E59" s="5" t="inlineStr">
        <is>
          <t>DV-100[0].Page2[0].List4[0].Li2[0].TextField5[0]</t>
        </is>
      </c>
      <c r="F59" s="5" t="inlineStr">
        <is>
          <t>text</t>
        </is>
      </c>
      <c r="G59" s="5" t="inlineStr"/>
      <c r="H59" s="5" t="inlineStr"/>
      <c r="I59" s="5" t="inlineStr">
        <is>
          <t>153, 665, 567, 677</t>
        </is>
      </c>
      <c r="J59" s="5" t="inlineStr">
        <is>
          <t>question</t>
        </is>
      </c>
      <c r="K59" s="5" t="inlineStr">
        <is>
          <t>C4</t>
        </is>
      </c>
      <c r="L59" s="5">
        <f> join(C4.where(type=="criminal").map(c =&gt; c.where + "; " + c.year + "; " + c.caseNumber), " | ")</f>
        <v/>
      </c>
      <c r="M59" s="5" t="inlineStr">
        <is>
          <t>C3 == "Y"</t>
        </is>
      </c>
      <c r="N59" s="5" t="inlineStr"/>
      <c r="O59" s="5" t="inlineStr"/>
    </row>
    <row r="60">
      <c r="A60" s="5" t="n">
        <v>59</v>
      </c>
      <c r="B60" s="5" t="n">
        <v>2</v>
      </c>
      <c r="C60" s="5" t="inlineStr">
        <is>
          <t>4b</t>
        </is>
      </c>
      <c r="D60" s="5" t="inlineStr">
        <is>
          <t>List where the case was filed (city, state, or tribe), the year it was filed, and case number.</t>
        </is>
      </c>
      <c r="E60" s="5" t="inlineStr">
        <is>
          <t>DV-100[0].Page2[0].List4[0].Li2[0].TextField6[0]</t>
        </is>
      </c>
      <c r="F60" s="5" t="inlineStr">
        <is>
          <t>text</t>
        </is>
      </c>
      <c r="G60" s="5" t="inlineStr"/>
      <c r="H60" s="5" t="inlineStr"/>
      <c r="I60" s="5" t="inlineStr">
        <is>
          <t>236, 681, 567, 693</t>
        </is>
      </c>
      <c r="J60" s="5" t="inlineStr">
        <is>
          <t>question</t>
        </is>
      </c>
      <c r="K60" s="5" t="inlineStr">
        <is>
          <t>C4</t>
        </is>
      </c>
      <c r="L60" s="5">
        <f> join(C4.where(type in ("child support","other")).map(c =&gt; c.kind + ": " + c.where + "; " + c.year + "; " + c.caseNumber), " | ")</f>
        <v/>
      </c>
      <c r="M60" s="5" t="inlineStr">
        <is>
          <t>C3 == "Y"</t>
        </is>
      </c>
      <c r="N60" s="5" t="inlineStr">
        <is>
          <t>Child support prints here, per the map.</t>
        </is>
      </c>
      <c r="O60" s="5" t="inlineStr"/>
    </row>
    <row r="61">
      <c r="A61" s="5" t="n">
        <v>60</v>
      </c>
      <c r="B61" s="5" t="n">
        <v>3</v>
      </c>
      <c r="C61" s="5" t="inlineStr">
        <is>
          <t>Caption</t>
        </is>
      </c>
      <c r="D61" s="5" t="inlineStr">
        <is>
          <t>Case Number:</t>
        </is>
      </c>
      <c r="E61" s="5" t="inlineStr">
        <is>
          <t>DV-100[0].Page3[0].PxCaption[0].CaseNumber[0]</t>
        </is>
      </c>
      <c r="F61" s="5" t="inlineStr">
        <is>
          <t>text</t>
        </is>
      </c>
      <c r="G61" s="5" t="inlineStr"/>
      <c r="H61" s="5" t="inlineStr"/>
      <c r="I61" s="5" t="inlineStr">
        <is>
          <t>398, 48, 573, 63</t>
        </is>
      </c>
      <c r="J61" s="5" t="inlineStr">
        <is>
          <t>question</t>
        </is>
      </c>
      <c r="K61" s="5" t="inlineStr">
        <is>
          <t>S3,S4</t>
        </is>
      </c>
      <c r="L61" s="5">
        <f> S4</f>
        <v/>
      </c>
      <c r="M61" s="5" t="inlineStr">
        <is>
          <t>S3 == "update"; otherwise blank for clerk</t>
        </is>
      </c>
      <c r="N61" s="5" t="inlineStr">
        <is>
          <t>Case number box, repeated on every page; fill all 13 when known.</t>
        </is>
      </c>
      <c r="O61" s="5" t="inlineStr"/>
    </row>
    <row r="62">
      <c r="A62" s="5" t="n">
        <v>61</v>
      </c>
      <c r="B62" s="5" t="n">
        <v>3</v>
      </c>
      <c r="C62" s="5" t="inlineStr">
        <is>
          <t>5a</t>
        </is>
      </c>
      <c r="D62" s="5" t="inlineStr">
        <is>
          <t>Date of abuse. Give an estimate if you don't know the exact date</t>
        </is>
      </c>
      <c r="E62" s="5" t="inlineStr">
        <is>
          <t>DV-100[0].Page3[0].List5[0].Li1[0].dtAbs[0]</t>
        </is>
      </c>
      <c r="F62" s="5" t="inlineStr">
        <is>
          <t>text</t>
        </is>
      </c>
      <c r="G62" s="5" t="inlineStr"/>
      <c r="H62" s="5" t="inlineStr"/>
      <c r="I62" s="5" t="inlineStr">
        <is>
          <t>369, 301, 573, 312</t>
        </is>
      </c>
      <c r="J62" s="5" t="inlineStr">
        <is>
          <t>question</t>
        </is>
      </c>
      <c r="K62" s="5" t="inlineStr">
        <is>
          <t>A1</t>
        </is>
      </c>
      <c r="L62" s="5">
        <f> cards[0].A1 (fmtDate if a date, else the text as entered)</f>
        <v/>
      </c>
      <c r="M62" s="5" t="inlineStr">
        <is>
          <t>cards.length &gt; 0</t>
        </is>
      </c>
      <c r="N62" s="5" t="inlineStr">
        <is>
          <t>Card 1 = most recent; card 2 = a different kind of abuse.</t>
        </is>
      </c>
      <c r="O62" s="5" t="inlineStr"/>
    </row>
    <row r="63">
      <c r="A63" s="5" t="n">
        <v>62</v>
      </c>
      <c r="B63" s="5" t="n">
        <v>3</v>
      </c>
      <c r="C63" s="5" t="inlineStr">
        <is>
          <t>5b</t>
        </is>
      </c>
      <c r="D63" s="5" t="inlineStr">
        <is>
          <t>I don't know</t>
        </is>
      </c>
      <c r="E63" s="5" t="inlineStr">
        <is>
          <t>DV-100[0].Page3[0].List5[0].Li2[0].YesNo5b_cb[0]</t>
        </is>
      </c>
      <c r="F63" s="5" t="inlineStr">
        <is>
          <t>checkbox</t>
        </is>
      </c>
      <c r="G63" s="5" t="inlineStr">
        <is>
          <t>1</t>
        </is>
      </c>
      <c r="H63" s="5" t="inlineStr"/>
      <c r="I63" s="5" t="inlineStr">
        <is>
          <t>78, 336, 87, 345</t>
        </is>
      </c>
      <c r="J63" s="5" t="inlineStr">
        <is>
          <t>question</t>
        </is>
      </c>
      <c r="K63" s="5" t="inlineStr">
        <is>
          <t>A2</t>
        </is>
      </c>
      <c r="L63" s="5" t="inlineStr">
        <is>
          <t>check if cards[0].A2 == "DK"</t>
        </is>
      </c>
      <c r="M63" s="5" t="inlineStr">
        <is>
          <t>cards.length &gt; 0</t>
        </is>
      </c>
      <c r="N63" s="5" t="inlineStr">
        <is>
          <t>Box order: I don't know / No / Yes.</t>
        </is>
      </c>
      <c r="O63" s="5" t="inlineStr"/>
    </row>
    <row r="64">
      <c r="A64" s="5" t="n">
        <v>63</v>
      </c>
      <c r="B64" s="5" t="n">
        <v>3</v>
      </c>
      <c r="C64" s="5" t="inlineStr">
        <is>
          <t>5b</t>
        </is>
      </c>
      <c r="D64" s="5" t="inlineStr">
        <is>
          <t>No</t>
        </is>
      </c>
      <c r="E64" s="5" t="inlineStr">
        <is>
          <t>DV-100[0].Page3[0].List5[0].Li2[0].YesNo5b_cb[1]</t>
        </is>
      </c>
      <c r="F64" s="5" t="inlineStr">
        <is>
          <t>checkbox</t>
        </is>
      </c>
      <c r="G64" s="5" t="inlineStr">
        <is>
          <t>3</t>
        </is>
      </c>
      <c r="H64" s="5" t="inlineStr"/>
      <c r="I64" s="5" t="inlineStr">
        <is>
          <t>158, 336, 167, 345</t>
        </is>
      </c>
      <c r="J64" s="5" t="inlineStr">
        <is>
          <t>question</t>
        </is>
      </c>
      <c r="K64" s="5" t="inlineStr">
        <is>
          <t>A2</t>
        </is>
      </c>
      <c r="L64" s="5" t="inlineStr">
        <is>
          <t>check if cards[0].A2 == "N"</t>
        </is>
      </c>
      <c r="M64" s="5" t="inlineStr">
        <is>
          <t>cards.length &gt; 0</t>
        </is>
      </c>
      <c r="N64" s="5" t="inlineStr"/>
      <c r="O64" s="5" t="inlineStr"/>
    </row>
    <row r="65">
      <c r="A65" s="5" t="n">
        <v>64</v>
      </c>
      <c r="B65" s="5" t="n">
        <v>3</v>
      </c>
      <c r="C65" s="5" t="inlineStr">
        <is>
          <t>5b</t>
        </is>
      </c>
      <c r="D65" s="5" t="inlineStr">
        <is>
          <t>Yes</t>
        </is>
      </c>
      <c r="E65" s="5" t="inlineStr">
        <is>
          <t>DV-100[0].Page3[0].List5[0].Li2[0].YesNo5b_cb[2]</t>
        </is>
      </c>
      <c r="F65" s="5" t="inlineStr">
        <is>
          <t>checkbox</t>
        </is>
      </c>
      <c r="G65" s="5" t="inlineStr">
        <is>
          <t>5</t>
        </is>
      </c>
      <c r="H65" s="5" t="inlineStr"/>
      <c r="I65" s="5" t="inlineStr">
        <is>
          <t>198, 336, 207, 345</t>
        </is>
      </c>
      <c r="J65" s="5" t="inlineStr">
        <is>
          <t>question</t>
        </is>
      </c>
      <c r="K65" s="5" t="inlineStr">
        <is>
          <t>A2</t>
        </is>
      </c>
      <c r="L65" s="5" t="inlineStr">
        <is>
          <t>check if cards[0].A2 == "Y"</t>
        </is>
      </c>
      <c r="M65" s="5" t="inlineStr">
        <is>
          <t>cards.length &gt; 0</t>
        </is>
      </c>
      <c r="N65" s="5" t="inlineStr"/>
      <c r="O65" s="5" t="inlineStr"/>
    </row>
    <row r="66">
      <c r="A66" s="5" t="n">
        <v>65</v>
      </c>
      <c r="B66" s="5" t="n">
        <v>3</v>
      </c>
      <c r="C66" s="5" t="inlineStr">
        <is>
          <t>5b</t>
        </is>
      </c>
      <c r="D66" s="5" t="inlineStr">
        <is>
          <t>(If yes, give names):</t>
        </is>
      </c>
      <c r="E66" s="5" t="inlineStr">
        <is>
          <t>DV-100[0].Page3[0].List5[0].Li2[0].item5a2[0]</t>
        </is>
      </c>
      <c r="F66" s="5" t="inlineStr">
        <is>
          <t>text</t>
        </is>
      </c>
      <c r="G66" s="5" t="inlineStr"/>
      <c r="H66" s="5" t="inlineStr"/>
      <c r="I66" s="5" t="inlineStr">
        <is>
          <t>334, 334, 576, 347</t>
        </is>
      </c>
      <c r="J66" s="5" t="inlineStr">
        <is>
          <t>question</t>
        </is>
      </c>
      <c r="K66" s="5" t="inlineStr">
        <is>
          <t>A2</t>
        </is>
      </c>
      <c r="L66" s="5">
        <f> cards[0].A2.names</f>
        <v/>
      </c>
      <c r="M66" s="5" t="inlineStr">
        <is>
          <t>cards.length &gt; 0 and A2 == "Y"</t>
        </is>
      </c>
      <c r="N66" s="5" t="inlineStr"/>
      <c r="O66" s="5" t="inlineStr"/>
    </row>
    <row r="67">
      <c r="A67" s="5" t="n">
        <v>66</v>
      </c>
      <c r="B67" s="5" t="n">
        <v>3</v>
      </c>
      <c r="C67" s="5" t="inlineStr">
        <is>
          <t>5c</t>
        </is>
      </c>
      <c r="D67" s="5" t="inlineStr">
        <is>
          <t>No</t>
        </is>
      </c>
      <c r="E67" s="5" t="inlineStr">
        <is>
          <t>DV-100[0].Page3[0].List5[0].Li3[0].YesNo5c_cb[0]</t>
        </is>
      </c>
      <c r="F67" s="5" t="inlineStr">
        <is>
          <t>checkbox</t>
        </is>
      </c>
      <c r="G67" s="5" t="inlineStr">
        <is>
          <t>1</t>
        </is>
      </c>
      <c r="H67" s="5" t="inlineStr"/>
      <c r="I67" s="5" t="inlineStr">
        <is>
          <t>78, 375, 87, 384</t>
        </is>
      </c>
      <c r="J67" s="5" t="inlineStr">
        <is>
          <t>question</t>
        </is>
      </c>
      <c r="K67" s="5" t="inlineStr">
        <is>
          <t>A3</t>
        </is>
      </c>
      <c r="L67" s="5" t="inlineStr">
        <is>
          <t>check if cards[0].A3 == "N"</t>
        </is>
      </c>
      <c r="M67" s="5" t="inlineStr">
        <is>
          <t>cards.length &gt; 0</t>
        </is>
      </c>
      <c r="N67" s="5" t="inlineStr"/>
      <c r="O67" s="5" t="inlineStr"/>
    </row>
    <row r="68">
      <c r="A68" s="5" t="n">
        <v>67</v>
      </c>
      <c r="B68" s="5" t="n">
        <v>3</v>
      </c>
      <c r="C68" s="5" t="inlineStr">
        <is>
          <t>5c</t>
        </is>
      </c>
      <c r="D68" s="5" t="inlineStr">
        <is>
          <t>Yes</t>
        </is>
      </c>
      <c r="E68" s="5" t="inlineStr">
        <is>
          <t>DV-100[0].Page3[0].List5[0].Li3[0].YesNo5c_cb[1]</t>
        </is>
      </c>
      <c r="F68" s="5" t="inlineStr">
        <is>
          <t>checkbox</t>
        </is>
      </c>
      <c r="G68" s="5" t="inlineStr">
        <is>
          <t>3</t>
        </is>
      </c>
      <c r="H68" s="5" t="inlineStr"/>
      <c r="I68" s="5" t="inlineStr">
        <is>
          <t>120, 375, 129, 384</t>
        </is>
      </c>
      <c r="J68" s="5" t="inlineStr">
        <is>
          <t>question</t>
        </is>
      </c>
      <c r="K68" s="5" t="inlineStr">
        <is>
          <t>A3</t>
        </is>
      </c>
      <c r="L68" s="5" t="inlineStr">
        <is>
          <t>check if cards[0].A3 == "Y"</t>
        </is>
      </c>
      <c r="M68" s="5" t="inlineStr">
        <is>
          <t>cards.length &gt; 0</t>
        </is>
      </c>
      <c r="N68" s="5" t="inlineStr"/>
      <c r="O68" s="5" t="inlineStr"/>
    </row>
    <row r="69">
      <c r="A69" s="5" t="n">
        <v>68</v>
      </c>
      <c r="B69" s="5" t="n">
        <v>3</v>
      </c>
      <c r="C69" s="5" t="inlineStr">
        <is>
          <t>5c</t>
        </is>
      </c>
      <c r="D69" s="5" t="inlineStr">
        <is>
          <t>If yes, describe gun or weapon</t>
        </is>
      </c>
      <c r="E69" s="5" t="inlineStr">
        <is>
          <t>DV-100[0].Page3[0].List5[0].Li3[0].item5a3[0]</t>
        </is>
      </c>
      <c r="F69" s="5" t="inlineStr">
        <is>
          <t>text</t>
        </is>
      </c>
      <c r="G69" s="5" t="inlineStr"/>
      <c r="H69" s="5" t="inlineStr"/>
      <c r="I69" s="5" t="inlineStr">
        <is>
          <t>313, 373, 571, 386</t>
        </is>
      </c>
      <c r="J69" s="5" t="inlineStr">
        <is>
          <t>question</t>
        </is>
      </c>
      <c r="K69" s="5" t="inlineStr">
        <is>
          <t>A3</t>
        </is>
      </c>
      <c r="L69" s="5">
        <f> cards[0].A3.text</f>
        <v/>
      </c>
      <c r="M69" s="5" t="inlineStr">
        <is>
          <t>cards.length &gt; 0 and A3 == "Y"</t>
        </is>
      </c>
      <c r="N69" s="5" t="inlineStr"/>
      <c r="O69" s="5" t="inlineStr"/>
    </row>
    <row r="70">
      <c r="A70" s="5" t="n">
        <v>69</v>
      </c>
      <c r="B70" s="5" t="n">
        <v>3</v>
      </c>
      <c r="C70" s="5" t="inlineStr">
        <is>
          <t>5d</t>
        </is>
      </c>
      <c r="D70" s="5" t="inlineStr">
        <is>
          <t>No</t>
        </is>
      </c>
      <c r="E70" s="5" t="inlineStr">
        <is>
          <t>DV-100[0].Page3[0].List5[0].Li4[0].YesNo5d_cb[0]</t>
        </is>
      </c>
      <c r="F70" s="5" t="inlineStr">
        <is>
          <t>checkbox</t>
        </is>
      </c>
      <c r="G70" s="5" t="inlineStr">
        <is>
          <t>1</t>
        </is>
      </c>
      <c r="H70" s="5" t="inlineStr"/>
      <c r="I70" s="5" t="inlineStr">
        <is>
          <t>78, 413, 87, 422</t>
        </is>
      </c>
      <c r="J70" s="5" t="inlineStr">
        <is>
          <t>question</t>
        </is>
      </c>
      <c r="K70" s="5" t="inlineStr">
        <is>
          <t>A4</t>
        </is>
      </c>
      <c r="L70" s="5" t="inlineStr">
        <is>
          <t>check if cards[0].A4 == "N"</t>
        </is>
      </c>
      <c r="M70" s="5" t="inlineStr">
        <is>
          <t>cards.length &gt; 0</t>
        </is>
      </c>
      <c r="N70" s="5" t="inlineStr"/>
      <c r="O70" s="5" t="inlineStr"/>
    </row>
    <row r="71">
      <c r="A71" s="5" t="n">
        <v>70</v>
      </c>
      <c r="B71" s="5" t="n">
        <v>3</v>
      </c>
      <c r="C71" s="5" t="inlineStr">
        <is>
          <t>5d</t>
        </is>
      </c>
      <c r="D71" s="5" t="inlineStr">
        <is>
          <t>Yes</t>
        </is>
      </c>
      <c r="E71" s="5" t="inlineStr">
        <is>
          <t>DV-100[0].Page3[0].List5[0].Li4[0].YesNo5d_cb[1]</t>
        </is>
      </c>
      <c r="F71" s="5" t="inlineStr">
        <is>
          <t>checkbox</t>
        </is>
      </c>
      <c r="G71" s="5" t="inlineStr">
        <is>
          <t>3</t>
        </is>
      </c>
      <c r="H71" s="5" t="inlineStr"/>
      <c r="I71" s="5" t="inlineStr">
        <is>
          <t>121, 413, 130, 422</t>
        </is>
      </c>
      <c r="J71" s="5" t="inlineStr">
        <is>
          <t>question</t>
        </is>
      </c>
      <c r="K71" s="5" t="inlineStr">
        <is>
          <t>A4</t>
        </is>
      </c>
      <c r="L71" s="5" t="inlineStr">
        <is>
          <t>check if cards[0].A4 == "Y"</t>
        </is>
      </c>
      <c r="M71" s="5" t="inlineStr">
        <is>
          <t>cards.length &gt; 0</t>
        </is>
      </c>
      <c r="N71" s="5" t="inlineStr"/>
      <c r="O71" s="5" t="inlineStr"/>
    </row>
    <row r="72">
      <c r="A72" s="5" t="n">
        <v>71</v>
      </c>
      <c r="B72" s="5" t="n">
        <v>3</v>
      </c>
      <c r="C72" s="5" t="inlineStr">
        <is>
          <t>5d</t>
        </is>
      </c>
      <c r="D72" s="5" t="inlineStr">
        <is>
          <t>If yes, describe harm</t>
        </is>
      </c>
      <c r="E72" s="5" t="inlineStr">
        <is>
          <t>DV-100[0].Page3[0].List5[0].Li4[0].item26d_tf[0]</t>
        </is>
      </c>
      <c r="F72" s="5" t="inlineStr">
        <is>
          <t>text</t>
        </is>
      </c>
      <c r="G72" s="5" t="inlineStr"/>
      <c r="H72" s="5" t="inlineStr"/>
      <c r="I72" s="5" t="inlineStr">
        <is>
          <t>78, 425, 573, 439</t>
        </is>
      </c>
      <c r="J72" s="5" t="inlineStr">
        <is>
          <t>question</t>
        </is>
      </c>
      <c r="K72" s="5" t="inlineStr">
        <is>
          <t>A4</t>
        </is>
      </c>
      <c r="L72" s="5">
        <f> cards[0].A4.text</f>
        <v/>
      </c>
      <c r="M72" s="5" t="inlineStr">
        <is>
          <t>cards.length &gt; 0 and A4 == "Y"</t>
        </is>
      </c>
      <c r="N72" s="5" t="inlineStr">
        <is>
          <t>Live app caps this at 85 characters (gap analysis); no MaxLen is set on the PDF.</t>
        </is>
      </c>
      <c r="O72" s="5" t="inlineStr"/>
    </row>
    <row r="73">
      <c r="A73" s="5" t="n">
        <v>72</v>
      </c>
      <c r="B73" s="5" t="n">
        <v>3</v>
      </c>
      <c r="C73" s="5" t="inlineStr">
        <is>
          <t>5e</t>
        </is>
      </c>
      <c r="D73" s="5" t="inlineStr">
        <is>
          <t>I don’t know</t>
        </is>
      </c>
      <c r="E73" s="5" t="inlineStr">
        <is>
          <t>DV-100[0].Page3[0].List5[0].Li5[0].YesNo5e_cb[0]</t>
        </is>
      </c>
      <c r="F73" s="5" t="inlineStr">
        <is>
          <t>checkbox</t>
        </is>
      </c>
      <c r="G73" s="5" t="inlineStr">
        <is>
          <t>1</t>
        </is>
      </c>
      <c r="H73" s="5" t="inlineStr"/>
      <c r="I73" s="5" t="inlineStr">
        <is>
          <t>178, 446, 187, 455</t>
        </is>
      </c>
      <c r="J73" s="5" t="inlineStr">
        <is>
          <t>question</t>
        </is>
      </c>
      <c r="K73" s="5" t="inlineStr">
        <is>
          <t>A5</t>
        </is>
      </c>
      <c r="L73" s="5" t="inlineStr">
        <is>
          <t>check if cards[0].A5 == "DK"</t>
        </is>
      </c>
      <c r="M73" s="5" t="inlineStr">
        <is>
          <t>cards.length &gt; 0</t>
        </is>
      </c>
      <c r="N73" s="5" t="inlineStr"/>
      <c r="O73" s="5" t="inlineStr"/>
    </row>
    <row r="74">
      <c r="A74" s="5" t="n">
        <v>73</v>
      </c>
      <c r="B74" s="5" t="n">
        <v>3</v>
      </c>
      <c r="C74" s="5" t="inlineStr">
        <is>
          <t>5e</t>
        </is>
      </c>
      <c r="D74" s="5" t="inlineStr">
        <is>
          <t>No</t>
        </is>
      </c>
      <c r="E74" s="5" t="inlineStr">
        <is>
          <t>DV-100[0].Page3[0].List5[0].Li5[0].YesNo5e_cb[1]</t>
        </is>
      </c>
      <c r="F74" s="5" t="inlineStr">
        <is>
          <t>checkbox</t>
        </is>
      </c>
      <c r="G74" s="5" t="inlineStr">
        <is>
          <t>3</t>
        </is>
      </c>
      <c r="H74" s="5" t="inlineStr"/>
      <c r="I74" s="5" t="inlineStr">
        <is>
          <t>255, 446, 264, 455</t>
        </is>
      </c>
      <c r="J74" s="5" t="inlineStr">
        <is>
          <t>question</t>
        </is>
      </c>
      <c r="K74" s="5" t="inlineStr">
        <is>
          <t>A5</t>
        </is>
      </c>
      <c r="L74" s="5" t="inlineStr">
        <is>
          <t>check if cards[0].A5 == "N"</t>
        </is>
      </c>
      <c r="M74" s="5" t="inlineStr">
        <is>
          <t>cards.length &gt; 0</t>
        </is>
      </c>
      <c r="N74" s="5" t="inlineStr"/>
      <c r="O74" s="5" t="inlineStr"/>
    </row>
    <row r="75">
      <c r="A75" s="5" t="n">
        <v>74</v>
      </c>
      <c r="B75" s="5" t="n">
        <v>3</v>
      </c>
      <c r="C75" s="5" t="inlineStr">
        <is>
          <t>5e</t>
        </is>
      </c>
      <c r="D75" s="5" t="inlineStr">
        <is>
          <t>Yes</t>
        </is>
      </c>
      <c r="E75" s="5" t="inlineStr">
        <is>
          <t>DV-100[0].Page3[0].List5[0].Li5[0].YesNo5e_cb[2]</t>
        </is>
      </c>
      <c r="F75" s="5" t="inlineStr">
        <is>
          <t>checkbox</t>
        </is>
      </c>
      <c r="G75" s="5" t="inlineStr">
        <is>
          <t>5</t>
        </is>
      </c>
      <c r="H75" s="5" t="inlineStr"/>
      <c r="I75" s="5" t="inlineStr">
        <is>
          <t>292, 446, 301, 455</t>
        </is>
      </c>
      <c r="J75" s="5" t="inlineStr">
        <is>
          <t>question</t>
        </is>
      </c>
      <c r="K75" s="5" t="inlineStr">
        <is>
          <t>A5</t>
        </is>
      </c>
      <c r="L75" s="5" t="inlineStr">
        <is>
          <t>check if cards[0].A5 == "Y"</t>
        </is>
      </c>
      <c r="M75" s="5" t="inlineStr">
        <is>
          <t>cards.length &gt; 0</t>
        </is>
      </c>
      <c r="N75" s="5" t="inlineStr"/>
      <c r="O75" s="5" t="inlineStr"/>
    </row>
    <row r="76">
      <c r="A76" s="5" t="n">
        <v>75</v>
      </c>
      <c r="B76" s="5" t="n">
        <v>3</v>
      </c>
      <c r="C76" s="5" t="inlineStr">
        <is>
          <t>5f</t>
        </is>
      </c>
      <c r="D76" s="5" t="inlineStr">
        <is>
          <t>Give more details about how the person in 2 was abusive on this day. Details can include what was said, done, or sent to you (examples: text messages, emails, or pictures), how often something happene</t>
        </is>
      </c>
      <c r="E76" s="5" t="inlineStr">
        <is>
          <t>DV-100[0].Page3[0].List5[0].Li6[0].TextField[0]</t>
        </is>
      </c>
      <c r="F76" s="5" t="inlineStr">
        <is>
          <t>text</t>
        </is>
      </c>
      <c r="G76" s="5" t="inlineStr"/>
      <c r="H76" s="5" t="inlineStr"/>
      <c r="I76" s="5" t="inlineStr">
        <is>
          <t>78, 500, 576, 611</t>
        </is>
      </c>
      <c r="J76" s="5" t="inlineStr">
        <is>
          <t>question</t>
        </is>
      </c>
      <c r="K76" s="5" t="inlineStr">
        <is>
          <t>A6</t>
        </is>
      </c>
      <c r="L76" s="5">
        <f> fit(cards[0].A6); overflow goes to the "Describe Abuse" sheet</f>
        <v/>
      </c>
      <c r="M76" s="5" t="inlineStr">
        <is>
          <t>cards.length &gt; 0</t>
        </is>
      </c>
      <c r="N76" s="5" t="inlineStr"/>
      <c r="O76" s="5" t="inlineStr"/>
    </row>
    <row r="77">
      <c r="A77" s="5" t="n">
        <v>76</v>
      </c>
      <c r="B77" s="5" t="n">
        <v>3</v>
      </c>
      <c r="C77" s="5" t="inlineStr">
        <is>
          <t>5g</t>
        </is>
      </c>
      <c r="D77" s="5" t="inlineStr">
        <is>
          <t>Just this once</t>
        </is>
      </c>
      <c r="E77" s="5" t="inlineStr">
        <is>
          <t>DV-100[0].Page3[0].List5[0].Li7[0].YesNo5g_cb[0]</t>
        </is>
      </c>
      <c r="F77" s="5" t="inlineStr">
        <is>
          <t>checkbox</t>
        </is>
      </c>
      <c r="G77" s="5" t="inlineStr">
        <is>
          <t>1</t>
        </is>
      </c>
      <c r="H77" s="5" t="inlineStr"/>
      <c r="I77" s="5" t="inlineStr">
        <is>
          <t>78, 640, 87, 649</t>
        </is>
      </c>
      <c r="J77" s="5" t="inlineStr">
        <is>
          <t>question</t>
        </is>
      </c>
      <c r="K77" s="5" t="inlineStr">
        <is>
          <t>A7</t>
        </is>
      </c>
      <c r="L77" s="5" t="inlineStr">
        <is>
          <t>check if cards[0].A7.freq == "once"</t>
        </is>
      </c>
      <c r="M77" s="5" t="inlineStr">
        <is>
          <t>cards.length &gt; 0</t>
        </is>
      </c>
      <c r="N77" s="5" t="inlineStr"/>
      <c r="O77" s="5" t="inlineStr"/>
    </row>
    <row r="78">
      <c r="A78" s="5" t="n">
        <v>77</v>
      </c>
      <c r="B78" s="5" t="n">
        <v>3</v>
      </c>
      <c r="C78" s="5" t="inlineStr">
        <is>
          <t>5g</t>
        </is>
      </c>
      <c r="D78" s="5" t="inlineStr">
        <is>
          <t>2–5 times</t>
        </is>
      </c>
      <c r="E78" s="5" t="inlineStr">
        <is>
          <t>DV-100[0].Page3[0].List5[0].Li7[0].YesNo5g_cb[1]</t>
        </is>
      </c>
      <c r="F78" s="5" t="inlineStr">
        <is>
          <t>checkbox</t>
        </is>
      </c>
      <c r="G78" s="5" t="inlineStr">
        <is>
          <t>3</t>
        </is>
      </c>
      <c r="H78" s="5" t="inlineStr"/>
      <c r="I78" s="5" t="inlineStr">
        <is>
          <t>167, 640, 176, 649</t>
        </is>
      </c>
      <c r="J78" s="5" t="inlineStr">
        <is>
          <t>question</t>
        </is>
      </c>
      <c r="K78" s="5" t="inlineStr">
        <is>
          <t>A7</t>
        </is>
      </c>
      <c r="L78" s="5" t="inlineStr">
        <is>
          <t>check if cards[0].A7.freq == "2-5"</t>
        </is>
      </c>
      <c r="M78" s="5" t="inlineStr">
        <is>
          <t>cards.length &gt; 0</t>
        </is>
      </c>
      <c r="N78" s="5" t="inlineStr"/>
      <c r="O78" s="5" t="inlineStr"/>
    </row>
    <row r="79">
      <c r="A79" s="5" t="n">
        <v>78</v>
      </c>
      <c r="B79" s="5" t="n">
        <v>3</v>
      </c>
      <c r="C79" s="5" t="inlineStr">
        <is>
          <t>5g</t>
        </is>
      </c>
      <c r="D79" s="5" t="inlineStr">
        <is>
          <t>Weekly</t>
        </is>
      </c>
      <c r="E79" s="5" t="inlineStr">
        <is>
          <t>DV-100[0].Page3[0].List5[0].Li7[0].YesNo5g_cb[2]</t>
        </is>
      </c>
      <c r="F79" s="5" t="inlineStr">
        <is>
          <t>checkbox</t>
        </is>
      </c>
      <c r="G79" s="5" t="inlineStr">
        <is>
          <t>5</t>
        </is>
      </c>
      <c r="H79" s="5" t="inlineStr"/>
      <c r="I79" s="5" t="inlineStr">
        <is>
          <t>243, 640, 252, 649</t>
        </is>
      </c>
      <c r="J79" s="5" t="inlineStr">
        <is>
          <t>question</t>
        </is>
      </c>
      <c r="K79" s="5" t="inlineStr">
        <is>
          <t>A7</t>
        </is>
      </c>
      <c r="L79" s="5" t="inlineStr">
        <is>
          <t>check if cards[0].A7.freq == "weekly"</t>
        </is>
      </c>
      <c r="M79" s="5" t="inlineStr">
        <is>
          <t>cards.length &gt; 0</t>
        </is>
      </c>
      <c r="N79" s="5" t="inlineStr"/>
      <c r="O79" s="5" t="inlineStr"/>
    </row>
    <row r="80">
      <c r="A80" s="5" t="n">
        <v>79</v>
      </c>
      <c r="B80" s="5" t="n">
        <v>3</v>
      </c>
      <c r="C80" s="5" t="inlineStr">
        <is>
          <t>5g</t>
        </is>
      </c>
      <c r="D80" s="5" t="inlineStr">
        <is>
          <t>Other:</t>
        </is>
      </c>
      <c r="E80" s="5" t="inlineStr">
        <is>
          <t>DV-100[0].Page3[0].List5[0].Li7[0].YesNo5g_cb[3]</t>
        </is>
      </c>
      <c r="F80" s="5" t="inlineStr">
        <is>
          <t>checkbox</t>
        </is>
      </c>
      <c r="G80" s="5" t="inlineStr">
        <is>
          <t>9</t>
        </is>
      </c>
      <c r="H80" s="5" t="inlineStr"/>
      <c r="I80" s="5" t="inlineStr">
        <is>
          <t>308, 640, 317, 649</t>
        </is>
      </c>
      <c r="J80" s="5" t="inlineStr">
        <is>
          <t>question</t>
        </is>
      </c>
      <c r="K80" s="5" t="inlineStr">
        <is>
          <t>A7</t>
        </is>
      </c>
      <c r="L80" s="5" t="inlineStr">
        <is>
          <t>check if cards[0].A7.freq == "other"</t>
        </is>
      </c>
      <c r="M80" s="5" t="inlineStr">
        <is>
          <t>cards.length &gt; 0</t>
        </is>
      </c>
      <c r="N80" s="5" t="inlineStr"/>
      <c r="O80" s="5" t="inlineStr"/>
    </row>
    <row r="81">
      <c r="A81" s="5" t="n">
        <v>80</v>
      </c>
      <c r="B81" s="5" t="n">
        <v>3</v>
      </c>
      <c r="C81" s="5" t="inlineStr">
        <is>
          <t>5g</t>
        </is>
      </c>
      <c r="D81" s="5" t="inlineStr">
        <is>
          <t>Give dates or estimates of when it happened, if known:</t>
        </is>
      </c>
      <c r="E81" s="5" t="inlineStr">
        <is>
          <t>DV-100[0].Page3[0].List5[0].Li7[0].TextField7[0]</t>
        </is>
      </c>
      <c r="F81" s="5" t="inlineStr">
        <is>
          <t>text</t>
        </is>
      </c>
      <c r="G81" s="5" t="inlineStr"/>
      <c r="H81" s="5" t="inlineStr"/>
      <c r="I81" s="5" t="inlineStr">
        <is>
          <t>78, 669, 576, 703</t>
        </is>
      </c>
      <c r="J81" s="5" t="inlineStr">
        <is>
          <t>question</t>
        </is>
      </c>
      <c r="K81" s="5" t="inlineStr">
        <is>
          <t>A7</t>
        </is>
      </c>
      <c r="L81" s="5">
        <f> cards[0].A7.dates</f>
        <v/>
      </c>
      <c r="M81" s="5" t="inlineStr">
        <is>
          <t>cards.length &gt; 0</t>
        </is>
      </c>
      <c r="N81" s="5" t="inlineStr"/>
      <c r="O81" s="5" t="inlineStr"/>
    </row>
    <row r="82">
      <c r="A82" s="5" t="n">
        <v>81</v>
      </c>
      <c r="B82" s="5" t="n">
        <v>3</v>
      </c>
      <c r="C82" s="5" t="inlineStr">
        <is>
          <t>5g</t>
        </is>
      </c>
      <c r="D82" s="5" t="inlineStr">
        <is>
          <t>Other</t>
        </is>
      </c>
      <c r="E82" s="5" t="inlineStr">
        <is>
          <t>DV-100[0].Page3[0].List5[0].Li7[0].TextField[0]</t>
        </is>
      </c>
      <c r="F82" s="5" t="inlineStr">
        <is>
          <t>text</t>
        </is>
      </c>
      <c r="G82" s="5" t="inlineStr"/>
      <c r="H82" s="5" t="inlineStr"/>
      <c r="I82" s="5" t="inlineStr">
        <is>
          <t>357, 636, 563, 651</t>
        </is>
      </c>
      <c r="J82" s="5" t="inlineStr">
        <is>
          <t>question</t>
        </is>
      </c>
      <c r="K82" s="5" t="inlineStr">
        <is>
          <t>A7</t>
        </is>
      </c>
      <c r="L82" s="5">
        <f> cards[0].A7.otherText</f>
        <v/>
      </c>
      <c r="M82" s="5" t="inlineStr">
        <is>
          <t>cards.length &gt; 0 and A7.freq == "other"</t>
        </is>
      </c>
      <c r="N82" s="5" t="inlineStr"/>
      <c r="O82" s="5" t="inlineStr"/>
    </row>
    <row r="83">
      <c r="A83" s="5" t="n">
        <v>82</v>
      </c>
      <c r="B83" s="5" t="n">
        <v>4</v>
      </c>
      <c r="C83" s="5" t="inlineStr">
        <is>
          <t>Caption</t>
        </is>
      </c>
      <c r="D83" s="5" t="inlineStr">
        <is>
          <t>Case Number:</t>
        </is>
      </c>
      <c r="E83" s="5" t="inlineStr">
        <is>
          <t>DV-100[0].Page4[0].PxCaption[0].CaseNumber[0]</t>
        </is>
      </c>
      <c r="F83" s="5" t="inlineStr">
        <is>
          <t>text</t>
        </is>
      </c>
      <c r="G83" s="5" t="inlineStr"/>
      <c r="H83" s="5" t="inlineStr"/>
      <c r="I83" s="5" t="inlineStr">
        <is>
          <t>398, 48, 573, 63</t>
        </is>
      </c>
      <c r="J83" s="5" t="inlineStr">
        <is>
          <t>question</t>
        </is>
      </c>
      <c r="K83" s="5" t="inlineStr">
        <is>
          <t>S3,S4</t>
        </is>
      </c>
      <c r="L83" s="5">
        <f> S4</f>
        <v/>
      </c>
      <c r="M83" s="5" t="inlineStr">
        <is>
          <t>S3 == "update"; otherwise blank for clerk</t>
        </is>
      </c>
      <c r="N83" s="5" t="inlineStr">
        <is>
          <t>Case number box, repeated on every page; fill all 13 when known.</t>
        </is>
      </c>
      <c r="O83" s="5" t="inlineStr"/>
    </row>
    <row r="84">
      <c r="A84" s="5" t="n">
        <v>83</v>
      </c>
      <c r="B84" s="5" t="n">
        <v>4</v>
      </c>
      <c r="C84" s="5" t="inlineStr">
        <is>
          <t>6a</t>
        </is>
      </c>
      <c r="D84" s="5" t="inlineStr">
        <is>
          <t>Date of abuse. Give an estimate if you don’t know the exact date</t>
        </is>
      </c>
      <c r="E84" s="5" t="inlineStr">
        <is>
          <t>DV-100[0].Page4[0].List6[0].Li1[0].dtabs[0]</t>
        </is>
      </c>
      <c r="F84" s="5" t="inlineStr">
        <is>
          <t>text</t>
        </is>
      </c>
      <c r="G84" s="5" t="inlineStr"/>
      <c r="H84" s="5" t="inlineStr"/>
      <c r="I84" s="5" t="inlineStr">
        <is>
          <t>369, 121, 566, 132</t>
        </is>
      </c>
      <c r="J84" s="5" t="inlineStr">
        <is>
          <t>question</t>
        </is>
      </c>
      <c r="K84" s="5" t="inlineStr">
        <is>
          <t>A1</t>
        </is>
      </c>
      <c r="L84" s="5">
        <f> cards[1].A1 (fmtDate if a date, else the text as entered)</f>
        <v/>
      </c>
      <c r="M84" s="5" t="inlineStr">
        <is>
          <t>cards.length &gt; 1</t>
        </is>
      </c>
      <c r="N84" s="5" t="inlineStr">
        <is>
          <t>Card 1 = most recent; card 2 = a different kind of abuse.</t>
        </is>
      </c>
      <c r="O84" s="5" t="inlineStr"/>
    </row>
    <row r="85">
      <c r="A85" s="5" t="n">
        <v>84</v>
      </c>
      <c r="B85" s="5" t="n">
        <v>4</v>
      </c>
      <c r="C85" s="5" t="inlineStr">
        <is>
          <t>6b</t>
        </is>
      </c>
      <c r="D85" s="5" t="inlineStr">
        <is>
          <t>I don’t know</t>
        </is>
      </c>
      <c r="E85" s="5" t="inlineStr">
        <is>
          <t>DV-100[0].Page4[0].List6[0].li2[0].YesNo6b_cb[0]</t>
        </is>
      </c>
      <c r="F85" s="5" t="inlineStr">
        <is>
          <t>checkbox</t>
        </is>
      </c>
      <c r="G85" s="5" t="inlineStr">
        <is>
          <t>1</t>
        </is>
      </c>
      <c r="H85" s="5" t="inlineStr"/>
      <c r="I85" s="5" t="inlineStr">
        <is>
          <t>78, 172, 87, 181</t>
        </is>
      </c>
      <c r="J85" s="5" t="inlineStr">
        <is>
          <t>question</t>
        </is>
      </c>
      <c r="K85" s="5" t="inlineStr">
        <is>
          <t>A2</t>
        </is>
      </c>
      <c r="L85" s="5" t="inlineStr">
        <is>
          <t>check if cards[1].A2 == "DK"</t>
        </is>
      </c>
      <c r="M85" s="5" t="inlineStr">
        <is>
          <t>cards.length &gt; 1</t>
        </is>
      </c>
      <c r="N85" s="5" t="inlineStr">
        <is>
          <t>Box order: I don't know / No / Yes.</t>
        </is>
      </c>
      <c r="O85" s="5" t="inlineStr"/>
    </row>
    <row r="86">
      <c r="A86" s="5" t="n">
        <v>85</v>
      </c>
      <c r="B86" s="5" t="n">
        <v>4</v>
      </c>
      <c r="C86" s="5" t="inlineStr">
        <is>
          <t>6b</t>
        </is>
      </c>
      <c r="D86" s="5" t="inlineStr">
        <is>
          <t>No</t>
        </is>
      </c>
      <c r="E86" s="5" t="inlineStr">
        <is>
          <t>DV-100[0].Page4[0].List6[0].li2[0].YesNo6b_cb[1]</t>
        </is>
      </c>
      <c r="F86" s="5" t="inlineStr">
        <is>
          <t>checkbox</t>
        </is>
      </c>
      <c r="G86" s="5" t="inlineStr">
        <is>
          <t>3</t>
        </is>
      </c>
      <c r="H86" s="5" t="inlineStr"/>
      <c r="I86" s="5" t="inlineStr">
        <is>
          <t>165, 172, 174, 181</t>
        </is>
      </c>
      <c r="J86" s="5" t="inlineStr">
        <is>
          <t>question</t>
        </is>
      </c>
      <c r="K86" s="5" t="inlineStr">
        <is>
          <t>A2</t>
        </is>
      </c>
      <c r="L86" s="5" t="inlineStr">
        <is>
          <t>check if cards[1].A2 == "N"</t>
        </is>
      </c>
      <c r="M86" s="5" t="inlineStr">
        <is>
          <t>cards.length &gt; 1</t>
        </is>
      </c>
      <c r="N86" s="5" t="inlineStr"/>
      <c r="O86" s="5" t="inlineStr"/>
    </row>
    <row r="87">
      <c r="A87" s="5" t="n">
        <v>86</v>
      </c>
      <c r="B87" s="5" t="n">
        <v>4</v>
      </c>
      <c r="C87" s="5" t="inlineStr">
        <is>
          <t>6b</t>
        </is>
      </c>
      <c r="D87" s="5" t="inlineStr">
        <is>
          <t>Yes</t>
        </is>
      </c>
      <c r="E87" s="5" t="inlineStr">
        <is>
          <t>DV-100[0].Page4[0].List6[0].li2[0].YesNo6b_cb[2]</t>
        </is>
      </c>
      <c r="F87" s="5" t="inlineStr">
        <is>
          <t>checkbox</t>
        </is>
      </c>
      <c r="G87" s="5" t="inlineStr">
        <is>
          <t>6</t>
        </is>
      </c>
      <c r="H87" s="5" t="inlineStr"/>
      <c r="I87" s="5" t="inlineStr">
        <is>
          <t>209, 172, 218, 181</t>
        </is>
      </c>
      <c r="J87" s="5" t="inlineStr">
        <is>
          <t>question</t>
        </is>
      </c>
      <c r="K87" s="5" t="inlineStr">
        <is>
          <t>A2</t>
        </is>
      </c>
      <c r="L87" s="5" t="inlineStr">
        <is>
          <t>check if cards[1].A2 == "Y"</t>
        </is>
      </c>
      <c r="M87" s="5" t="inlineStr">
        <is>
          <t>cards.length &gt; 1</t>
        </is>
      </c>
      <c r="N87" s="5" t="inlineStr"/>
      <c r="O87" s="5" t="inlineStr"/>
    </row>
    <row r="88">
      <c r="A88" s="5" t="n">
        <v>87</v>
      </c>
      <c r="B88" s="5" t="n">
        <v>4</v>
      </c>
      <c r="C88" s="5" t="inlineStr">
        <is>
          <t>6b</t>
        </is>
      </c>
      <c r="D88" s="5" t="inlineStr">
        <is>
          <t>If yes, give names</t>
        </is>
      </c>
      <c r="E88" s="5" t="inlineStr">
        <is>
          <t>DV-100[0].Page4[0].List6[0].li2[0].item5b2[0]</t>
        </is>
      </c>
      <c r="F88" s="5" t="inlineStr">
        <is>
          <t>text</t>
        </is>
      </c>
      <c r="G88" s="5" t="inlineStr"/>
      <c r="H88" s="5" t="inlineStr"/>
      <c r="I88" s="5" t="inlineStr">
        <is>
          <t>343, 169, 569, 182</t>
        </is>
      </c>
      <c r="J88" s="5" t="inlineStr">
        <is>
          <t>question</t>
        </is>
      </c>
      <c r="K88" s="5" t="inlineStr">
        <is>
          <t>A2</t>
        </is>
      </c>
      <c r="L88" s="5">
        <f> cards[1].A2.names</f>
        <v/>
      </c>
      <c r="M88" s="5" t="inlineStr">
        <is>
          <t>cards.length &gt; 1 and A2 == "Y"</t>
        </is>
      </c>
      <c r="N88" s="5" t="inlineStr"/>
      <c r="O88" s="5" t="inlineStr"/>
    </row>
    <row r="89">
      <c r="A89" s="5" t="n">
        <v>88</v>
      </c>
      <c r="B89" s="5" t="n">
        <v>4</v>
      </c>
      <c r="C89" s="5" t="inlineStr">
        <is>
          <t>6c</t>
        </is>
      </c>
      <c r="D89" s="5" t="inlineStr">
        <is>
          <t>No</t>
        </is>
      </c>
      <c r="E89" s="5" t="inlineStr">
        <is>
          <t>DV-100[0].Page4[0].List6[0].Li3[0].YesNo6c_cb[0]</t>
        </is>
      </c>
      <c r="F89" s="5" t="inlineStr">
        <is>
          <t>checkbox</t>
        </is>
      </c>
      <c r="G89" s="5" t="inlineStr">
        <is>
          <t>1</t>
        </is>
      </c>
      <c r="H89" s="5" t="inlineStr"/>
      <c r="I89" s="5" t="inlineStr">
        <is>
          <t>78, 217, 87, 226</t>
        </is>
      </c>
      <c r="J89" s="5" t="inlineStr">
        <is>
          <t>question</t>
        </is>
      </c>
      <c r="K89" s="5" t="inlineStr">
        <is>
          <t>A3</t>
        </is>
      </c>
      <c r="L89" s="5" t="inlineStr">
        <is>
          <t>check if cards[1].A3 == "N"</t>
        </is>
      </c>
      <c r="M89" s="5" t="inlineStr">
        <is>
          <t>cards.length &gt; 1</t>
        </is>
      </c>
      <c r="N89" s="5" t="inlineStr"/>
      <c r="O89" s="5" t="inlineStr"/>
    </row>
    <row r="90">
      <c r="A90" s="5" t="n">
        <v>89</v>
      </c>
      <c r="B90" s="5" t="n">
        <v>4</v>
      </c>
      <c r="C90" s="5" t="inlineStr">
        <is>
          <t>6c</t>
        </is>
      </c>
      <c r="D90" s="5" t="inlineStr">
        <is>
          <t>Yes</t>
        </is>
      </c>
      <c r="E90" s="5" t="inlineStr">
        <is>
          <t>DV-100[0].Page4[0].List6[0].Li3[0].YesNo6c_cb[1]</t>
        </is>
      </c>
      <c r="F90" s="5" t="inlineStr">
        <is>
          <t>checkbox</t>
        </is>
      </c>
      <c r="G90" s="5" t="inlineStr">
        <is>
          <t>5</t>
        </is>
      </c>
      <c r="H90" s="5" t="inlineStr"/>
      <c r="I90" s="5" t="inlineStr">
        <is>
          <t>122, 217, 131, 226</t>
        </is>
      </c>
      <c r="J90" s="5" t="inlineStr">
        <is>
          <t>question</t>
        </is>
      </c>
      <c r="K90" s="5" t="inlineStr">
        <is>
          <t>A3</t>
        </is>
      </c>
      <c r="L90" s="5" t="inlineStr">
        <is>
          <t>check if cards[1].A3 == "Y"</t>
        </is>
      </c>
      <c r="M90" s="5" t="inlineStr">
        <is>
          <t>cards.length &gt; 1</t>
        </is>
      </c>
      <c r="N90" s="5" t="inlineStr"/>
      <c r="O90" s="5" t="inlineStr"/>
    </row>
    <row r="91">
      <c r="A91" s="5" t="n">
        <v>90</v>
      </c>
      <c r="B91" s="5" t="n">
        <v>4</v>
      </c>
      <c r="C91" s="5" t="inlineStr">
        <is>
          <t>6c</t>
        </is>
      </c>
      <c r="D91" s="5" t="inlineStr">
        <is>
          <t>If yes, describe gun or weapon</t>
        </is>
      </c>
      <c r="E91" s="5" t="inlineStr">
        <is>
          <t>DV-100[0].Page4[0].List6[0].Li3[0].item5b3[0]</t>
        </is>
      </c>
      <c r="F91" s="5" t="inlineStr">
        <is>
          <t>text</t>
        </is>
      </c>
      <c r="G91" s="5" t="inlineStr"/>
      <c r="H91" s="5" t="inlineStr"/>
      <c r="I91" s="5" t="inlineStr">
        <is>
          <t>311, 215, 569, 228</t>
        </is>
      </c>
      <c r="J91" s="5" t="inlineStr">
        <is>
          <t>question</t>
        </is>
      </c>
      <c r="K91" s="5" t="inlineStr">
        <is>
          <t>A3</t>
        </is>
      </c>
      <c r="L91" s="5">
        <f> cards[1].A3.text</f>
        <v/>
      </c>
      <c r="M91" s="5" t="inlineStr">
        <is>
          <t>cards.length &gt; 1 and A3 == "Y"</t>
        </is>
      </c>
      <c r="N91" s="5" t="inlineStr"/>
      <c r="O91" s="5" t="inlineStr"/>
    </row>
    <row r="92">
      <c r="A92" s="5" t="n">
        <v>91</v>
      </c>
      <c r="B92" s="5" t="n">
        <v>4</v>
      </c>
      <c r="C92" s="5" t="inlineStr">
        <is>
          <t>6d</t>
        </is>
      </c>
      <c r="D92" s="5" t="inlineStr">
        <is>
          <t>No</t>
        </is>
      </c>
      <c r="E92" s="5" t="inlineStr">
        <is>
          <t>DV-100[0].Page4[0].List6[0].Li4[0].YesNo6d_cb[0]</t>
        </is>
      </c>
      <c r="F92" s="5" t="inlineStr">
        <is>
          <t>checkbox</t>
        </is>
      </c>
      <c r="G92" s="5" t="inlineStr">
        <is>
          <t>1</t>
        </is>
      </c>
      <c r="H92" s="5" t="inlineStr"/>
      <c r="I92" s="5" t="inlineStr">
        <is>
          <t>78, 265, 87, 274</t>
        </is>
      </c>
      <c r="J92" s="5" t="inlineStr">
        <is>
          <t>question</t>
        </is>
      </c>
      <c r="K92" s="5" t="inlineStr">
        <is>
          <t>A4</t>
        </is>
      </c>
      <c r="L92" s="5" t="inlineStr">
        <is>
          <t>check if cards[1].A4 == "N"</t>
        </is>
      </c>
      <c r="M92" s="5" t="inlineStr">
        <is>
          <t>cards.length &gt; 1</t>
        </is>
      </c>
      <c r="N92" s="5" t="inlineStr"/>
      <c r="O92" s="5" t="inlineStr"/>
    </row>
    <row r="93">
      <c r="A93" s="5" t="n">
        <v>92</v>
      </c>
      <c r="B93" s="5" t="n">
        <v>4</v>
      </c>
      <c r="C93" s="5" t="inlineStr">
        <is>
          <t>6d</t>
        </is>
      </c>
      <c r="D93" s="5" t="inlineStr">
        <is>
          <t>Yes</t>
        </is>
      </c>
      <c r="E93" s="5" t="inlineStr">
        <is>
          <t>DV-100[0].Page4[0].List6[0].Li4[0].YesNo6d_cb[1]</t>
        </is>
      </c>
      <c r="F93" s="5" t="inlineStr">
        <is>
          <t>checkbox</t>
        </is>
      </c>
      <c r="G93" s="5" t="inlineStr">
        <is>
          <t>5</t>
        </is>
      </c>
      <c r="H93" s="5" t="inlineStr"/>
      <c r="I93" s="5" t="inlineStr">
        <is>
          <t>122, 265, 131, 274</t>
        </is>
      </c>
      <c r="J93" s="5" t="inlineStr">
        <is>
          <t>question</t>
        </is>
      </c>
      <c r="K93" s="5" t="inlineStr">
        <is>
          <t>A4</t>
        </is>
      </c>
      <c r="L93" s="5" t="inlineStr">
        <is>
          <t>check if cards[1].A4 == "Y"</t>
        </is>
      </c>
      <c r="M93" s="5" t="inlineStr">
        <is>
          <t>cards.length &gt; 1</t>
        </is>
      </c>
      <c r="N93" s="5" t="inlineStr"/>
      <c r="O93" s="5" t="inlineStr"/>
    </row>
    <row r="94">
      <c r="A94" s="5" t="n">
        <v>93</v>
      </c>
      <c r="B94" s="5" t="n">
        <v>4</v>
      </c>
      <c r="C94" s="5" t="inlineStr">
        <is>
          <t>6d</t>
        </is>
      </c>
      <c r="D94" s="5" t="inlineStr">
        <is>
          <t>If yes, describe harm</t>
        </is>
      </c>
      <c r="E94" s="5" t="inlineStr">
        <is>
          <t>DV-100[0].Page4[0].List6[0].Li4[0].item26d_tf[0]</t>
        </is>
      </c>
      <c r="F94" s="5" t="inlineStr">
        <is>
          <t>text</t>
        </is>
      </c>
      <c r="G94" s="5" t="inlineStr"/>
      <c r="H94" s="5" t="inlineStr"/>
      <c r="I94" s="5" t="inlineStr">
        <is>
          <t>78, 277, 576, 308</t>
        </is>
      </c>
      <c r="J94" s="5" t="inlineStr">
        <is>
          <t>question</t>
        </is>
      </c>
      <c r="K94" s="5" t="inlineStr">
        <is>
          <t>A4</t>
        </is>
      </c>
      <c r="L94" s="5">
        <f> cards[1].A4.text</f>
        <v/>
      </c>
      <c r="M94" s="5" t="inlineStr">
        <is>
          <t>cards.length &gt; 1 and A4 == "Y"</t>
        </is>
      </c>
      <c r="N94" s="5" t="inlineStr"/>
      <c r="O94" s="5" t="inlineStr"/>
    </row>
    <row r="95">
      <c r="A95" s="5" t="n">
        <v>94</v>
      </c>
      <c r="B95" s="5" t="n">
        <v>4</v>
      </c>
      <c r="C95" s="5" t="inlineStr">
        <is>
          <t>6e</t>
        </is>
      </c>
      <c r="D95" s="5" t="inlineStr">
        <is>
          <t>I don’t know</t>
        </is>
      </c>
      <c r="E95" s="5" t="inlineStr">
        <is>
          <t>DV-100[0].Page4[0].List6[0].Li5[0].YesNo6e_cb[0]</t>
        </is>
      </c>
      <c r="F95" s="5" t="inlineStr">
        <is>
          <t>checkbox</t>
        </is>
      </c>
      <c r="G95" s="5" t="inlineStr">
        <is>
          <t>1</t>
        </is>
      </c>
      <c r="H95" s="5" t="inlineStr"/>
      <c r="I95" s="5" t="inlineStr">
        <is>
          <t>177, 321, 186, 330</t>
        </is>
      </c>
      <c r="J95" s="5" t="inlineStr">
        <is>
          <t>question</t>
        </is>
      </c>
      <c r="K95" s="5" t="inlineStr">
        <is>
          <t>A5</t>
        </is>
      </c>
      <c r="L95" s="5" t="inlineStr">
        <is>
          <t>check if cards[1].A5 == "DK"</t>
        </is>
      </c>
      <c r="M95" s="5" t="inlineStr">
        <is>
          <t>cards.length &gt; 1</t>
        </is>
      </c>
      <c r="N95" s="5" t="inlineStr"/>
      <c r="O95" s="5" t="inlineStr"/>
    </row>
    <row r="96">
      <c r="A96" s="5" t="n">
        <v>95</v>
      </c>
      <c r="B96" s="5" t="n">
        <v>4</v>
      </c>
      <c r="C96" s="5" t="inlineStr">
        <is>
          <t>6e</t>
        </is>
      </c>
      <c r="D96" s="5" t="inlineStr">
        <is>
          <t>No</t>
        </is>
      </c>
      <c r="E96" s="5" t="inlineStr">
        <is>
          <t>DV-100[0].Page4[0].List6[0].Li5[0].YesNo6e_cb[1]</t>
        </is>
      </c>
      <c r="F96" s="5" t="inlineStr">
        <is>
          <t>checkbox</t>
        </is>
      </c>
      <c r="G96" s="5" t="inlineStr">
        <is>
          <t>7</t>
        </is>
      </c>
      <c r="H96" s="5" t="inlineStr"/>
      <c r="I96" s="5" t="inlineStr">
        <is>
          <t>254, 321, 263, 330</t>
        </is>
      </c>
      <c r="J96" s="5" t="inlineStr">
        <is>
          <t>question</t>
        </is>
      </c>
      <c r="K96" s="5" t="inlineStr">
        <is>
          <t>A5</t>
        </is>
      </c>
      <c r="L96" s="5" t="inlineStr">
        <is>
          <t>check if cards[1].A5 == "N"</t>
        </is>
      </c>
      <c r="M96" s="5" t="inlineStr">
        <is>
          <t>cards.length &gt; 1</t>
        </is>
      </c>
      <c r="N96" s="5" t="inlineStr"/>
      <c r="O96" s="5" t="inlineStr"/>
    </row>
    <row r="97">
      <c r="A97" s="5" t="n">
        <v>96</v>
      </c>
      <c r="B97" s="5" t="n">
        <v>4</v>
      </c>
      <c r="C97" s="5" t="inlineStr">
        <is>
          <t>6e</t>
        </is>
      </c>
      <c r="D97" s="5" t="inlineStr">
        <is>
          <t>Yes</t>
        </is>
      </c>
      <c r="E97" s="5" t="inlineStr">
        <is>
          <t>DV-100[0].Page4[0].List6[0].Li5[0].YesNo6e_cb[2]</t>
        </is>
      </c>
      <c r="F97" s="5" t="inlineStr">
        <is>
          <t>checkbox</t>
        </is>
      </c>
      <c r="G97" s="5" t="inlineStr">
        <is>
          <t>11</t>
        </is>
      </c>
      <c r="H97" s="5" t="inlineStr"/>
      <c r="I97" s="5" t="inlineStr">
        <is>
          <t>291, 321, 300, 330</t>
        </is>
      </c>
      <c r="J97" s="5" t="inlineStr">
        <is>
          <t>question</t>
        </is>
      </c>
      <c r="K97" s="5" t="inlineStr">
        <is>
          <t>A5</t>
        </is>
      </c>
      <c r="L97" s="5" t="inlineStr">
        <is>
          <t>check if cards[1].A5 == "Y"</t>
        </is>
      </c>
      <c r="M97" s="5" t="inlineStr">
        <is>
          <t>cards.length &gt; 1</t>
        </is>
      </c>
      <c r="N97" s="5" t="inlineStr"/>
      <c r="O97" s="5" t="inlineStr"/>
    </row>
    <row r="98">
      <c r="A98" s="5" t="n">
        <v>97</v>
      </c>
      <c r="B98" s="5" t="n">
        <v>4</v>
      </c>
      <c r="C98" s="5" t="inlineStr">
        <is>
          <t>6f</t>
        </is>
      </c>
      <c r="D98" s="5" t="inlineStr">
        <is>
          <t>Give more details about how the person in item 2 was abusive on this day. Details can include what was said,done, or sent to you (examples: text messages, emails, or pictures), how often something hap</t>
        </is>
      </c>
      <c r="E98" s="5" t="inlineStr">
        <is>
          <t>DV-100[0].Page4[0].List6[0].Li6[0].TextField[0]</t>
        </is>
      </c>
      <c r="F98" s="5" t="inlineStr">
        <is>
          <t>text</t>
        </is>
      </c>
      <c r="G98" s="5" t="inlineStr"/>
      <c r="H98" s="5" t="inlineStr"/>
      <c r="I98" s="5" t="inlineStr">
        <is>
          <t>78, 386, 566, 557</t>
        </is>
      </c>
      <c r="J98" s="5" t="inlineStr">
        <is>
          <t>question</t>
        </is>
      </c>
      <c r="K98" s="5" t="inlineStr">
        <is>
          <t>A6</t>
        </is>
      </c>
      <c r="L98" s="5">
        <f> fit(cards[1].A6); overflow goes to the "Describe Abuse" sheet</f>
        <v/>
      </c>
      <c r="M98" s="5" t="inlineStr">
        <is>
          <t>cards.length &gt; 1</t>
        </is>
      </c>
      <c r="N98" s="5" t="inlineStr"/>
      <c r="O98" s="5" t="inlineStr"/>
    </row>
    <row r="99">
      <c r="A99" s="5" t="n">
        <v>98</v>
      </c>
      <c r="B99" s="5" t="n">
        <v>4</v>
      </c>
      <c r="C99" s="5" t="inlineStr">
        <is>
          <t>6g</t>
        </is>
      </c>
      <c r="D99" s="5" t="inlineStr">
        <is>
          <t>Give dates or estimates of when it happened, if known:</t>
        </is>
      </c>
      <c r="E99" s="5" t="inlineStr">
        <is>
          <t>DV-100[0].Page4[0].List6[0].Li7[0].item26d_tf[0]</t>
        </is>
      </c>
      <c r="F99" s="5" t="inlineStr">
        <is>
          <t>text</t>
        </is>
      </c>
      <c r="G99" s="5" t="inlineStr"/>
      <c r="H99" s="5" t="inlineStr"/>
      <c r="I99" s="5" t="inlineStr">
        <is>
          <t>78, 624, 568, 650</t>
        </is>
      </c>
      <c r="J99" s="5" t="inlineStr">
        <is>
          <t>question</t>
        </is>
      </c>
      <c r="K99" s="5" t="inlineStr">
        <is>
          <t>A7</t>
        </is>
      </c>
      <c r="L99" s="5">
        <f> cards[1].A7.dates</f>
        <v/>
      </c>
      <c r="M99" s="5" t="inlineStr">
        <is>
          <t>cards.length &gt; 1</t>
        </is>
      </c>
      <c r="N99" s="5" t="inlineStr"/>
      <c r="O99" s="5" t="inlineStr"/>
    </row>
    <row r="100">
      <c r="A100" s="5" t="n">
        <v>99</v>
      </c>
      <c r="B100" s="5" t="n">
        <v>4</v>
      </c>
      <c r="C100" s="5" t="inlineStr">
        <is>
          <t>6g</t>
        </is>
      </c>
      <c r="D100" s="5" t="inlineStr">
        <is>
          <t>Just this once</t>
        </is>
      </c>
      <c r="E100" s="5" t="inlineStr">
        <is>
          <t>DV-100[0].Page4[0].List6[0].Li7[0].abuseFreq[0]</t>
        </is>
      </c>
      <c r="F100" s="5" t="inlineStr">
        <is>
          <t>checkbox</t>
        </is>
      </c>
      <c r="G100" s="5" t="inlineStr">
        <is>
          <t>1</t>
        </is>
      </c>
      <c r="H100" s="5" t="inlineStr"/>
      <c r="I100" s="5" t="inlineStr">
        <is>
          <t>78, 592, 87, 601</t>
        </is>
      </c>
      <c r="J100" s="5" t="inlineStr">
        <is>
          <t>question</t>
        </is>
      </c>
      <c r="K100" s="5" t="inlineStr">
        <is>
          <t>A7</t>
        </is>
      </c>
      <c r="L100" s="5" t="inlineStr">
        <is>
          <t>check if cards[1].A7.freq == "once"</t>
        </is>
      </c>
      <c r="M100" s="5" t="inlineStr">
        <is>
          <t>cards.length &gt; 1</t>
        </is>
      </c>
      <c r="N100" s="5" t="inlineStr"/>
      <c r="O100" s="5" t="inlineStr"/>
    </row>
    <row r="101">
      <c r="A101" s="5" t="n">
        <v>100</v>
      </c>
      <c r="B101" s="5" t="n">
        <v>4</v>
      </c>
      <c r="C101" s="5" t="inlineStr">
        <is>
          <t>6g</t>
        </is>
      </c>
      <c r="D101" s="5" t="inlineStr">
        <is>
          <t>2–5 times</t>
        </is>
      </c>
      <c r="E101" s="5" t="inlineStr">
        <is>
          <t>DV-100[0].Page4[0].List6[0].Li7[0].abuseFreq[1]</t>
        </is>
      </c>
      <c r="F101" s="5" t="inlineStr">
        <is>
          <t>checkbox</t>
        </is>
      </c>
      <c r="G101" s="5" t="inlineStr">
        <is>
          <t>6</t>
        </is>
      </c>
      <c r="H101" s="5" t="inlineStr"/>
      <c r="I101" s="5" t="inlineStr">
        <is>
          <t>170, 592, 179, 601</t>
        </is>
      </c>
      <c r="J101" s="5" t="inlineStr">
        <is>
          <t>question</t>
        </is>
      </c>
      <c r="K101" s="5" t="inlineStr">
        <is>
          <t>A7</t>
        </is>
      </c>
      <c r="L101" s="5" t="inlineStr">
        <is>
          <t>check if cards[1].A7.freq == "2-5"</t>
        </is>
      </c>
      <c r="M101" s="5" t="inlineStr">
        <is>
          <t>cards.length &gt; 1</t>
        </is>
      </c>
      <c r="N101" s="5" t="inlineStr"/>
      <c r="O101" s="5" t="inlineStr"/>
    </row>
    <row r="102">
      <c r="A102" s="5" t="n">
        <v>101</v>
      </c>
      <c r="B102" s="5" t="n">
        <v>4</v>
      </c>
      <c r="C102" s="5" t="inlineStr">
        <is>
          <t>6g</t>
        </is>
      </c>
      <c r="D102" s="5" t="inlineStr">
        <is>
          <t>Weekly</t>
        </is>
      </c>
      <c r="E102" s="5" t="inlineStr">
        <is>
          <t>DV-100[0].Page4[0].List6[0].Li7[0].abuseFreq[2]</t>
        </is>
      </c>
      <c r="F102" s="5" t="inlineStr">
        <is>
          <t>checkbox</t>
        </is>
      </c>
      <c r="G102" s="5" t="inlineStr">
        <is>
          <t>11</t>
        </is>
      </c>
      <c r="H102" s="5" t="inlineStr"/>
      <c r="I102" s="5" t="inlineStr">
        <is>
          <t>247, 592, 256, 601</t>
        </is>
      </c>
      <c r="J102" s="5" t="inlineStr">
        <is>
          <t>question</t>
        </is>
      </c>
      <c r="K102" s="5" t="inlineStr">
        <is>
          <t>A7</t>
        </is>
      </c>
      <c r="L102" s="5" t="inlineStr">
        <is>
          <t>check if cards[1].A7.freq == "weekly"</t>
        </is>
      </c>
      <c r="M102" s="5" t="inlineStr">
        <is>
          <t>cards.length &gt; 1</t>
        </is>
      </c>
      <c r="N102" s="5" t="inlineStr"/>
      <c r="O102" s="5" t="inlineStr"/>
    </row>
    <row r="103">
      <c r="A103" s="5" t="n">
        <v>102</v>
      </c>
      <c r="B103" s="5" t="n">
        <v>4</v>
      </c>
      <c r="C103" s="5" t="inlineStr">
        <is>
          <t>6g</t>
        </is>
      </c>
      <c r="D103" s="5" t="inlineStr">
        <is>
          <t>Other:</t>
        </is>
      </c>
      <c r="E103" s="5" t="inlineStr">
        <is>
          <t>DV-100[0].Page4[0].List6[0].Li7[0].abuseFreq[3]</t>
        </is>
      </c>
      <c r="F103" s="5" t="inlineStr">
        <is>
          <t>checkbox</t>
        </is>
      </c>
      <c r="G103" s="5" t="inlineStr">
        <is>
          <t>21</t>
        </is>
      </c>
      <c r="H103" s="5" t="inlineStr"/>
      <c r="I103" s="5" t="inlineStr">
        <is>
          <t>317, 592, 326, 601</t>
        </is>
      </c>
      <c r="J103" s="5" t="inlineStr">
        <is>
          <t>question</t>
        </is>
      </c>
      <c r="K103" s="5" t="inlineStr">
        <is>
          <t>A7</t>
        </is>
      </c>
      <c r="L103" s="5" t="inlineStr">
        <is>
          <t>check if cards[1].A7.freq == "other"</t>
        </is>
      </c>
      <c r="M103" s="5" t="inlineStr">
        <is>
          <t>cards.length &gt; 1</t>
        </is>
      </c>
      <c r="N103" s="5" t="inlineStr"/>
      <c r="O103" s="5" t="inlineStr"/>
    </row>
    <row r="104">
      <c r="A104" s="5" t="n">
        <v>103</v>
      </c>
      <c r="B104" s="5" t="n">
        <v>4</v>
      </c>
      <c r="C104" s="5" t="inlineStr">
        <is>
          <t>6g</t>
        </is>
      </c>
      <c r="D104" s="5" t="inlineStr">
        <is>
          <t>Other:</t>
        </is>
      </c>
      <c r="E104" s="5" t="inlineStr">
        <is>
          <t>DV-100[0].Page4[0].List6[0].Li7[0].TextField[0]</t>
        </is>
      </c>
      <c r="F104" s="5" t="inlineStr">
        <is>
          <t>text</t>
        </is>
      </c>
      <c r="G104" s="5" t="inlineStr"/>
      <c r="H104" s="5" t="inlineStr"/>
      <c r="I104" s="5" t="inlineStr">
        <is>
          <t>363, 591, 567, 603</t>
        </is>
      </c>
      <c r="J104" s="5" t="inlineStr">
        <is>
          <t>question</t>
        </is>
      </c>
      <c r="K104" s="5" t="inlineStr">
        <is>
          <t>A7</t>
        </is>
      </c>
      <c r="L104" s="5">
        <f> cards[1].A7.otherText</f>
        <v/>
      </c>
      <c r="M104" s="5" t="inlineStr">
        <is>
          <t>cards.length &gt; 1 and A7.freq == "other"</t>
        </is>
      </c>
      <c r="N104" s="5" t="inlineStr"/>
      <c r="O104" s="5" t="inlineStr"/>
    </row>
    <row r="105">
      <c r="A105" s="5" t="n">
        <v>104</v>
      </c>
      <c r="B105" s="5" t="n">
        <v>5</v>
      </c>
      <c r="C105" s="5" t="inlineStr">
        <is>
          <t>7a</t>
        </is>
      </c>
      <c r="D105" s="5" t="inlineStr">
        <is>
          <t>Date of abuse. Give an estimate if you don’t know the exact date</t>
        </is>
      </c>
      <c r="E105" s="5" t="inlineStr">
        <is>
          <t>DV-100[0].Page5[0].List7[0].Li1[0].dtabs[0]</t>
        </is>
      </c>
      <c r="F105" s="5" t="inlineStr">
        <is>
          <t>text</t>
        </is>
      </c>
      <c r="G105" s="5" t="inlineStr"/>
      <c r="H105" s="5" t="inlineStr"/>
      <c r="I105" s="5" t="inlineStr">
        <is>
          <t>369, 114, 566, 125</t>
        </is>
      </c>
      <c r="J105" s="5" t="inlineStr">
        <is>
          <t>question</t>
        </is>
      </c>
      <c r="K105" s="5" t="inlineStr">
        <is>
          <t>A1</t>
        </is>
      </c>
      <c r="L105" s="5">
        <f> cards[2].A1 (fmtDate if a date, else the text as entered)</f>
        <v/>
      </c>
      <c r="M105" s="5" t="inlineStr">
        <is>
          <t>cards.length &gt; 2</t>
        </is>
      </c>
      <c r="N105" s="5" t="inlineStr"/>
      <c r="O105" s="5" t="inlineStr"/>
    </row>
    <row r="106">
      <c r="A106" s="5" t="n">
        <v>105</v>
      </c>
      <c r="B106" s="5" t="n">
        <v>5</v>
      </c>
      <c r="C106" s="5" t="inlineStr">
        <is>
          <t>7b</t>
        </is>
      </c>
      <c r="D106" s="5" t="inlineStr">
        <is>
          <t>I don’t know</t>
        </is>
      </c>
      <c r="E106" s="5" t="inlineStr">
        <is>
          <t>DV-100[0].Page5[0].List7[0].Li2[0].YesNo7b_cb[0]</t>
        </is>
      </c>
      <c r="F106" s="5" t="inlineStr">
        <is>
          <t>checkbox</t>
        </is>
      </c>
      <c r="G106" s="5" t="inlineStr">
        <is>
          <t>1</t>
        </is>
      </c>
      <c r="H106" s="5" t="inlineStr"/>
      <c r="I106" s="5" t="inlineStr">
        <is>
          <t>78, 157, 87, 166</t>
        </is>
      </c>
      <c r="J106" s="5" t="inlineStr">
        <is>
          <t>question</t>
        </is>
      </c>
      <c r="K106" s="5" t="inlineStr">
        <is>
          <t>A2</t>
        </is>
      </c>
      <c r="L106" s="5" t="inlineStr">
        <is>
          <t>check if cards[2].A2 == "DK"</t>
        </is>
      </c>
      <c r="M106" s="5" t="inlineStr">
        <is>
          <t>cards.length &gt; 2</t>
        </is>
      </c>
      <c r="N106" s="5" t="inlineStr">
        <is>
          <t>Box order: I don't know / No / Yes.</t>
        </is>
      </c>
      <c r="O106" s="5" t="inlineStr"/>
    </row>
    <row r="107">
      <c r="A107" s="5" t="n">
        <v>106</v>
      </c>
      <c r="B107" s="5" t="n">
        <v>5</v>
      </c>
      <c r="C107" s="5" t="inlineStr">
        <is>
          <t>7b</t>
        </is>
      </c>
      <c r="D107" s="5" t="inlineStr">
        <is>
          <t>No</t>
        </is>
      </c>
      <c r="E107" s="5" t="inlineStr">
        <is>
          <t>DV-100[0].Page5[0].List7[0].Li2[0].YesNo7b_cb[1]</t>
        </is>
      </c>
      <c r="F107" s="5" t="inlineStr">
        <is>
          <t>checkbox</t>
        </is>
      </c>
      <c r="G107" s="5" t="inlineStr">
        <is>
          <t>11</t>
        </is>
      </c>
      <c r="H107" s="5" t="inlineStr"/>
      <c r="I107" s="5" t="inlineStr">
        <is>
          <t>165, 157, 174, 166</t>
        </is>
      </c>
      <c r="J107" s="5" t="inlineStr">
        <is>
          <t>question</t>
        </is>
      </c>
      <c r="K107" s="5" t="inlineStr">
        <is>
          <t>A2</t>
        </is>
      </c>
      <c r="L107" s="5" t="inlineStr">
        <is>
          <t>check if cards[2].A2 == "N"</t>
        </is>
      </c>
      <c r="M107" s="5" t="inlineStr">
        <is>
          <t>cards.length &gt; 2</t>
        </is>
      </c>
      <c r="N107" s="5" t="inlineStr"/>
      <c r="O107" s="5" t="inlineStr"/>
    </row>
    <row r="108">
      <c r="A108" s="5" t="n">
        <v>107</v>
      </c>
      <c r="B108" s="5" t="n">
        <v>5</v>
      </c>
      <c r="C108" s="5" t="inlineStr">
        <is>
          <t>7b</t>
        </is>
      </c>
      <c r="D108" s="5" t="inlineStr">
        <is>
          <t>Yes</t>
        </is>
      </c>
      <c r="E108" s="5" t="inlineStr">
        <is>
          <t>DV-100[0].Page5[0].List7[0].Li2[0].YesNo7b_cb[2]</t>
        </is>
      </c>
      <c r="F108" s="5" t="inlineStr">
        <is>
          <t>checkbox</t>
        </is>
      </c>
      <c r="G108" s="5" t="inlineStr">
        <is>
          <t>21</t>
        </is>
      </c>
      <c r="H108" s="5" t="inlineStr"/>
      <c r="I108" s="5" t="inlineStr">
        <is>
          <t>209, 157, 218, 166</t>
        </is>
      </c>
      <c r="J108" s="5" t="inlineStr">
        <is>
          <t>question</t>
        </is>
      </c>
      <c r="K108" s="5" t="inlineStr">
        <is>
          <t>A2</t>
        </is>
      </c>
      <c r="L108" s="5" t="inlineStr">
        <is>
          <t>check if cards[2].A2 == "Y"</t>
        </is>
      </c>
      <c r="M108" s="5" t="inlineStr">
        <is>
          <t>cards.length &gt; 2</t>
        </is>
      </c>
      <c r="N108" s="5" t="inlineStr"/>
      <c r="O108" s="5" t="inlineStr"/>
    </row>
    <row r="109">
      <c r="A109" s="5" t="n">
        <v>108</v>
      </c>
      <c r="B109" s="5" t="n">
        <v>5</v>
      </c>
      <c r="C109" s="5" t="inlineStr">
        <is>
          <t>7b</t>
        </is>
      </c>
      <c r="D109" s="5" t="inlineStr">
        <is>
          <t>If yes, give names</t>
        </is>
      </c>
      <c r="E109" s="5" t="inlineStr">
        <is>
          <t>DV-100[0].Page5[0].List7[0].Li2[0].item5b2[0]</t>
        </is>
      </c>
      <c r="F109" s="5" t="inlineStr">
        <is>
          <t>text</t>
        </is>
      </c>
      <c r="G109" s="5" t="inlineStr"/>
      <c r="H109" s="5" t="inlineStr"/>
      <c r="I109" s="5" t="inlineStr">
        <is>
          <t>344, 155, 568, 168</t>
        </is>
      </c>
      <c r="J109" s="5" t="inlineStr">
        <is>
          <t>question</t>
        </is>
      </c>
      <c r="K109" s="5" t="inlineStr">
        <is>
          <t>A2</t>
        </is>
      </c>
      <c r="L109" s="5">
        <f> cards[2].A2.names</f>
        <v/>
      </c>
      <c r="M109" s="5" t="inlineStr">
        <is>
          <t>cards.length &gt; 2 and A2 == "Y"</t>
        </is>
      </c>
      <c r="N109" s="5" t="inlineStr"/>
      <c r="O109" s="5" t="inlineStr"/>
    </row>
    <row r="110">
      <c r="A110" s="5" t="n">
        <v>109</v>
      </c>
      <c r="B110" s="5" t="n">
        <v>5</v>
      </c>
      <c r="C110" s="5" t="inlineStr">
        <is>
          <t>7c</t>
        </is>
      </c>
      <c r="D110" s="5" t="inlineStr">
        <is>
          <t>No</t>
        </is>
      </c>
      <c r="E110" s="5" t="inlineStr">
        <is>
          <t>DV-100[0].Page5[0].List7[0].Li3[0].YesNo7c_cb[0]</t>
        </is>
      </c>
      <c r="F110" s="5" t="inlineStr">
        <is>
          <t>checkbox</t>
        </is>
      </c>
      <c r="G110" s="5" t="inlineStr">
        <is>
          <t>1</t>
        </is>
      </c>
      <c r="H110" s="5" t="inlineStr"/>
      <c r="I110" s="5" t="inlineStr">
        <is>
          <t>78, 196, 87, 205</t>
        </is>
      </c>
      <c r="J110" s="5" t="inlineStr">
        <is>
          <t>question</t>
        </is>
      </c>
      <c r="K110" s="5" t="inlineStr">
        <is>
          <t>A3</t>
        </is>
      </c>
      <c r="L110" s="5" t="inlineStr">
        <is>
          <t>check if cards[2].A3 == "N"</t>
        </is>
      </c>
      <c r="M110" s="5" t="inlineStr">
        <is>
          <t>cards.length &gt; 2</t>
        </is>
      </c>
      <c r="N110" s="5" t="inlineStr"/>
      <c r="O110" s="5" t="inlineStr"/>
    </row>
    <row r="111">
      <c r="A111" s="5" t="n">
        <v>110</v>
      </c>
      <c r="B111" s="5" t="n">
        <v>5</v>
      </c>
      <c r="C111" s="5" t="inlineStr">
        <is>
          <t>7c</t>
        </is>
      </c>
      <c r="D111" s="5" t="inlineStr">
        <is>
          <t>Yes</t>
        </is>
      </c>
      <c r="E111" s="5" t="inlineStr">
        <is>
          <t>DV-100[0].Page5[0].List7[0].Li3[0].YesNo7c_cb[1]</t>
        </is>
      </c>
      <c r="F111" s="5" t="inlineStr">
        <is>
          <t>checkbox</t>
        </is>
      </c>
      <c r="G111" s="5" t="inlineStr">
        <is>
          <t>11</t>
        </is>
      </c>
      <c r="H111" s="5" t="inlineStr"/>
      <c r="I111" s="5" t="inlineStr">
        <is>
          <t>122, 195, 131, 204</t>
        </is>
      </c>
      <c r="J111" s="5" t="inlineStr">
        <is>
          <t>question</t>
        </is>
      </c>
      <c r="K111" s="5" t="inlineStr">
        <is>
          <t>A3</t>
        </is>
      </c>
      <c r="L111" s="5" t="inlineStr">
        <is>
          <t>check if cards[2].A3 == "Y"</t>
        </is>
      </c>
      <c r="M111" s="5" t="inlineStr">
        <is>
          <t>cards.length &gt; 2</t>
        </is>
      </c>
      <c r="N111" s="5" t="inlineStr"/>
      <c r="O111" s="5" t="inlineStr"/>
    </row>
    <row r="112">
      <c r="A112" s="5" t="n">
        <v>111</v>
      </c>
      <c r="B112" s="5" t="n">
        <v>5</v>
      </c>
      <c r="C112" s="5" t="inlineStr">
        <is>
          <t>7c</t>
        </is>
      </c>
      <c r="D112" s="5" t="inlineStr">
        <is>
          <t>If yes, describe gun or weapon:</t>
        </is>
      </c>
      <c r="E112" s="5" t="inlineStr">
        <is>
          <t>DV-100[0].Page5[0].List7[0].Li3[0].item5b3[0]</t>
        </is>
      </c>
      <c r="F112" s="5" t="inlineStr">
        <is>
          <t>text</t>
        </is>
      </c>
      <c r="G112" s="5" t="inlineStr"/>
      <c r="H112" s="5" t="inlineStr"/>
      <c r="I112" s="5" t="inlineStr">
        <is>
          <t>313, 193, 567, 206</t>
        </is>
      </c>
      <c r="J112" s="5" t="inlineStr">
        <is>
          <t>question</t>
        </is>
      </c>
      <c r="K112" s="5" t="inlineStr">
        <is>
          <t>A3</t>
        </is>
      </c>
      <c r="L112" s="5">
        <f> cards[2].A3.text</f>
        <v/>
      </c>
      <c r="M112" s="5" t="inlineStr">
        <is>
          <t>cards.length &gt; 2 and A3 == "Y"</t>
        </is>
      </c>
      <c r="N112" s="5" t="inlineStr"/>
      <c r="O112" s="5" t="inlineStr"/>
    </row>
    <row r="113">
      <c r="A113" s="5" t="n">
        <v>112</v>
      </c>
      <c r="B113" s="5" t="n">
        <v>5</v>
      </c>
      <c r="C113" s="5" t="inlineStr">
        <is>
          <t>7d</t>
        </is>
      </c>
      <c r="D113" s="5" t="inlineStr">
        <is>
          <t>No</t>
        </is>
      </c>
      <c r="E113" s="5" t="inlineStr">
        <is>
          <t>DV-100[0].Page5[0].List7[0].Li4[0].YesNo7d_cb[0]</t>
        </is>
      </c>
      <c r="F113" s="5" t="inlineStr">
        <is>
          <t>checkbox</t>
        </is>
      </c>
      <c r="G113" s="5" t="inlineStr">
        <is>
          <t>1</t>
        </is>
      </c>
      <c r="H113" s="5" t="inlineStr"/>
      <c r="I113" s="5" t="inlineStr">
        <is>
          <t>78, 237, 87, 246</t>
        </is>
      </c>
      <c r="J113" s="5" t="inlineStr">
        <is>
          <t>question</t>
        </is>
      </c>
      <c r="K113" s="5" t="inlineStr">
        <is>
          <t>A4</t>
        </is>
      </c>
      <c r="L113" s="5" t="inlineStr">
        <is>
          <t>check if cards[2].A4 == "N"</t>
        </is>
      </c>
      <c r="M113" s="5" t="inlineStr">
        <is>
          <t>cards.length &gt; 2</t>
        </is>
      </c>
      <c r="N113" s="5" t="inlineStr"/>
      <c r="O113" s="5" t="inlineStr"/>
    </row>
    <row r="114">
      <c r="A114" s="5" t="n">
        <v>113</v>
      </c>
      <c r="B114" s="5" t="n">
        <v>5</v>
      </c>
      <c r="C114" s="5" t="inlineStr">
        <is>
          <t>7d</t>
        </is>
      </c>
      <c r="D114" s="5" t="inlineStr">
        <is>
          <t>Yes</t>
        </is>
      </c>
      <c r="E114" s="5" t="inlineStr">
        <is>
          <t>DV-100[0].Page5[0].List7[0].Li4[0].YesNo7d_cb[1]</t>
        </is>
      </c>
      <c r="F114" s="5" t="inlineStr">
        <is>
          <t>checkbox</t>
        </is>
      </c>
      <c r="G114" s="5" t="inlineStr">
        <is>
          <t>11</t>
        </is>
      </c>
      <c r="H114" s="5" t="inlineStr"/>
      <c r="I114" s="5" t="inlineStr">
        <is>
          <t>122, 237, 131, 246</t>
        </is>
      </c>
      <c r="J114" s="5" t="inlineStr">
        <is>
          <t>question</t>
        </is>
      </c>
      <c r="K114" s="5" t="inlineStr">
        <is>
          <t>A4</t>
        </is>
      </c>
      <c r="L114" s="5" t="inlineStr">
        <is>
          <t>check if cards[2].A4 == "Y"</t>
        </is>
      </c>
      <c r="M114" s="5" t="inlineStr">
        <is>
          <t>cards.length &gt; 2</t>
        </is>
      </c>
      <c r="N114" s="5" t="inlineStr"/>
      <c r="O114" s="5" t="inlineStr"/>
    </row>
    <row r="115">
      <c r="A115" s="5" t="n">
        <v>114</v>
      </c>
      <c r="B115" s="5" t="n">
        <v>5</v>
      </c>
      <c r="C115" s="5" t="inlineStr">
        <is>
          <t>7d</t>
        </is>
      </c>
      <c r="D115" s="5" t="inlineStr">
        <is>
          <t>If yes, describe harm</t>
        </is>
      </c>
      <c r="E115" s="5" t="inlineStr">
        <is>
          <t>DV-100[0].Page5[0].List7[0].Li4[0].item26d_tf[0]</t>
        </is>
      </c>
      <c r="F115" s="5" t="inlineStr">
        <is>
          <t>text</t>
        </is>
      </c>
      <c r="G115" s="5" t="inlineStr"/>
      <c r="H115" s="5" t="inlineStr"/>
      <c r="I115" s="5" t="inlineStr">
        <is>
          <t>78, 250, 569, 280</t>
        </is>
      </c>
      <c r="J115" s="5" t="inlineStr">
        <is>
          <t>question</t>
        </is>
      </c>
      <c r="K115" s="5" t="inlineStr">
        <is>
          <t>A4</t>
        </is>
      </c>
      <c r="L115" s="5">
        <f> cards[2].A4.text</f>
        <v/>
      </c>
      <c r="M115" s="5" t="inlineStr">
        <is>
          <t>cards.length &gt; 2 and A4 == "Y"</t>
        </is>
      </c>
      <c r="N115" s="5" t="inlineStr"/>
      <c r="O115" s="5" t="inlineStr"/>
    </row>
    <row r="116">
      <c r="A116" s="5" t="n">
        <v>115</v>
      </c>
      <c r="B116" s="5" t="n">
        <v>5</v>
      </c>
      <c r="C116" s="5" t="inlineStr">
        <is>
          <t>7e</t>
        </is>
      </c>
      <c r="D116" s="5" t="inlineStr">
        <is>
          <t>I don’t know</t>
        </is>
      </c>
      <c r="E116" s="5" t="inlineStr">
        <is>
          <t>DV-100[0].Page5[0].List7[0].Li5[0].YesNo7e_cb[0]</t>
        </is>
      </c>
      <c r="F116" s="5" t="inlineStr">
        <is>
          <t>checkbox</t>
        </is>
      </c>
      <c r="G116" s="5" t="inlineStr">
        <is>
          <t>1</t>
        </is>
      </c>
      <c r="H116" s="5" t="inlineStr"/>
      <c r="I116" s="5" t="inlineStr">
        <is>
          <t>178, 292, 187, 301</t>
        </is>
      </c>
      <c r="J116" s="5" t="inlineStr">
        <is>
          <t>question</t>
        </is>
      </c>
      <c r="K116" s="5" t="inlineStr">
        <is>
          <t>A5</t>
        </is>
      </c>
      <c r="L116" s="5" t="inlineStr">
        <is>
          <t>check if cards[2].A5 == "DK"</t>
        </is>
      </c>
      <c r="M116" s="5" t="inlineStr">
        <is>
          <t>cards.length &gt; 2</t>
        </is>
      </c>
      <c r="N116" s="5" t="inlineStr"/>
      <c r="O116" s="5" t="inlineStr"/>
    </row>
    <row r="117">
      <c r="A117" s="5" t="n">
        <v>116</v>
      </c>
      <c r="B117" s="5" t="n">
        <v>5</v>
      </c>
      <c r="C117" s="5" t="inlineStr">
        <is>
          <t>7e</t>
        </is>
      </c>
      <c r="D117" s="5" t="inlineStr">
        <is>
          <t>No</t>
        </is>
      </c>
      <c r="E117" s="5" t="inlineStr">
        <is>
          <t>DV-100[0].Page5[0].List7[0].Li5[0].YesNo7e_cb[1]</t>
        </is>
      </c>
      <c r="F117" s="5" t="inlineStr">
        <is>
          <t>checkbox</t>
        </is>
      </c>
      <c r="G117" s="5" t="inlineStr">
        <is>
          <t>11</t>
        </is>
      </c>
      <c r="H117" s="5" t="inlineStr"/>
      <c r="I117" s="5" t="inlineStr">
        <is>
          <t>255, 292, 264, 301</t>
        </is>
      </c>
      <c r="J117" s="5" t="inlineStr">
        <is>
          <t>question</t>
        </is>
      </c>
      <c r="K117" s="5" t="inlineStr">
        <is>
          <t>A5</t>
        </is>
      </c>
      <c r="L117" s="5" t="inlineStr">
        <is>
          <t>check if cards[2].A5 == "N"</t>
        </is>
      </c>
      <c r="M117" s="5" t="inlineStr">
        <is>
          <t>cards.length &gt; 2</t>
        </is>
      </c>
      <c r="N117" s="5" t="inlineStr"/>
      <c r="O117" s="5" t="inlineStr"/>
    </row>
    <row r="118">
      <c r="A118" s="5" t="n">
        <v>117</v>
      </c>
      <c r="B118" s="5" t="n">
        <v>5</v>
      </c>
      <c r="C118" s="5" t="inlineStr">
        <is>
          <t>7e</t>
        </is>
      </c>
      <c r="D118" s="5" t="inlineStr">
        <is>
          <t>Yes</t>
        </is>
      </c>
      <c r="E118" s="5" t="inlineStr">
        <is>
          <t>DV-100[0].Page5[0].List7[0].Li5[0].YesNo7e_cb[2]</t>
        </is>
      </c>
      <c r="F118" s="5" t="inlineStr">
        <is>
          <t>checkbox</t>
        </is>
      </c>
      <c r="G118" s="5" t="inlineStr">
        <is>
          <t>21</t>
        </is>
      </c>
      <c r="H118" s="5" t="inlineStr"/>
      <c r="I118" s="5" t="inlineStr">
        <is>
          <t>292, 292, 301, 301</t>
        </is>
      </c>
      <c r="J118" s="5" t="inlineStr">
        <is>
          <t>question</t>
        </is>
      </c>
      <c r="K118" s="5" t="inlineStr">
        <is>
          <t>A5</t>
        </is>
      </c>
      <c r="L118" s="5" t="inlineStr">
        <is>
          <t>check if cards[2].A5 == "Y"</t>
        </is>
      </c>
      <c r="M118" s="5" t="inlineStr">
        <is>
          <t>cards.length &gt; 2</t>
        </is>
      </c>
      <c r="N118" s="5" t="inlineStr"/>
      <c r="O118" s="5" t="inlineStr"/>
    </row>
    <row r="119">
      <c r="A119" s="5" t="n">
        <v>118</v>
      </c>
      <c r="B119" s="5" t="n">
        <v>5</v>
      </c>
      <c r="C119" s="5" t="inlineStr">
        <is>
          <t>7f</t>
        </is>
      </c>
      <c r="D119" s="5" t="inlineStr">
        <is>
          <t>Give more details about how the person in item 2 was abusive on this day. Details can include what was said,done, or sent to you (examples: text messages, emails, or pictures), how often something hap</t>
        </is>
      </c>
      <c r="E119" s="5" t="inlineStr">
        <is>
          <t>DV-100[0].Page5[0].List7[0].Li6[0].TextField[0]</t>
        </is>
      </c>
      <c r="F119" s="5" t="inlineStr">
        <is>
          <t>text</t>
        </is>
      </c>
      <c r="G119" s="5" t="inlineStr"/>
      <c r="H119" s="5" t="inlineStr"/>
      <c r="I119" s="5" t="inlineStr">
        <is>
          <t>78, 347, 569, 507</t>
        </is>
      </c>
      <c r="J119" s="5" t="inlineStr">
        <is>
          <t>question</t>
        </is>
      </c>
      <c r="K119" s="5" t="inlineStr">
        <is>
          <t>A6</t>
        </is>
      </c>
      <c r="L119" s="5">
        <f> fit(cards[2].A6); overflow goes to the "Describe Abuse" sheet</f>
        <v/>
      </c>
      <c r="M119" s="5" t="inlineStr">
        <is>
          <t>cards.length &gt; 2</t>
        </is>
      </c>
      <c r="N119" s="5" t="inlineStr"/>
      <c r="O119" s="5" t="inlineStr"/>
    </row>
    <row r="120">
      <c r="A120" s="5" t="n">
        <v>119</v>
      </c>
      <c r="B120" s="5" t="n">
        <v>5</v>
      </c>
      <c r="C120" s="5" t="inlineStr">
        <is>
          <t>7g</t>
        </is>
      </c>
      <c r="D120" s="5" t="inlineStr">
        <is>
          <t>Just this once</t>
        </is>
      </c>
      <c r="E120" s="5" t="inlineStr">
        <is>
          <t>DV-100[0].Page5[0].List7[0].Li7[0].YesNo7g_cb[0]</t>
        </is>
      </c>
      <c r="F120" s="5" t="inlineStr">
        <is>
          <t>checkbox</t>
        </is>
      </c>
      <c r="G120" s="5" t="inlineStr">
        <is>
          <t>1</t>
        </is>
      </c>
      <c r="H120" s="5" t="inlineStr"/>
      <c r="I120" s="5" t="inlineStr">
        <is>
          <t>78, 542, 87, 551</t>
        </is>
      </c>
      <c r="J120" s="5" t="inlineStr">
        <is>
          <t>question</t>
        </is>
      </c>
      <c r="K120" s="5" t="inlineStr">
        <is>
          <t>A7</t>
        </is>
      </c>
      <c r="L120" s="5" t="inlineStr">
        <is>
          <t>check if cards[2].A7.freq == "once"</t>
        </is>
      </c>
      <c r="M120" s="5" t="inlineStr">
        <is>
          <t>cards.length &gt; 2</t>
        </is>
      </c>
      <c r="N120" s="5" t="inlineStr"/>
      <c r="O120" s="5" t="inlineStr"/>
    </row>
    <row r="121">
      <c r="A121" s="5" t="n">
        <v>120</v>
      </c>
      <c r="B121" s="5" t="n">
        <v>5</v>
      </c>
      <c r="C121" s="5" t="inlineStr">
        <is>
          <t>7g</t>
        </is>
      </c>
      <c r="D121" s="5" t="inlineStr">
        <is>
          <t>2–5 times</t>
        </is>
      </c>
      <c r="E121" s="5" t="inlineStr">
        <is>
          <t>DV-100[0].Page5[0].List7[0].Li7[0].YesNo7g_cb[1]</t>
        </is>
      </c>
      <c r="F121" s="5" t="inlineStr">
        <is>
          <t>checkbox</t>
        </is>
      </c>
      <c r="G121" s="5" t="inlineStr">
        <is>
          <t>3</t>
        </is>
      </c>
      <c r="H121" s="5" t="inlineStr"/>
      <c r="I121" s="5" t="inlineStr">
        <is>
          <t>169, 542, 178, 551</t>
        </is>
      </c>
      <c r="J121" s="5" t="inlineStr">
        <is>
          <t>question</t>
        </is>
      </c>
      <c r="K121" s="5" t="inlineStr">
        <is>
          <t>A7</t>
        </is>
      </c>
      <c r="L121" s="5" t="inlineStr">
        <is>
          <t>check if cards[2].A7.freq == "2-5"</t>
        </is>
      </c>
      <c r="M121" s="5" t="inlineStr">
        <is>
          <t>cards.length &gt; 2</t>
        </is>
      </c>
      <c r="N121" s="5" t="inlineStr"/>
      <c r="O121" s="5" t="inlineStr"/>
    </row>
    <row r="122">
      <c r="A122" s="5" t="n">
        <v>121</v>
      </c>
      <c r="B122" s="5" t="n">
        <v>5</v>
      </c>
      <c r="C122" s="5" t="inlineStr">
        <is>
          <t>7g</t>
        </is>
      </c>
      <c r="D122" s="5" t="inlineStr">
        <is>
          <t>Weekly</t>
        </is>
      </c>
      <c r="E122" s="5" t="inlineStr">
        <is>
          <t>DV-100[0].Page5[0].List7[0].Li7[0].YesNo7g_cb[2]</t>
        </is>
      </c>
      <c r="F122" s="5" t="inlineStr">
        <is>
          <t>checkbox</t>
        </is>
      </c>
      <c r="G122" s="5" t="inlineStr">
        <is>
          <t>6</t>
        </is>
      </c>
      <c r="H122" s="5" t="inlineStr"/>
      <c r="I122" s="5" t="inlineStr">
        <is>
          <t>246, 542, 255, 551</t>
        </is>
      </c>
      <c r="J122" s="5" t="inlineStr">
        <is>
          <t>question</t>
        </is>
      </c>
      <c r="K122" s="5" t="inlineStr">
        <is>
          <t>A7</t>
        </is>
      </c>
      <c r="L122" s="5" t="inlineStr">
        <is>
          <t>check if cards[2].A7.freq == "weekly"</t>
        </is>
      </c>
      <c r="M122" s="5" t="inlineStr">
        <is>
          <t>cards.length &gt; 2</t>
        </is>
      </c>
      <c r="N122" s="5" t="inlineStr"/>
      <c r="O122" s="5" t="inlineStr"/>
    </row>
    <row r="123">
      <c r="A123" s="5" t="n">
        <v>122</v>
      </c>
      <c r="B123" s="5" t="n">
        <v>5</v>
      </c>
      <c r="C123" s="5" t="inlineStr">
        <is>
          <t>7g</t>
        </is>
      </c>
      <c r="D123" s="5" t="inlineStr">
        <is>
          <t>Other:</t>
        </is>
      </c>
      <c r="E123" s="5" t="inlineStr">
        <is>
          <t>DV-100[0].Page5[0].List7[0].Li7[0].YesNo7g_cb[3]</t>
        </is>
      </c>
      <c r="F123" s="5" t="inlineStr">
        <is>
          <t>checkbox</t>
        </is>
      </c>
      <c r="G123" s="5" t="inlineStr">
        <is>
          <t>21</t>
        </is>
      </c>
      <c r="H123" s="5" t="inlineStr"/>
      <c r="I123" s="5" t="inlineStr">
        <is>
          <t>316, 542, 325, 551</t>
        </is>
      </c>
      <c r="J123" s="5" t="inlineStr">
        <is>
          <t>question</t>
        </is>
      </c>
      <c r="K123" s="5" t="inlineStr">
        <is>
          <t>A7</t>
        </is>
      </c>
      <c r="L123" s="5" t="inlineStr">
        <is>
          <t>check if cards[2].A7.freq == "other"</t>
        </is>
      </c>
      <c r="M123" s="5" t="inlineStr">
        <is>
          <t>cards.length &gt; 2</t>
        </is>
      </c>
      <c r="N123" s="5" t="inlineStr"/>
      <c r="O123" s="5" t="inlineStr"/>
    </row>
    <row r="124">
      <c r="A124" s="5" t="n">
        <v>123</v>
      </c>
      <c r="B124" s="5" t="n">
        <v>5</v>
      </c>
      <c r="C124" s="5" t="inlineStr">
        <is>
          <t>7g</t>
        </is>
      </c>
      <c r="D124" s="5" t="inlineStr">
        <is>
          <t>Other:</t>
        </is>
      </c>
      <c r="E124" s="5" t="inlineStr">
        <is>
          <t>DV-100[0].Page5[0].List7[0].Li7[0].TextField[0]</t>
        </is>
      </c>
      <c r="F124" s="5" t="inlineStr">
        <is>
          <t>text</t>
        </is>
      </c>
      <c r="G124" s="5" t="inlineStr"/>
      <c r="H124" s="5" t="inlineStr"/>
      <c r="I124" s="5" t="inlineStr">
        <is>
          <t>362, 541, 566, 553</t>
        </is>
      </c>
      <c r="J124" s="5" t="inlineStr">
        <is>
          <t>question</t>
        </is>
      </c>
      <c r="K124" s="5" t="inlineStr">
        <is>
          <t>A7</t>
        </is>
      </c>
      <c r="L124" s="5">
        <f> cards[2].A7.otherText</f>
        <v/>
      </c>
      <c r="M124" s="5" t="inlineStr">
        <is>
          <t>cards.length &gt; 2 and A7.freq == "other"</t>
        </is>
      </c>
      <c r="N124" s="5" t="inlineStr"/>
      <c r="O124" s="5" t="inlineStr"/>
    </row>
    <row r="125">
      <c r="A125" s="5" t="n">
        <v>124</v>
      </c>
      <c r="B125" s="5" t="n">
        <v>5</v>
      </c>
      <c r="C125" s="5" t="inlineStr">
        <is>
          <t>7g</t>
        </is>
      </c>
      <c r="D125" s="5" t="inlineStr">
        <is>
          <t>Give dates or estimates of when it happened, if known:</t>
        </is>
      </c>
      <c r="E125" s="5" t="inlineStr">
        <is>
          <t>DV-100[0].Page5[0].List7[0].Li7[0].item26d_tf[0]</t>
        </is>
      </c>
      <c r="F125" s="5" t="inlineStr">
        <is>
          <t>text</t>
        </is>
      </c>
      <c r="G125" s="5" t="inlineStr"/>
      <c r="H125" s="5" t="inlineStr"/>
      <c r="I125" s="5" t="inlineStr">
        <is>
          <t>78, 577, 568, 604</t>
        </is>
      </c>
      <c r="J125" s="5" t="inlineStr">
        <is>
          <t>question</t>
        </is>
      </c>
      <c r="K125" s="5" t="inlineStr">
        <is>
          <t>A7</t>
        </is>
      </c>
      <c r="L125" s="5">
        <f> cards[2].A7.dates</f>
        <v/>
      </c>
      <c r="M125" s="5" t="inlineStr">
        <is>
          <t>cards.length &gt; 2</t>
        </is>
      </c>
      <c r="N125" s="5" t="inlineStr"/>
      <c r="O125" s="5" t="inlineStr"/>
    </row>
    <row r="126">
      <c r="A126" s="6" t="n">
        <v>125</v>
      </c>
      <c r="B126" s="6" t="n">
        <v>5</v>
      </c>
      <c r="C126" s="6" t="inlineStr">
        <is>
          <t>7 (foot)</t>
        </is>
      </c>
      <c r="D126" s="6" t="inlineStr">
        <is>
          <t>Check this box if you need more space to describe the abuse. You can use form DV101, Description of Abuse, and turn it in with this form. You can also use a separate sheet of paper, write “Describe Ab</t>
        </is>
      </c>
      <c r="E126" s="6" t="inlineStr">
        <is>
          <t>DV-100[0].Page5[0].List7[0].MultilineCheckBox[0]</t>
        </is>
      </c>
      <c r="F126" s="6" t="inlineStr">
        <is>
          <t>checkbox</t>
        </is>
      </c>
      <c r="G126" s="6" t="inlineStr">
        <is>
          <t>1</t>
        </is>
      </c>
      <c r="H126" s="6" t="inlineStr"/>
      <c r="I126" s="6" t="inlineStr">
        <is>
          <t>63, 625, 72, 634</t>
        </is>
      </c>
      <c r="J126" s="6" t="inlineStr">
        <is>
          <t>derived</t>
        </is>
      </c>
      <c r="K126" s="6" t="inlineStr">
        <is>
          <t>A1-A7</t>
        </is>
      </c>
      <c r="L126" s="6" t="inlineStr">
        <is>
          <t>check if cards.length &gt; 3 or any of 5f-7f overflowed</t>
        </is>
      </c>
      <c r="M126" s="6" t="inlineStr"/>
      <c r="N126" s="6" t="inlineStr">
        <is>
          <t>Adds DV-101 and/or the "Describe Abuse" sheet to the page count in 32.</t>
        </is>
      </c>
      <c r="O126" s="6" t="inlineStr"/>
    </row>
    <row r="127">
      <c r="A127" s="5" t="n">
        <v>126</v>
      </c>
      <c r="B127" s="5" t="n">
        <v>5</v>
      </c>
      <c r="C127" s="5" t="inlineStr">
        <is>
          <t>Caption</t>
        </is>
      </c>
      <c r="D127" s="5" t="inlineStr">
        <is>
          <t>Case Number:</t>
        </is>
      </c>
      <c r="E127" s="5" t="inlineStr">
        <is>
          <t>DV-100[0].Page5[0].PxCaption[0].CaseNumber[0]</t>
        </is>
      </c>
      <c r="F127" s="5" t="inlineStr">
        <is>
          <t>text</t>
        </is>
      </c>
      <c r="G127" s="5" t="inlineStr"/>
      <c r="H127" s="5" t="inlineStr"/>
      <c r="I127" s="5" t="inlineStr">
        <is>
          <t>398, 48, 573, 63</t>
        </is>
      </c>
      <c r="J127" s="5" t="inlineStr">
        <is>
          <t>question</t>
        </is>
      </c>
      <c r="K127" s="5" t="inlineStr">
        <is>
          <t>S3,S4</t>
        </is>
      </c>
      <c r="L127" s="5">
        <f> S4</f>
        <v/>
      </c>
      <c r="M127" s="5" t="inlineStr">
        <is>
          <t>S3 == "update"; otherwise blank for clerk</t>
        </is>
      </c>
      <c r="N127" s="5" t="inlineStr">
        <is>
          <t>Case number box, repeated on every page; fill all 13 when known.</t>
        </is>
      </c>
      <c r="O127" s="5" t="inlineStr"/>
    </row>
    <row r="128">
      <c r="A128" s="5" t="n">
        <v>127</v>
      </c>
      <c r="B128" s="5" t="n">
        <v>6</v>
      </c>
      <c r="C128" s="5" t="inlineStr">
        <is>
          <t>Caption</t>
        </is>
      </c>
      <c r="D128" s="5" t="inlineStr">
        <is>
          <t>Case Number:</t>
        </is>
      </c>
      <c r="E128" s="5" t="inlineStr">
        <is>
          <t>DV-100[0].Page6[0].PxCaption[0].CaseNumber[0]</t>
        </is>
      </c>
      <c r="F128" s="5" t="inlineStr">
        <is>
          <t>text</t>
        </is>
      </c>
      <c r="G128" s="5" t="inlineStr"/>
      <c r="H128" s="5" t="inlineStr"/>
      <c r="I128" s="5" t="inlineStr">
        <is>
          <t>398, 48, 573, 63</t>
        </is>
      </c>
      <c r="J128" s="5" t="inlineStr">
        <is>
          <t>question</t>
        </is>
      </c>
      <c r="K128" s="5" t="inlineStr">
        <is>
          <t>S3,S4</t>
        </is>
      </c>
      <c r="L128" s="5">
        <f> S4</f>
        <v/>
      </c>
      <c r="M128" s="5" t="inlineStr">
        <is>
          <t>S3 == "update"; otherwise blank for clerk</t>
        </is>
      </c>
      <c r="N128" s="5" t="inlineStr">
        <is>
          <t>Case number box, repeated on every page; fill all 13 when known.</t>
        </is>
      </c>
      <c r="O128" s="5" t="inlineStr"/>
    </row>
    <row r="129">
      <c r="A129" s="6" t="n">
        <v>128</v>
      </c>
      <c r="B129" s="6" t="n">
        <v>6</v>
      </c>
      <c r="C129" s="6" t="inlineStr">
        <is>
          <t>8a</t>
        </is>
      </c>
      <c r="D129" s="6" t="inlineStr">
        <is>
          <t>No</t>
        </is>
      </c>
      <c r="E129" s="6" t="inlineStr">
        <is>
          <t>DV-100[0].Page6[0].List8[0].Li1[0].YesNo8a1_cb[0]</t>
        </is>
      </c>
      <c r="F129" s="6" t="inlineStr">
        <is>
          <t>checkbox</t>
        </is>
      </c>
      <c r="G129" s="6" t="inlineStr">
        <is>
          <t>1</t>
        </is>
      </c>
      <c r="H129" s="6" t="inlineStr"/>
      <c r="I129" s="6" t="inlineStr">
        <is>
          <t>78, 111, 87, 120</t>
        </is>
      </c>
      <c r="J129" s="6" t="inlineStr">
        <is>
          <t>derived</t>
        </is>
      </c>
      <c r="K129" s="6" t="inlineStr">
        <is>
          <t>PR8</t>
        </is>
      </c>
      <c r="L129" s="6" t="inlineStr">
        <is>
          <t>check if none of roster has PR8 == "Y"</t>
        </is>
      </c>
      <c r="M129" s="6" t="inlineStr"/>
      <c r="N129" s="6" t="inlineStr"/>
      <c r="O129" s="6" t="inlineStr"/>
    </row>
    <row r="130">
      <c r="A130" s="6" t="n">
        <v>129</v>
      </c>
      <c r="B130" s="6" t="n">
        <v>6</v>
      </c>
      <c r="C130" s="6" t="inlineStr">
        <is>
          <t>8b</t>
        </is>
      </c>
      <c r="D130" s="6" t="inlineStr">
        <is>
          <t>Yes</t>
        </is>
      </c>
      <c r="E130" s="6" t="inlineStr">
        <is>
          <t>DV-100[0].Page6[0].List8[0].Li2[0].YesNo8a2_cb[0]</t>
        </is>
      </c>
      <c r="F130" s="6" t="inlineStr">
        <is>
          <t>checkbox</t>
        </is>
      </c>
      <c r="G130" s="6" t="inlineStr">
        <is>
          <t>11</t>
        </is>
      </c>
      <c r="H130" s="6" t="inlineStr"/>
      <c r="I130" s="6" t="inlineStr">
        <is>
          <t>78, 130, 87, 139</t>
        </is>
      </c>
      <c r="J130" s="6" t="inlineStr">
        <is>
          <t>derived</t>
        </is>
      </c>
      <c r="K130" s="6" t="inlineStr">
        <is>
          <t>PR8</t>
        </is>
      </c>
      <c r="L130" s="6" t="inlineStr">
        <is>
          <t>check if any roster PR8 == "Y"</t>
        </is>
      </c>
      <c r="M130" s="6" t="inlineStr"/>
      <c r="N130" s="6" t="inlineStr">
        <is>
          <t>Export value 11.</t>
        </is>
      </c>
      <c r="O130" s="6" t="inlineStr"/>
    </row>
    <row r="131">
      <c r="A131" s="5" t="n">
        <v>130</v>
      </c>
      <c r="B131" s="5" t="n">
        <v>6</v>
      </c>
      <c r="C131" s="5" t="inlineStr">
        <is>
          <t>8b(1) row 1</t>
        </is>
      </c>
      <c r="D131" s="5" t="inlineStr">
        <is>
          <t>Full name</t>
        </is>
      </c>
      <c r="E131" s="5" t="inlineStr">
        <is>
          <t>DV-100[0].Page6[0].List8[0].Li2[0].List[0].li1[0].item3fullname1_tf[0]</t>
        </is>
      </c>
      <c r="F131" s="5" t="inlineStr">
        <is>
          <t>text</t>
        </is>
      </c>
      <c r="G131" s="5" t="inlineStr"/>
      <c r="H131" s="5" t="inlineStr"/>
      <c r="I131" s="5" t="inlineStr">
        <is>
          <t>98, 161, 285, 174</t>
        </is>
      </c>
      <c r="J131" s="5" t="inlineStr">
        <is>
          <t>question</t>
        </is>
      </c>
      <c r="K131" s="5" t="inlineStr">
        <is>
          <t>PR1</t>
        </is>
      </c>
      <c r="L131" s="5">
        <f> protected[0].PR1</f>
        <v/>
      </c>
      <c r="M131" s="5" t="inlineStr">
        <is>
          <t>protected.length &gt; 0  (protected = roster.where(PR8=="Y"))</t>
        </is>
      </c>
      <c r="N131" s="5" t="inlineStr"/>
      <c r="O131" s="5" t="inlineStr"/>
    </row>
    <row r="132">
      <c r="A132" s="6" t="n">
        <v>131</v>
      </c>
      <c r="B132" s="6" t="n">
        <v>6</v>
      </c>
      <c r="C132" s="6" t="inlineStr">
        <is>
          <t>8b(1) row 1</t>
        </is>
      </c>
      <c r="D132" s="6" t="inlineStr">
        <is>
          <t>Age</t>
        </is>
      </c>
      <c r="E132" s="6" t="inlineStr">
        <is>
          <t>DV-100[0].Page6[0].List8[0].Li2[0].List[0].li1[0].item3age1_tf[0]</t>
        </is>
      </c>
      <c r="F132" s="6" t="inlineStr">
        <is>
          <t>text</t>
        </is>
      </c>
      <c r="G132" s="6" t="inlineStr"/>
      <c r="H132" s="6" t="inlineStr"/>
      <c r="I132" s="6" t="inlineStr">
        <is>
          <t>295, 161, 337, 174</t>
        </is>
      </c>
      <c r="J132" s="6" t="inlineStr">
        <is>
          <t>derived</t>
        </is>
      </c>
      <c r="K132" s="6" t="inlineStr">
        <is>
          <t>PR2</t>
        </is>
      </c>
      <c r="L132" s="6">
        <f> age(protected[0].PR2, G1)</f>
        <v/>
      </c>
      <c r="M132" s="6" t="inlineStr">
        <is>
          <t>protected.length &gt; 0  (protected = roster.where(PR8=="Y"))</t>
        </is>
      </c>
      <c r="N132" s="6" t="inlineStr"/>
      <c r="O132" s="6" t="inlineStr"/>
    </row>
    <row r="133">
      <c r="A133" s="5" t="n">
        <v>132</v>
      </c>
      <c r="B133" s="5" t="n">
        <v>6</v>
      </c>
      <c r="C133" s="5" t="inlineStr">
        <is>
          <t>8b(1) row 1</t>
        </is>
      </c>
      <c r="D133" s="5" t="inlineStr">
        <is>
          <t>Relationship to you</t>
        </is>
      </c>
      <c r="E133" s="5" t="inlineStr">
        <is>
          <t>DV-100[0].Page6[0].List8[0].Li2[0].List[0].li1[0].item3Relation1_tf[0]</t>
        </is>
      </c>
      <c r="F133" s="5" t="inlineStr">
        <is>
          <t>text</t>
        </is>
      </c>
      <c r="G133" s="5" t="inlineStr"/>
      <c r="H133" s="5" t="inlineStr"/>
      <c r="I133" s="5" t="inlineStr">
        <is>
          <t>347, 161, 484, 174</t>
        </is>
      </c>
      <c r="J133" s="5" t="inlineStr">
        <is>
          <t>question</t>
        </is>
      </c>
      <c r="K133" s="5" t="inlineStr">
        <is>
          <t>PR5</t>
        </is>
      </c>
      <c r="L133" s="5">
        <f> label(protected[0].PR5)</f>
        <v/>
      </c>
      <c r="M133" s="5" t="inlineStr">
        <is>
          <t>protected.length &gt; 0  (protected = roster.where(PR8=="Y"))</t>
        </is>
      </c>
      <c r="N133" s="5" t="inlineStr"/>
      <c r="O133" s="5" t="inlineStr"/>
    </row>
    <row r="134">
      <c r="A134" s="5" t="n">
        <v>133</v>
      </c>
      <c r="B134" s="5" t="n">
        <v>6</v>
      </c>
      <c r="C134" s="5" t="inlineStr">
        <is>
          <t>8b(1) row 1</t>
        </is>
      </c>
      <c r="D134" s="5" t="inlineStr">
        <is>
          <t>Yes</t>
        </is>
      </c>
      <c r="E134" s="5" t="inlineStr">
        <is>
          <t>DV-100[0].Page6[0].List8[0].Li2[0].List[0].li1[0].YesNo8b11_cb[0]</t>
        </is>
      </c>
      <c r="F134" s="5" t="inlineStr">
        <is>
          <t>checkbox</t>
        </is>
      </c>
      <c r="G134" s="5" t="inlineStr">
        <is>
          <t>1</t>
        </is>
      </c>
      <c r="H134" s="5" t="inlineStr"/>
      <c r="I134" s="5" t="inlineStr">
        <is>
          <t>493, 163, 502, 172</t>
        </is>
      </c>
      <c r="J134" s="5" t="inlineStr">
        <is>
          <t>question</t>
        </is>
      </c>
      <c r="K134" s="5" t="inlineStr">
        <is>
          <t>PR6</t>
        </is>
      </c>
      <c r="L134" s="5" t="inlineStr">
        <is>
          <t>check if protected[0].PR6 == "Y"</t>
        </is>
      </c>
      <c r="M134" s="5" t="inlineStr">
        <is>
          <t>protected.length &gt; 0  (protected = roster.where(PR8=="Y"))</t>
        </is>
      </c>
      <c r="N134" s="5" t="inlineStr">
        <is>
          <t>Yes export 1.</t>
        </is>
      </c>
      <c r="O134" s="5" t="inlineStr"/>
    </row>
    <row r="135">
      <c r="A135" s="5" t="n">
        <v>134</v>
      </c>
      <c r="B135" s="5" t="n">
        <v>6</v>
      </c>
      <c r="C135" s="5" t="inlineStr">
        <is>
          <t>8b(1) row 1</t>
        </is>
      </c>
      <c r="D135" s="5" t="inlineStr">
        <is>
          <t>No</t>
        </is>
      </c>
      <c r="E135" s="5" t="inlineStr">
        <is>
          <t>DV-100[0].Page6[0].List8[0].Li2[0].List[0].li1[0].YesNo8b11_cb[1]</t>
        </is>
      </c>
      <c r="F135" s="5" t="inlineStr">
        <is>
          <t>checkbox</t>
        </is>
      </c>
      <c r="G135" s="5" t="inlineStr">
        <is>
          <t>11</t>
        </is>
      </c>
      <c r="H135" s="5" t="inlineStr"/>
      <c r="I135" s="5" t="inlineStr">
        <is>
          <t>536, 163, 545, 172</t>
        </is>
      </c>
      <c r="J135" s="5" t="inlineStr">
        <is>
          <t>question</t>
        </is>
      </c>
      <c r="K135" s="5" t="inlineStr">
        <is>
          <t>PR6</t>
        </is>
      </c>
      <c r="L135" s="5" t="inlineStr">
        <is>
          <t>check if protected[0].PR6 == "N"</t>
        </is>
      </c>
      <c r="M135" s="5" t="inlineStr">
        <is>
          <t>protected.length &gt; 0  (protected = roster.where(PR8=="Y"))</t>
        </is>
      </c>
      <c r="N135" s="5" t="inlineStr">
        <is>
          <t>No export 11.</t>
        </is>
      </c>
      <c r="O135" s="5" t="inlineStr"/>
    </row>
    <row r="136">
      <c r="A136" s="5" t="n">
        <v>135</v>
      </c>
      <c r="B136" s="5" t="n">
        <v>6</v>
      </c>
      <c r="C136" s="5" t="inlineStr">
        <is>
          <t>8b(1) row 2</t>
        </is>
      </c>
      <c r="D136" s="5" t="inlineStr">
        <is>
          <t>Full name</t>
        </is>
      </c>
      <c r="E136" s="5" t="inlineStr">
        <is>
          <t>DV-100[0].Page6[0].List8[0].Li2[0].List[0].li1[0].item3fullname2_tf[0]</t>
        </is>
      </c>
      <c r="F136" s="5" t="inlineStr">
        <is>
          <t>text</t>
        </is>
      </c>
      <c r="G136" s="5" t="inlineStr"/>
      <c r="H136" s="5" t="inlineStr"/>
      <c r="I136" s="5" t="inlineStr">
        <is>
          <t>98, 177, 285, 190</t>
        </is>
      </c>
      <c r="J136" s="5" t="inlineStr">
        <is>
          <t>question</t>
        </is>
      </c>
      <c r="K136" s="5" t="inlineStr">
        <is>
          <t>PR1</t>
        </is>
      </c>
      <c r="L136" s="5">
        <f> protected[1].PR1</f>
        <v/>
      </c>
      <c r="M136" s="5" t="inlineStr">
        <is>
          <t>protected.length &gt; 1  (protected = roster.where(PR8=="Y"))</t>
        </is>
      </c>
      <c r="N136" s="5" t="inlineStr"/>
      <c r="O136" s="5" t="inlineStr"/>
    </row>
    <row r="137">
      <c r="A137" s="6" t="n">
        <v>136</v>
      </c>
      <c r="B137" s="6" t="n">
        <v>6</v>
      </c>
      <c r="C137" s="6" t="inlineStr">
        <is>
          <t>8b(1) row 2</t>
        </is>
      </c>
      <c r="D137" s="6" t="inlineStr">
        <is>
          <t>Age</t>
        </is>
      </c>
      <c r="E137" s="6" t="inlineStr">
        <is>
          <t>DV-100[0].Page6[0].List8[0].Li2[0].List[0].li1[0].item3age2_tf[0]</t>
        </is>
      </c>
      <c r="F137" s="6" t="inlineStr">
        <is>
          <t>text</t>
        </is>
      </c>
      <c r="G137" s="6" t="inlineStr"/>
      <c r="H137" s="6" t="inlineStr"/>
      <c r="I137" s="6" t="inlineStr">
        <is>
          <t>295, 177, 337, 190</t>
        </is>
      </c>
      <c r="J137" s="6" t="inlineStr">
        <is>
          <t>derived</t>
        </is>
      </c>
      <c r="K137" s="6" t="inlineStr">
        <is>
          <t>PR2</t>
        </is>
      </c>
      <c r="L137" s="6">
        <f> age(protected[1].PR2, G1)</f>
        <v/>
      </c>
      <c r="M137" s="6" t="inlineStr">
        <is>
          <t>protected.length &gt; 1  (protected = roster.where(PR8=="Y"))</t>
        </is>
      </c>
      <c r="N137" s="6" t="inlineStr"/>
      <c r="O137" s="6" t="inlineStr"/>
    </row>
    <row r="138">
      <c r="A138" s="5" t="n">
        <v>137</v>
      </c>
      <c r="B138" s="5" t="n">
        <v>6</v>
      </c>
      <c r="C138" s="5" t="inlineStr">
        <is>
          <t>8b(1) row 2</t>
        </is>
      </c>
      <c r="D138" s="5" t="inlineStr">
        <is>
          <t>Relationship to you</t>
        </is>
      </c>
      <c r="E138" s="5" t="inlineStr">
        <is>
          <t>DV-100[0].Page6[0].List8[0].Li2[0].List[0].li1[0].item3Relation2_tf[0]</t>
        </is>
      </c>
      <c r="F138" s="5" t="inlineStr">
        <is>
          <t>text</t>
        </is>
      </c>
      <c r="G138" s="5" t="inlineStr"/>
      <c r="H138" s="5" t="inlineStr"/>
      <c r="I138" s="5" t="inlineStr">
        <is>
          <t>347, 177, 484, 190</t>
        </is>
      </c>
      <c r="J138" s="5" t="inlineStr">
        <is>
          <t>question</t>
        </is>
      </c>
      <c r="K138" s="5" t="inlineStr">
        <is>
          <t>PR5</t>
        </is>
      </c>
      <c r="L138" s="5">
        <f> label(protected[1].PR5)</f>
        <v/>
      </c>
      <c r="M138" s="5" t="inlineStr">
        <is>
          <t>protected.length &gt; 1  (protected = roster.where(PR8=="Y"))</t>
        </is>
      </c>
      <c r="N138" s="5" t="inlineStr"/>
      <c r="O138" s="5" t="inlineStr"/>
    </row>
    <row r="139">
      <c r="A139" s="5" t="n">
        <v>138</v>
      </c>
      <c r="B139" s="5" t="n">
        <v>6</v>
      </c>
      <c r="C139" s="5" t="inlineStr">
        <is>
          <t>8b(1) row 2</t>
        </is>
      </c>
      <c r="D139" s="5" t="inlineStr">
        <is>
          <t>Yes</t>
        </is>
      </c>
      <c r="E139" s="5" t="inlineStr">
        <is>
          <t>DV-100[0].Page6[0].List8[0].Li2[0].List[0].li1[0].YesNo8b12_cb[0]</t>
        </is>
      </c>
      <c r="F139" s="5" t="inlineStr">
        <is>
          <t>checkbox</t>
        </is>
      </c>
      <c r="G139" s="5" t="inlineStr">
        <is>
          <t>1</t>
        </is>
      </c>
      <c r="H139" s="5" t="inlineStr"/>
      <c r="I139" s="5" t="inlineStr">
        <is>
          <t>493, 179, 502, 188</t>
        </is>
      </c>
      <c r="J139" s="5" t="inlineStr">
        <is>
          <t>question</t>
        </is>
      </c>
      <c r="K139" s="5" t="inlineStr">
        <is>
          <t>PR6</t>
        </is>
      </c>
      <c r="L139" s="5" t="inlineStr">
        <is>
          <t>check if protected[1].PR6 == "Y"</t>
        </is>
      </c>
      <c r="M139" s="5" t="inlineStr">
        <is>
          <t>protected.length &gt; 1  (protected = roster.where(PR8=="Y"))</t>
        </is>
      </c>
      <c r="N139" s="5" t="inlineStr">
        <is>
          <t>Yes export 1.</t>
        </is>
      </c>
      <c r="O139" s="5" t="inlineStr"/>
    </row>
    <row r="140">
      <c r="A140" s="5" t="n">
        <v>139</v>
      </c>
      <c r="B140" s="5" t="n">
        <v>6</v>
      </c>
      <c r="C140" s="5" t="inlineStr">
        <is>
          <t>8b(1) row 2</t>
        </is>
      </c>
      <c r="D140" s="5" t="inlineStr">
        <is>
          <t>No</t>
        </is>
      </c>
      <c r="E140" s="5" t="inlineStr">
        <is>
          <t>DV-100[0].Page6[0].List8[0].Li2[0].List[0].li1[0].YesNo8b12_cb[1]</t>
        </is>
      </c>
      <c r="F140" s="5" t="inlineStr">
        <is>
          <t>checkbox</t>
        </is>
      </c>
      <c r="G140" s="5" t="inlineStr">
        <is>
          <t>11</t>
        </is>
      </c>
      <c r="H140" s="5" t="inlineStr"/>
      <c r="I140" s="5" t="inlineStr">
        <is>
          <t>536, 179, 545, 188</t>
        </is>
      </c>
      <c r="J140" s="5" t="inlineStr">
        <is>
          <t>question</t>
        </is>
      </c>
      <c r="K140" s="5" t="inlineStr">
        <is>
          <t>PR6</t>
        </is>
      </c>
      <c r="L140" s="5" t="inlineStr">
        <is>
          <t>check if protected[1].PR6 == "N"</t>
        </is>
      </c>
      <c r="M140" s="5" t="inlineStr">
        <is>
          <t>protected.length &gt; 1  (protected = roster.where(PR8=="Y"))</t>
        </is>
      </c>
      <c r="N140" s="5" t="inlineStr">
        <is>
          <t>No export 11.</t>
        </is>
      </c>
      <c r="O140" s="5" t="inlineStr"/>
    </row>
    <row r="141">
      <c r="A141" s="5" t="n">
        <v>140</v>
      </c>
      <c r="B141" s="5" t="n">
        <v>6</v>
      </c>
      <c r="C141" s="5" t="inlineStr">
        <is>
          <t>8b(1) row 3</t>
        </is>
      </c>
      <c r="D141" s="5" t="inlineStr">
        <is>
          <t>Full name</t>
        </is>
      </c>
      <c r="E141" s="5" t="inlineStr">
        <is>
          <t>DV-100[0].Page6[0].List8[0].Li2[0].List[0].li1[0].item3fullname3_tf[0]</t>
        </is>
      </c>
      <c r="F141" s="5" t="inlineStr">
        <is>
          <t>text</t>
        </is>
      </c>
      <c r="G141" s="5" t="inlineStr"/>
      <c r="H141" s="5" t="inlineStr"/>
      <c r="I141" s="5" t="inlineStr">
        <is>
          <t>98, 193, 285, 206</t>
        </is>
      </c>
      <c r="J141" s="5" t="inlineStr">
        <is>
          <t>question</t>
        </is>
      </c>
      <c r="K141" s="5" t="inlineStr">
        <is>
          <t>PR1</t>
        </is>
      </c>
      <c r="L141" s="5">
        <f> protected[2].PR1</f>
        <v/>
      </c>
      <c r="M141" s="5" t="inlineStr">
        <is>
          <t>protected.length &gt; 2  (protected = roster.where(PR8=="Y"))</t>
        </is>
      </c>
      <c r="N141" s="5" t="inlineStr"/>
      <c r="O141" s="5" t="inlineStr"/>
    </row>
    <row r="142">
      <c r="A142" s="6" t="n">
        <v>141</v>
      </c>
      <c r="B142" s="6" t="n">
        <v>6</v>
      </c>
      <c r="C142" s="6" t="inlineStr">
        <is>
          <t>8b(1) row 3</t>
        </is>
      </c>
      <c r="D142" s="6" t="inlineStr">
        <is>
          <t>Age</t>
        </is>
      </c>
      <c r="E142" s="6" t="inlineStr">
        <is>
          <t>DV-100[0].Page6[0].List8[0].Li2[0].List[0].li1[0].item3age_tf[0]</t>
        </is>
      </c>
      <c r="F142" s="6" t="inlineStr">
        <is>
          <t>text</t>
        </is>
      </c>
      <c r="G142" s="6" t="inlineStr"/>
      <c r="H142" s="6" t="inlineStr"/>
      <c r="I142" s="6" t="inlineStr">
        <is>
          <t>295, 193, 337, 206</t>
        </is>
      </c>
      <c r="J142" s="6" t="inlineStr">
        <is>
          <t>derived</t>
        </is>
      </c>
      <c r="K142" s="6" t="inlineStr">
        <is>
          <t>PR2</t>
        </is>
      </c>
      <c r="L142" s="6">
        <f> age(protected[2].PR2, G1)</f>
        <v/>
      </c>
      <c r="M142" s="6" t="inlineStr">
        <is>
          <t>protected.length &gt; 2  (protected = roster.where(PR8=="Y"))</t>
        </is>
      </c>
      <c r="N142" s="6" t="inlineStr">
        <is>
          <t>Row 3 age field is named item3age_tf (no number).</t>
        </is>
      </c>
      <c r="O142" s="6" t="inlineStr"/>
    </row>
    <row r="143">
      <c r="A143" s="5" t="n">
        <v>142</v>
      </c>
      <c r="B143" s="5" t="n">
        <v>6</v>
      </c>
      <c r="C143" s="5" t="inlineStr">
        <is>
          <t>8b(1) row 3</t>
        </is>
      </c>
      <c r="D143" s="5" t="inlineStr">
        <is>
          <t>Relationship to you</t>
        </is>
      </c>
      <c r="E143" s="5" t="inlineStr">
        <is>
          <t>DV-100[0].Page6[0].List8[0].Li2[0].List[0].li1[0].item3Relation3_tf[0]</t>
        </is>
      </c>
      <c r="F143" s="5" t="inlineStr">
        <is>
          <t>text</t>
        </is>
      </c>
      <c r="G143" s="5" t="inlineStr"/>
      <c r="H143" s="5" t="inlineStr"/>
      <c r="I143" s="5" t="inlineStr">
        <is>
          <t>347, 193, 484, 206</t>
        </is>
      </c>
      <c r="J143" s="5" t="inlineStr">
        <is>
          <t>question</t>
        </is>
      </c>
      <c r="K143" s="5" t="inlineStr">
        <is>
          <t>PR5</t>
        </is>
      </c>
      <c r="L143" s="5">
        <f> label(protected[2].PR5)</f>
        <v/>
      </c>
      <c r="M143" s="5" t="inlineStr">
        <is>
          <t>protected.length &gt; 2  (protected = roster.where(PR8=="Y"))</t>
        </is>
      </c>
      <c r="N143" s="5" t="inlineStr"/>
      <c r="O143" s="5" t="inlineStr"/>
    </row>
    <row r="144">
      <c r="A144" s="5" t="n">
        <v>143</v>
      </c>
      <c r="B144" s="5" t="n">
        <v>6</v>
      </c>
      <c r="C144" s="5" t="inlineStr">
        <is>
          <t>8b(1) row 3</t>
        </is>
      </c>
      <c r="D144" s="5" t="inlineStr">
        <is>
          <t>Yes</t>
        </is>
      </c>
      <c r="E144" s="5" t="inlineStr">
        <is>
          <t>DV-100[0].Page6[0].List8[0].Li2[0].List[0].li1[0].YesNo8b13_cb[0]</t>
        </is>
      </c>
      <c r="F144" s="5" t="inlineStr">
        <is>
          <t>checkbox</t>
        </is>
      </c>
      <c r="G144" s="5" t="inlineStr">
        <is>
          <t>1</t>
        </is>
      </c>
      <c r="H144" s="5" t="inlineStr"/>
      <c r="I144" s="5" t="inlineStr">
        <is>
          <t>493, 195, 502, 204</t>
        </is>
      </c>
      <c r="J144" s="5" t="inlineStr">
        <is>
          <t>question</t>
        </is>
      </c>
      <c r="K144" s="5" t="inlineStr">
        <is>
          <t>PR6</t>
        </is>
      </c>
      <c r="L144" s="5" t="inlineStr">
        <is>
          <t>check if protected[2].PR6 == "Y"</t>
        </is>
      </c>
      <c r="M144" s="5" t="inlineStr">
        <is>
          <t>protected.length &gt; 2  (protected = roster.where(PR8=="Y"))</t>
        </is>
      </c>
      <c r="N144" s="5" t="inlineStr">
        <is>
          <t>Yes export 1.</t>
        </is>
      </c>
      <c r="O144" s="5" t="inlineStr"/>
    </row>
    <row r="145">
      <c r="A145" s="5" t="n">
        <v>144</v>
      </c>
      <c r="B145" s="5" t="n">
        <v>6</v>
      </c>
      <c r="C145" s="5" t="inlineStr">
        <is>
          <t>8b(1) row 3</t>
        </is>
      </c>
      <c r="D145" s="5" t="inlineStr">
        <is>
          <t>No</t>
        </is>
      </c>
      <c r="E145" s="5" t="inlineStr">
        <is>
          <t>DV-100[0].Page6[0].List8[0].Li2[0].List[0].li1[0].YesNo8b13_cb[1]</t>
        </is>
      </c>
      <c r="F145" s="5" t="inlineStr">
        <is>
          <t>checkbox</t>
        </is>
      </c>
      <c r="G145" s="5" t="inlineStr">
        <is>
          <t>11</t>
        </is>
      </c>
      <c r="H145" s="5" t="inlineStr"/>
      <c r="I145" s="5" t="inlineStr">
        <is>
          <t>536, 195, 545, 204</t>
        </is>
      </c>
      <c r="J145" s="5" t="inlineStr">
        <is>
          <t>question</t>
        </is>
      </c>
      <c r="K145" s="5" t="inlineStr">
        <is>
          <t>PR6</t>
        </is>
      </c>
      <c r="L145" s="5" t="inlineStr">
        <is>
          <t>check if protected[2].PR6 == "N"</t>
        </is>
      </c>
      <c r="M145" s="5" t="inlineStr">
        <is>
          <t>protected.length &gt; 2  (protected = roster.where(PR8=="Y"))</t>
        </is>
      </c>
      <c r="N145" s="5" t="inlineStr">
        <is>
          <t>No export 11.</t>
        </is>
      </c>
      <c r="O145" s="5" t="inlineStr"/>
    </row>
    <row r="146">
      <c r="A146" s="5" t="n">
        <v>145</v>
      </c>
      <c r="B146" s="5" t="n">
        <v>6</v>
      </c>
      <c r="C146" s="5" t="inlineStr">
        <is>
          <t>8b(1) row 4</t>
        </is>
      </c>
      <c r="D146" s="5" t="inlineStr">
        <is>
          <t>Full name</t>
        </is>
      </c>
      <c r="E146" s="5" t="inlineStr">
        <is>
          <t>DV-100[0].Page6[0].List8[0].Li2[0].List[0].li1[0].item3fullname4_tf[0]</t>
        </is>
      </c>
      <c r="F146" s="5" t="inlineStr">
        <is>
          <t>text</t>
        </is>
      </c>
      <c r="G146" s="5" t="inlineStr"/>
      <c r="H146" s="5" t="inlineStr"/>
      <c r="I146" s="5" t="inlineStr">
        <is>
          <t>98, 209, 285, 222</t>
        </is>
      </c>
      <c r="J146" s="5" t="inlineStr">
        <is>
          <t>question</t>
        </is>
      </c>
      <c r="K146" s="5" t="inlineStr">
        <is>
          <t>PR1</t>
        </is>
      </c>
      <c r="L146" s="5">
        <f> protected[3].PR1</f>
        <v/>
      </c>
      <c r="M146" s="5" t="inlineStr">
        <is>
          <t>protected.length &gt; 3  (protected = roster.where(PR8=="Y"))</t>
        </is>
      </c>
      <c r="N146" s="5" t="inlineStr"/>
      <c r="O146" s="5" t="inlineStr"/>
    </row>
    <row r="147">
      <c r="A147" s="6" t="n">
        <v>146</v>
      </c>
      <c r="B147" s="6" t="n">
        <v>6</v>
      </c>
      <c r="C147" s="6" t="inlineStr">
        <is>
          <t>8b(1) row 4</t>
        </is>
      </c>
      <c r="D147" s="6" t="inlineStr">
        <is>
          <t>Age</t>
        </is>
      </c>
      <c r="E147" s="6" t="inlineStr">
        <is>
          <t>DV-100[0].Page6[0].List8[0].Li2[0].List[0].li1[0].item3age4_tf[0]</t>
        </is>
      </c>
      <c r="F147" s="6" t="inlineStr">
        <is>
          <t>text</t>
        </is>
      </c>
      <c r="G147" s="6" t="inlineStr"/>
      <c r="H147" s="6" t="inlineStr"/>
      <c r="I147" s="6" t="inlineStr">
        <is>
          <t>295, 209, 337, 222</t>
        </is>
      </c>
      <c r="J147" s="6" t="inlineStr">
        <is>
          <t>derived</t>
        </is>
      </c>
      <c r="K147" s="6" t="inlineStr">
        <is>
          <t>PR2</t>
        </is>
      </c>
      <c r="L147" s="6">
        <f> age(protected[3].PR2, G1)</f>
        <v/>
      </c>
      <c r="M147" s="6" t="inlineStr">
        <is>
          <t>protected.length &gt; 3  (protected = roster.where(PR8=="Y"))</t>
        </is>
      </c>
      <c r="N147" s="6" t="inlineStr"/>
      <c r="O147" s="6" t="inlineStr"/>
    </row>
    <row r="148">
      <c r="A148" s="5" t="n">
        <v>147</v>
      </c>
      <c r="B148" s="5" t="n">
        <v>6</v>
      </c>
      <c r="C148" s="5" t="inlineStr">
        <is>
          <t>8b(1) row 4</t>
        </is>
      </c>
      <c r="D148" s="5" t="inlineStr">
        <is>
          <t>Relationship to you</t>
        </is>
      </c>
      <c r="E148" s="5" t="inlineStr">
        <is>
          <t>DV-100[0].Page6[0].List8[0].Li2[0].List[0].li1[0].item3Relation4_tf[0]</t>
        </is>
      </c>
      <c r="F148" s="5" t="inlineStr">
        <is>
          <t>text</t>
        </is>
      </c>
      <c r="G148" s="5" t="inlineStr"/>
      <c r="H148" s="5" t="inlineStr"/>
      <c r="I148" s="5" t="inlineStr">
        <is>
          <t>347, 209, 484, 222</t>
        </is>
      </c>
      <c r="J148" s="5" t="inlineStr">
        <is>
          <t>question</t>
        </is>
      </c>
      <c r="K148" s="5" t="inlineStr">
        <is>
          <t>PR5</t>
        </is>
      </c>
      <c r="L148" s="5">
        <f> label(protected[3].PR5)</f>
        <v/>
      </c>
      <c r="M148" s="5" t="inlineStr">
        <is>
          <t>protected.length &gt; 3  (protected = roster.where(PR8=="Y"))</t>
        </is>
      </c>
      <c r="N148" s="5" t="inlineStr"/>
      <c r="O148" s="5" t="inlineStr"/>
    </row>
    <row r="149">
      <c r="A149" s="5" t="n">
        <v>148</v>
      </c>
      <c r="B149" s="5" t="n">
        <v>6</v>
      </c>
      <c r="C149" s="5" t="inlineStr">
        <is>
          <t>8b(1) row 4</t>
        </is>
      </c>
      <c r="D149" s="5" t="inlineStr">
        <is>
          <t>Yes</t>
        </is>
      </c>
      <c r="E149" s="5" t="inlineStr">
        <is>
          <t>DV-100[0].Page6[0].List8[0].Li2[0].List[0].li1[0].YesNo8b14_cb[0]</t>
        </is>
      </c>
      <c r="F149" s="5" t="inlineStr">
        <is>
          <t>checkbox</t>
        </is>
      </c>
      <c r="G149" s="5" t="inlineStr">
        <is>
          <t>1</t>
        </is>
      </c>
      <c r="H149" s="5" t="inlineStr"/>
      <c r="I149" s="5" t="inlineStr">
        <is>
          <t>493, 211, 502, 220</t>
        </is>
      </c>
      <c r="J149" s="5" t="inlineStr">
        <is>
          <t>question</t>
        </is>
      </c>
      <c r="K149" s="5" t="inlineStr">
        <is>
          <t>PR6</t>
        </is>
      </c>
      <c r="L149" s="5" t="inlineStr">
        <is>
          <t>check if protected[3].PR6 == "Y"</t>
        </is>
      </c>
      <c r="M149" s="5" t="inlineStr">
        <is>
          <t>protected.length &gt; 3  (protected = roster.where(PR8=="Y"))</t>
        </is>
      </c>
      <c r="N149" s="5" t="inlineStr">
        <is>
          <t>Yes export 1.</t>
        </is>
      </c>
      <c r="O149" s="5" t="inlineStr"/>
    </row>
    <row r="150">
      <c r="A150" s="5" t="n">
        <v>149</v>
      </c>
      <c r="B150" s="5" t="n">
        <v>6</v>
      </c>
      <c r="C150" s="5" t="inlineStr">
        <is>
          <t>8b(1) row 4</t>
        </is>
      </c>
      <c r="D150" s="5" t="inlineStr">
        <is>
          <t>No</t>
        </is>
      </c>
      <c r="E150" s="5" t="inlineStr">
        <is>
          <t>DV-100[0].Page6[0].List8[0].Li2[0].List[0].li1[0].YesNo8b14_cb[1]</t>
        </is>
      </c>
      <c r="F150" s="5" t="inlineStr">
        <is>
          <t>checkbox</t>
        </is>
      </c>
      <c r="G150" s="5" t="inlineStr">
        <is>
          <t>11</t>
        </is>
      </c>
      <c r="H150" s="5" t="inlineStr"/>
      <c r="I150" s="5" t="inlineStr">
        <is>
          <t>536, 211, 545, 220</t>
        </is>
      </c>
      <c r="J150" s="5" t="inlineStr">
        <is>
          <t>question</t>
        </is>
      </c>
      <c r="K150" s="5" t="inlineStr">
        <is>
          <t>PR6</t>
        </is>
      </c>
      <c r="L150" s="5" t="inlineStr">
        <is>
          <t>check if protected[3].PR6 == "N"</t>
        </is>
      </c>
      <c r="M150" s="5" t="inlineStr">
        <is>
          <t>protected.length &gt; 3  (protected = roster.where(PR8=="Y"))</t>
        </is>
      </c>
      <c r="N150" s="5" t="inlineStr">
        <is>
          <t>No export 11.</t>
        </is>
      </c>
      <c r="O150" s="5" t="inlineStr"/>
    </row>
    <row r="151">
      <c r="A151" s="6" t="n">
        <v>150</v>
      </c>
      <c r="B151" s="6" t="n">
        <v>6</v>
      </c>
      <c r="C151" s="6" t="inlineStr">
        <is>
          <t>8b(1) more</t>
        </is>
      </c>
      <c r="D151" s="6" t="inlineStr">
        <is>
          <t>Check this box if you need to list more people. Use a separate piece of paper and write “DV-100, Other Protected People” at the top. Turn it in with this form.</t>
        </is>
      </c>
      <c r="E151" s="6" t="inlineStr">
        <is>
          <t>DV-100[0].Page6[0].List8[0].Li2[0].List[0].li1[0].MultilineCheckBox[0]</t>
        </is>
      </c>
      <c r="F151" s="6" t="inlineStr">
        <is>
          <t>checkbox</t>
        </is>
      </c>
      <c r="G151" s="6" t="inlineStr">
        <is>
          <t>1</t>
        </is>
      </c>
      <c r="H151" s="6" t="inlineStr"/>
      <c r="I151" s="6" t="inlineStr">
        <is>
          <t>78, 241, 87, 250</t>
        </is>
      </c>
      <c r="J151" s="6" t="inlineStr">
        <is>
          <t>derived</t>
        </is>
      </c>
      <c r="K151" s="6" t="inlineStr">
        <is>
          <t>PR8</t>
        </is>
      </c>
      <c r="L151" s="6" t="inlineStr">
        <is>
          <t>check if protected.length &gt; 4</t>
        </is>
      </c>
      <c r="M151" s="6" t="inlineStr"/>
      <c r="N151" s="6" t="inlineStr">
        <is>
          <t>Add the sheet "DV-100, Other Protected People".</t>
        </is>
      </c>
      <c r="O151" s="6" t="inlineStr"/>
    </row>
    <row r="152">
      <c r="A152" s="5" t="n">
        <v>151</v>
      </c>
      <c r="B152" s="5" t="n">
        <v>6</v>
      </c>
      <c r="C152" s="5" t="inlineStr">
        <is>
          <t>8b(2)</t>
        </is>
      </c>
      <c r="D152" s="5" t="inlineStr">
        <is>
          <t>Why do these people need protection?</t>
        </is>
      </c>
      <c r="E152" s="5" t="inlineStr">
        <is>
          <t>DV-100[0].Page6[0].List8[0].Li2[0].List[0].li2[0].TextField[0]</t>
        </is>
      </c>
      <c r="F152" s="5" t="inlineStr">
        <is>
          <t>text</t>
        </is>
      </c>
      <c r="G152" s="5" t="inlineStr"/>
      <c r="H152" s="5" t="inlineStr"/>
      <c r="I152" s="5" t="inlineStr">
        <is>
          <t>98, 300, 575, 433</t>
        </is>
      </c>
      <c r="J152" s="5" t="inlineStr">
        <is>
          <t>question</t>
        </is>
      </c>
      <c r="K152" s="5" t="inlineStr">
        <is>
          <t>PR10</t>
        </is>
      </c>
      <c r="L152" s="5">
        <f> fit(PR10)</f>
        <v/>
      </c>
      <c r="M152" s="5" t="inlineStr">
        <is>
          <t>any PR8 == "Y"</t>
        </is>
      </c>
      <c r="N152" s="5" t="inlineStr">
        <is>
          <t>The live app truncates this at 400 characters; it should continue on the attachment.</t>
        </is>
      </c>
      <c r="O152" s="5" t="inlineStr"/>
    </row>
    <row r="153">
      <c r="A153" s="5" t="n">
        <v>152</v>
      </c>
      <c r="B153" s="5" t="n">
        <v>6</v>
      </c>
      <c r="C153" s="5" t="inlineStr">
        <is>
          <t>9a</t>
        </is>
      </c>
      <c r="D153" s="5" t="inlineStr">
        <is>
          <t>I don’t know</t>
        </is>
      </c>
      <c r="E153" s="5" t="inlineStr">
        <is>
          <t>DV-100[0].Page6[0].List9[0].Li1[0].YesNo9abc_cb[0]</t>
        </is>
      </c>
      <c r="F153" s="5" t="inlineStr">
        <is>
          <t>checkbox</t>
        </is>
      </c>
      <c r="G153" s="5" t="inlineStr">
        <is>
          <t>1</t>
        </is>
      </c>
      <c r="H153" s="5" t="inlineStr"/>
      <c r="I153" s="5" t="inlineStr">
        <is>
          <t>78, 521, 87, 530</t>
        </is>
      </c>
      <c r="J153" s="5" t="inlineStr">
        <is>
          <t>question</t>
        </is>
      </c>
      <c r="K153" s="5" t="inlineStr">
        <is>
          <t>R18</t>
        </is>
      </c>
      <c r="L153" s="5" t="inlineStr">
        <is>
          <t>check if R18 == "DK"</t>
        </is>
      </c>
      <c r="M153" s="5" t="inlineStr"/>
      <c r="N153" s="5" t="inlineStr">
        <is>
          <t>Three separate fields with the same short name under Li1/LI2/li3; exports 1/5/11.</t>
        </is>
      </c>
      <c r="O153" s="5" t="inlineStr"/>
    </row>
    <row r="154">
      <c r="A154" s="5" t="n">
        <v>153</v>
      </c>
      <c r="B154" s="5" t="n">
        <v>6</v>
      </c>
      <c r="C154" s="5" t="inlineStr">
        <is>
          <t>9b</t>
        </is>
      </c>
      <c r="D154" s="5" t="inlineStr">
        <is>
          <t>No</t>
        </is>
      </c>
      <c r="E154" s="5" t="inlineStr">
        <is>
          <t>DV-100[0].Page6[0].List9[0].LI2[0].YesNo9abc_cb[0]</t>
        </is>
      </c>
      <c r="F154" s="5" t="inlineStr">
        <is>
          <t>checkbox</t>
        </is>
      </c>
      <c r="G154" s="5" t="inlineStr">
        <is>
          <t>5</t>
        </is>
      </c>
      <c r="H154" s="5" t="inlineStr"/>
      <c r="I154" s="5" t="inlineStr">
        <is>
          <t>78, 537, 87, 546</t>
        </is>
      </c>
      <c r="J154" s="5" t="inlineStr">
        <is>
          <t>question</t>
        </is>
      </c>
      <c r="K154" s="5" t="inlineStr">
        <is>
          <t>R18</t>
        </is>
      </c>
      <c r="L154" s="5" t="inlineStr">
        <is>
          <t>check if R18 == "N"</t>
        </is>
      </c>
      <c r="M154" s="5" t="inlineStr"/>
      <c r="N154" s="5" t="inlineStr"/>
      <c r="O154" s="5" t="inlineStr"/>
    </row>
    <row r="155">
      <c r="A155" s="5" t="n">
        <v>154</v>
      </c>
      <c r="B155" s="5" t="n">
        <v>6</v>
      </c>
      <c r="C155" s="5" t="inlineStr">
        <is>
          <t>9c</t>
        </is>
      </c>
      <c r="D155" s="5" t="inlineStr">
        <is>
          <t>Yes (If you have information, complete the section below.)</t>
        </is>
      </c>
      <c r="E155" s="5" t="inlineStr">
        <is>
          <t>DV-100[0].Page6[0].List9[0].li3[0].YesNo9abc_cb[0]</t>
        </is>
      </c>
      <c r="F155" s="5" t="inlineStr">
        <is>
          <t>checkbox</t>
        </is>
      </c>
      <c r="G155" s="5" t="inlineStr">
        <is>
          <t>11</t>
        </is>
      </c>
      <c r="H155" s="5" t="inlineStr"/>
      <c r="I155" s="5" t="inlineStr">
        <is>
          <t>78, 555, 87, 564</t>
        </is>
      </c>
      <c r="J155" s="5" t="inlineStr">
        <is>
          <t>question</t>
        </is>
      </c>
      <c r="K155" s="5" t="inlineStr">
        <is>
          <t>R18</t>
        </is>
      </c>
      <c r="L155" s="5" t="inlineStr">
        <is>
          <t>check if R18 == "Y"</t>
        </is>
      </c>
      <c r="M155" s="5" t="inlineStr"/>
      <c r="N155" s="5" t="inlineStr"/>
      <c r="O155" s="5" t="inlineStr"/>
    </row>
    <row r="156">
      <c r="A156" s="5" t="n">
        <v>155</v>
      </c>
      <c r="B156" s="5" t="n">
        <v>6</v>
      </c>
      <c r="C156" s="5" t="inlineStr">
        <is>
          <t>9c(1)</t>
        </is>
      </c>
      <c r="D156" s="5" t="inlineStr">
        <is>
          <t>Describe firearms (guns), firearm parts, or ammunition</t>
        </is>
      </c>
      <c r="E156" s="5" t="inlineStr">
        <is>
          <t>DV-100[0].Page6[0].List9[0].li3[0].LIst[0].li1[0].TextField1[0]</t>
        </is>
      </c>
      <c r="F156" s="5" t="inlineStr">
        <is>
          <t>text</t>
        </is>
      </c>
      <c r="G156" s="5" t="inlineStr"/>
      <c r="H156" s="5" t="inlineStr"/>
      <c r="I156" s="5" t="inlineStr">
        <is>
          <t>98, 600, 351, 612</t>
        </is>
      </c>
      <c r="J156" s="5" t="inlineStr">
        <is>
          <t>question</t>
        </is>
      </c>
      <c r="K156" s="5" t="inlineStr">
        <is>
          <t>R19</t>
        </is>
      </c>
      <c r="L156" s="5">
        <f> R19[0].what</f>
        <v/>
      </c>
      <c r="M156" s="5" t="inlineStr">
        <is>
          <t>R18 == "Y" and R19.length &gt; 0</t>
        </is>
      </c>
      <c r="N156" s="5" t="inlineStr"/>
      <c r="O156" s="5" t="inlineStr"/>
    </row>
    <row r="157">
      <c r="A157" s="5" t="n">
        <v>156</v>
      </c>
      <c r="B157" s="5" t="n">
        <v>6</v>
      </c>
      <c r="C157" s="5" t="inlineStr">
        <is>
          <t>9c(1)</t>
        </is>
      </c>
      <c r="D157" s="5" t="inlineStr">
        <is>
          <t>Number or Amount</t>
        </is>
      </c>
      <c r="E157" s="5" t="inlineStr">
        <is>
          <t>DV-100[0].Page6[0].List9[0].li3[0].LIst[0].li1[0].TextField2[0]</t>
        </is>
      </c>
      <c r="F157" s="5" t="inlineStr">
        <is>
          <t>text</t>
        </is>
      </c>
      <c r="G157" s="5" t="inlineStr"/>
      <c r="H157" s="5" t="inlineStr"/>
      <c r="I157" s="5" t="inlineStr">
        <is>
          <t>353, 600, 438, 612</t>
        </is>
      </c>
      <c r="J157" s="5" t="inlineStr">
        <is>
          <t>question</t>
        </is>
      </c>
      <c r="K157" s="5" t="inlineStr">
        <is>
          <t>R19</t>
        </is>
      </c>
      <c r="L157" s="5">
        <f> R19[0].count</f>
        <v/>
      </c>
      <c r="M157" s="5" t="inlineStr">
        <is>
          <t>R18 == "Y" and R19.length &gt; 0</t>
        </is>
      </c>
      <c r="N157" s="5" t="inlineStr"/>
      <c r="O157" s="5" t="inlineStr"/>
    </row>
    <row r="158">
      <c r="A158" s="5" t="n">
        <v>157</v>
      </c>
      <c r="B158" s="5" t="n">
        <v>6</v>
      </c>
      <c r="C158" s="5" t="inlineStr">
        <is>
          <t>9c(1)</t>
        </is>
      </c>
      <c r="D158" s="5" t="inlineStr">
        <is>
          <t>Location, if known</t>
        </is>
      </c>
      <c r="E158" s="5" t="inlineStr">
        <is>
          <t>DV-100[0].Page6[0].List9[0].li3[0].LIst[0].li1[0].TextField3[0]</t>
        </is>
      </c>
      <c r="F158" s="5" t="inlineStr">
        <is>
          <t>text</t>
        </is>
      </c>
      <c r="G158" s="5" t="inlineStr"/>
      <c r="H158" s="5" t="inlineStr"/>
      <c r="I158" s="5" t="inlineStr">
        <is>
          <t>440, 600, 575, 612</t>
        </is>
      </c>
      <c r="J158" s="5" t="inlineStr">
        <is>
          <t>question</t>
        </is>
      </c>
      <c r="K158" s="5" t="inlineStr">
        <is>
          <t>R19</t>
        </is>
      </c>
      <c r="L158" s="5">
        <f> R19[0].where</f>
        <v/>
      </c>
      <c r="M158" s="5" t="inlineStr">
        <is>
          <t>R18 == "Y" and R19.length &gt; 0</t>
        </is>
      </c>
      <c r="N158" s="5" t="inlineStr"/>
      <c r="O158" s="5" t="inlineStr"/>
    </row>
    <row r="159">
      <c r="A159" s="5" t="n">
        <v>158</v>
      </c>
      <c r="B159" s="5" t="n">
        <v>6</v>
      </c>
      <c r="C159" s="5" t="inlineStr">
        <is>
          <t>9c(2)</t>
        </is>
      </c>
      <c r="D159" s="5" t="inlineStr">
        <is>
          <t>Describe firearms (guns), firearm parts, or ammunition</t>
        </is>
      </c>
      <c r="E159" s="5" t="inlineStr">
        <is>
          <t>DV-100[0].Page6[0].List9[0].li3[0].LIst[0].li2[0].TextField1[0]</t>
        </is>
      </c>
      <c r="F159" s="5" t="inlineStr">
        <is>
          <t>text</t>
        </is>
      </c>
      <c r="G159" s="5" t="inlineStr"/>
      <c r="H159" s="5" t="inlineStr"/>
      <c r="I159" s="5" t="inlineStr">
        <is>
          <t>98, 615, 351, 627</t>
        </is>
      </c>
      <c r="J159" s="5" t="inlineStr">
        <is>
          <t>question</t>
        </is>
      </c>
      <c r="K159" s="5" t="inlineStr">
        <is>
          <t>R19</t>
        </is>
      </c>
      <c r="L159" s="5">
        <f> R19[1].what</f>
        <v/>
      </c>
      <c r="M159" s="5" t="inlineStr">
        <is>
          <t>R18 == "Y" and R19.length &gt; 1</t>
        </is>
      </c>
      <c r="N159" s="5" t="inlineStr"/>
      <c r="O159" s="5" t="inlineStr"/>
    </row>
    <row r="160">
      <c r="A160" s="5" t="n">
        <v>159</v>
      </c>
      <c r="B160" s="5" t="n">
        <v>6</v>
      </c>
      <c r="C160" s="5" t="inlineStr">
        <is>
          <t>9c(2)</t>
        </is>
      </c>
      <c r="D160" s="5" t="inlineStr">
        <is>
          <t>Number or Amount</t>
        </is>
      </c>
      <c r="E160" s="5" t="inlineStr">
        <is>
          <t>DV-100[0].Page6[0].List9[0].li3[0].LIst[0].li2[0].TextField2[0]</t>
        </is>
      </c>
      <c r="F160" s="5" t="inlineStr">
        <is>
          <t>text</t>
        </is>
      </c>
      <c r="G160" s="5" t="inlineStr"/>
      <c r="H160" s="5" t="inlineStr"/>
      <c r="I160" s="5" t="inlineStr">
        <is>
          <t>353, 615, 438, 627</t>
        </is>
      </c>
      <c r="J160" s="5" t="inlineStr">
        <is>
          <t>question</t>
        </is>
      </c>
      <c r="K160" s="5" t="inlineStr">
        <is>
          <t>R19</t>
        </is>
      </c>
      <c r="L160" s="5">
        <f> R19[1].count</f>
        <v/>
      </c>
      <c r="M160" s="5" t="inlineStr">
        <is>
          <t>R18 == "Y" and R19.length &gt; 1</t>
        </is>
      </c>
      <c r="N160" s="5" t="inlineStr"/>
      <c r="O160" s="5" t="inlineStr"/>
    </row>
    <row r="161">
      <c r="A161" s="5" t="n">
        <v>160</v>
      </c>
      <c r="B161" s="5" t="n">
        <v>6</v>
      </c>
      <c r="C161" s="5" t="inlineStr">
        <is>
          <t>9c(2)</t>
        </is>
      </c>
      <c r="D161" s="5" t="inlineStr">
        <is>
          <t>Location, if known</t>
        </is>
      </c>
      <c r="E161" s="5" t="inlineStr">
        <is>
          <t>DV-100[0].Page6[0].List9[0].li3[0].LIst[0].li2[0].TextField3[0]</t>
        </is>
      </c>
      <c r="F161" s="5" t="inlineStr">
        <is>
          <t>text</t>
        </is>
      </c>
      <c r="G161" s="5" t="inlineStr"/>
      <c r="H161" s="5" t="inlineStr"/>
      <c r="I161" s="5" t="inlineStr">
        <is>
          <t>440, 615, 575, 627</t>
        </is>
      </c>
      <c r="J161" s="5" t="inlineStr">
        <is>
          <t>question</t>
        </is>
      </c>
      <c r="K161" s="5" t="inlineStr">
        <is>
          <t>R19</t>
        </is>
      </c>
      <c r="L161" s="5">
        <f> R19[1].where</f>
        <v/>
      </c>
      <c r="M161" s="5" t="inlineStr">
        <is>
          <t>R18 == "Y" and R19.length &gt; 1</t>
        </is>
      </c>
      <c r="N161" s="5" t="inlineStr"/>
      <c r="O161" s="5" t="inlineStr"/>
    </row>
    <row r="162">
      <c r="A162" s="5" t="n">
        <v>161</v>
      </c>
      <c r="B162" s="5" t="n">
        <v>6</v>
      </c>
      <c r="C162" s="5" t="inlineStr">
        <is>
          <t>9c(3)</t>
        </is>
      </c>
      <c r="D162" s="5" t="inlineStr">
        <is>
          <t>Describe firearms (guns), firearm parts, or ammunition</t>
        </is>
      </c>
      <c r="E162" s="5" t="inlineStr">
        <is>
          <t>DV-100[0].Page6[0].List9[0].li3[0].LIst[0].li3[0].TextField1[0]</t>
        </is>
      </c>
      <c r="F162" s="5" t="inlineStr">
        <is>
          <t>text</t>
        </is>
      </c>
      <c r="G162" s="5" t="inlineStr"/>
      <c r="H162" s="5" t="inlineStr"/>
      <c r="I162" s="5" t="inlineStr">
        <is>
          <t>98, 631, 351, 643</t>
        </is>
      </c>
      <c r="J162" s="5" t="inlineStr">
        <is>
          <t>question</t>
        </is>
      </c>
      <c r="K162" s="5" t="inlineStr">
        <is>
          <t>R19</t>
        </is>
      </c>
      <c r="L162" s="5">
        <f> R19[2].what</f>
        <v/>
      </c>
      <c r="M162" s="5" t="inlineStr">
        <is>
          <t>R18 == "Y" and R19.length &gt; 2</t>
        </is>
      </c>
      <c r="N162" s="5" t="inlineStr"/>
      <c r="O162" s="5" t="inlineStr"/>
    </row>
    <row r="163">
      <c r="A163" s="5" t="n">
        <v>162</v>
      </c>
      <c r="B163" s="5" t="n">
        <v>6</v>
      </c>
      <c r="C163" s="5" t="inlineStr">
        <is>
          <t>9c(3)</t>
        </is>
      </c>
      <c r="D163" s="5" t="inlineStr">
        <is>
          <t>Number or Amount</t>
        </is>
      </c>
      <c r="E163" s="5" t="inlineStr">
        <is>
          <t>DV-100[0].Page6[0].List9[0].li3[0].LIst[0].li3[0].TextField2[0]</t>
        </is>
      </c>
      <c r="F163" s="5" t="inlineStr">
        <is>
          <t>text</t>
        </is>
      </c>
      <c r="G163" s="5" t="inlineStr"/>
      <c r="H163" s="5" t="inlineStr"/>
      <c r="I163" s="5" t="inlineStr">
        <is>
          <t>353, 631, 438, 643</t>
        </is>
      </c>
      <c r="J163" s="5" t="inlineStr">
        <is>
          <t>question</t>
        </is>
      </c>
      <c r="K163" s="5" t="inlineStr">
        <is>
          <t>R19</t>
        </is>
      </c>
      <c r="L163" s="5">
        <f> R19[2].count</f>
        <v/>
      </c>
      <c r="M163" s="5" t="inlineStr">
        <is>
          <t>R18 == "Y" and R19.length &gt; 2</t>
        </is>
      </c>
      <c r="N163" s="5" t="inlineStr"/>
      <c r="O163" s="5" t="inlineStr"/>
    </row>
    <row r="164">
      <c r="A164" s="5" t="n">
        <v>163</v>
      </c>
      <c r="B164" s="5" t="n">
        <v>6</v>
      </c>
      <c r="C164" s="5" t="inlineStr">
        <is>
          <t>9c(3)</t>
        </is>
      </c>
      <c r="D164" s="5" t="inlineStr">
        <is>
          <t>Location, if known</t>
        </is>
      </c>
      <c r="E164" s="5" t="inlineStr">
        <is>
          <t>DV-100[0].Page6[0].List9[0].li3[0].LIst[0].li3[0].TextField3[0]</t>
        </is>
      </c>
      <c r="F164" s="5" t="inlineStr">
        <is>
          <t>text</t>
        </is>
      </c>
      <c r="G164" s="5" t="inlineStr"/>
      <c r="H164" s="5" t="inlineStr"/>
      <c r="I164" s="5" t="inlineStr">
        <is>
          <t>440, 631, 575, 643</t>
        </is>
      </c>
      <c r="J164" s="5" t="inlineStr">
        <is>
          <t>question</t>
        </is>
      </c>
      <c r="K164" s="5" t="inlineStr">
        <is>
          <t>R19</t>
        </is>
      </c>
      <c r="L164" s="5">
        <f> R19[2].where</f>
        <v/>
      </c>
      <c r="M164" s="5" t="inlineStr">
        <is>
          <t>R18 == "Y" and R19.length &gt; 2</t>
        </is>
      </c>
      <c r="N164" s="5" t="inlineStr"/>
      <c r="O164" s="5" t="inlineStr"/>
    </row>
    <row r="165">
      <c r="A165" s="5" t="n">
        <v>164</v>
      </c>
      <c r="B165" s="5" t="n">
        <v>6</v>
      </c>
      <c r="C165" s="5" t="inlineStr">
        <is>
          <t>9c(4)</t>
        </is>
      </c>
      <c r="D165" s="5" t="inlineStr">
        <is>
          <t>Describe firearms (guns), firearm parts, or ammunition</t>
        </is>
      </c>
      <c r="E165" s="5" t="inlineStr">
        <is>
          <t>DV-100[0].Page6[0].List9[0].li3[0].LIst[0].li4[0].TextField1[0]</t>
        </is>
      </c>
      <c r="F165" s="5" t="inlineStr">
        <is>
          <t>text</t>
        </is>
      </c>
      <c r="G165" s="5" t="inlineStr"/>
      <c r="H165" s="5" t="inlineStr"/>
      <c r="I165" s="5" t="inlineStr">
        <is>
          <t>98, 646, 351, 658</t>
        </is>
      </c>
      <c r="J165" s="5" t="inlineStr">
        <is>
          <t>question</t>
        </is>
      </c>
      <c r="K165" s="5" t="inlineStr">
        <is>
          <t>R19</t>
        </is>
      </c>
      <c r="L165" s="5">
        <f> R19[3].what</f>
        <v/>
      </c>
      <c r="M165" s="5" t="inlineStr">
        <is>
          <t>R18 == "Y" and R19.length &gt; 3</t>
        </is>
      </c>
      <c r="N165" s="5" t="inlineStr"/>
      <c r="O165" s="5" t="inlineStr"/>
    </row>
    <row r="166">
      <c r="A166" s="5" t="n">
        <v>165</v>
      </c>
      <c r="B166" s="5" t="n">
        <v>6</v>
      </c>
      <c r="C166" s="5" t="inlineStr">
        <is>
          <t>9c(4)</t>
        </is>
      </c>
      <c r="D166" s="5" t="inlineStr">
        <is>
          <t>Number or Amount</t>
        </is>
      </c>
      <c r="E166" s="5" t="inlineStr">
        <is>
          <t>DV-100[0].Page6[0].List9[0].li3[0].LIst[0].li4[0].TextField2[0]</t>
        </is>
      </c>
      <c r="F166" s="5" t="inlineStr">
        <is>
          <t>text</t>
        </is>
      </c>
      <c r="G166" s="5" t="inlineStr"/>
      <c r="H166" s="5" t="inlineStr"/>
      <c r="I166" s="5" t="inlineStr">
        <is>
          <t>353, 646, 438, 658</t>
        </is>
      </c>
      <c r="J166" s="5" t="inlineStr">
        <is>
          <t>question</t>
        </is>
      </c>
      <c r="K166" s="5" t="inlineStr">
        <is>
          <t>R19</t>
        </is>
      </c>
      <c r="L166" s="5">
        <f> R19[3].count</f>
        <v/>
      </c>
      <c r="M166" s="5" t="inlineStr">
        <is>
          <t>R18 == "Y" and R19.length &gt; 3</t>
        </is>
      </c>
      <c r="N166" s="5" t="inlineStr"/>
      <c r="O166" s="5" t="inlineStr"/>
    </row>
    <row r="167">
      <c r="A167" s="5" t="n">
        <v>166</v>
      </c>
      <c r="B167" s="5" t="n">
        <v>6</v>
      </c>
      <c r="C167" s="5" t="inlineStr">
        <is>
          <t>9c(4)</t>
        </is>
      </c>
      <c r="D167" s="5" t="inlineStr">
        <is>
          <t>Location, if known</t>
        </is>
      </c>
      <c r="E167" s="5" t="inlineStr">
        <is>
          <t>DV-100[0].Page6[0].List9[0].li3[0].LIst[0].li4[0].TextField3[0]</t>
        </is>
      </c>
      <c r="F167" s="5" t="inlineStr">
        <is>
          <t>text</t>
        </is>
      </c>
      <c r="G167" s="5" t="inlineStr"/>
      <c r="H167" s="5" t="inlineStr"/>
      <c r="I167" s="5" t="inlineStr">
        <is>
          <t>440, 646, 575, 658</t>
        </is>
      </c>
      <c r="J167" s="5" t="inlineStr">
        <is>
          <t>question</t>
        </is>
      </c>
      <c r="K167" s="5" t="inlineStr">
        <is>
          <t>R19</t>
        </is>
      </c>
      <c r="L167" s="5">
        <f> R19[3].where</f>
        <v/>
      </c>
      <c r="M167" s="5" t="inlineStr">
        <is>
          <t>R18 == "Y" and R19.length &gt; 3</t>
        </is>
      </c>
      <c r="N167" s="5" t="inlineStr"/>
      <c r="O167" s="5" t="inlineStr"/>
    </row>
    <row r="168">
      <c r="A168" s="5" t="n">
        <v>167</v>
      </c>
      <c r="B168" s="5" t="n">
        <v>6</v>
      </c>
      <c r="C168" s="5" t="inlineStr">
        <is>
          <t>9c(5)</t>
        </is>
      </c>
      <c r="D168" s="5" t="inlineStr">
        <is>
          <t>Describe firearms (guns), firearm parts, or ammunition</t>
        </is>
      </c>
      <c r="E168" s="5" t="inlineStr">
        <is>
          <t>DV-100[0].Page6[0].List9[0].li3[0].LIst[0].li5[0].TextField1[0]</t>
        </is>
      </c>
      <c r="F168" s="5" t="inlineStr">
        <is>
          <t>text</t>
        </is>
      </c>
      <c r="G168" s="5" t="inlineStr"/>
      <c r="H168" s="5" t="inlineStr"/>
      <c r="I168" s="5" t="inlineStr">
        <is>
          <t>98, 661, 351, 673</t>
        </is>
      </c>
      <c r="J168" s="5" t="inlineStr">
        <is>
          <t>question</t>
        </is>
      </c>
      <c r="K168" s="5" t="inlineStr">
        <is>
          <t>R19</t>
        </is>
      </c>
      <c r="L168" s="5">
        <f> R19[4].what</f>
        <v/>
      </c>
      <c r="M168" s="5" t="inlineStr">
        <is>
          <t>R18 == "Y" and R19.length &gt; 4</t>
        </is>
      </c>
      <c r="N168" s="5" t="inlineStr"/>
      <c r="O168" s="5" t="inlineStr"/>
    </row>
    <row r="169">
      <c r="A169" s="5" t="n">
        <v>168</v>
      </c>
      <c r="B169" s="5" t="n">
        <v>6</v>
      </c>
      <c r="C169" s="5" t="inlineStr">
        <is>
          <t>9c(5)</t>
        </is>
      </c>
      <c r="D169" s="5" t="inlineStr">
        <is>
          <t>Number or Amount</t>
        </is>
      </c>
      <c r="E169" s="5" t="inlineStr">
        <is>
          <t>DV-100[0].Page6[0].List9[0].li3[0].LIst[0].li5[0].TextField2[0]</t>
        </is>
      </c>
      <c r="F169" s="5" t="inlineStr">
        <is>
          <t>text</t>
        </is>
      </c>
      <c r="G169" s="5" t="inlineStr"/>
      <c r="H169" s="5" t="inlineStr"/>
      <c r="I169" s="5" t="inlineStr">
        <is>
          <t>353, 661, 438, 673</t>
        </is>
      </c>
      <c r="J169" s="5" t="inlineStr">
        <is>
          <t>question</t>
        </is>
      </c>
      <c r="K169" s="5" t="inlineStr">
        <is>
          <t>R19</t>
        </is>
      </c>
      <c r="L169" s="5">
        <f> R19[4].count</f>
        <v/>
      </c>
      <c r="M169" s="5" t="inlineStr">
        <is>
          <t>R18 == "Y" and R19.length &gt; 4</t>
        </is>
      </c>
      <c r="N169" s="5" t="inlineStr"/>
      <c r="O169" s="5" t="inlineStr"/>
    </row>
    <row r="170">
      <c r="A170" s="5" t="n">
        <v>169</v>
      </c>
      <c r="B170" s="5" t="n">
        <v>6</v>
      </c>
      <c r="C170" s="5" t="inlineStr">
        <is>
          <t>9c(5)</t>
        </is>
      </c>
      <c r="D170" s="5" t="inlineStr">
        <is>
          <t>Location, if known</t>
        </is>
      </c>
      <c r="E170" s="5" t="inlineStr">
        <is>
          <t>DV-100[0].Page6[0].List9[0].li3[0].LIst[0].li5[0].TextField3[0]</t>
        </is>
      </c>
      <c r="F170" s="5" t="inlineStr">
        <is>
          <t>text</t>
        </is>
      </c>
      <c r="G170" s="5" t="inlineStr"/>
      <c r="H170" s="5" t="inlineStr"/>
      <c r="I170" s="5" t="inlineStr">
        <is>
          <t>440, 661, 575, 673</t>
        </is>
      </c>
      <c r="J170" s="5" t="inlineStr">
        <is>
          <t>question</t>
        </is>
      </c>
      <c r="K170" s="5" t="inlineStr">
        <is>
          <t>R19</t>
        </is>
      </c>
      <c r="L170" s="5">
        <f> R19[4].where</f>
        <v/>
      </c>
      <c r="M170" s="5" t="inlineStr">
        <is>
          <t>R18 == "Y" and R19.length &gt; 4</t>
        </is>
      </c>
      <c r="N170" s="5" t="inlineStr"/>
      <c r="O170" s="5" t="inlineStr"/>
    </row>
    <row r="171">
      <c r="A171" s="5" t="n">
        <v>170</v>
      </c>
      <c r="B171" s="5" t="n">
        <v>6</v>
      </c>
      <c r="C171" s="5" t="inlineStr">
        <is>
          <t>9c(6)</t>
        </is>
      </c>
      <c r="D171" s="5" t="inlineStr">
        <is>
          <t>Describe firearms (guns), firearm parts, or ammunition</t>
        </is>
      </c>
      <c r="E171" s="5" t="inlineStr">
        <is>
          <t>DV-100[0].Page6[0].List9[0].li3[0].LIst[0].li6[0].TextField1[0]</t>
        </is>
      </c>
      <c r="F171" s="5" t="inlineStr">
        <is>
          <t>text</t>
        </is>
      </c>
      <c r="G171" s="5" t="inlineStr"/>
      <c r="H171" s="5" t="inlineStr"/>
      <c r="I171" s="5" t="inlineStr">
        <is>
          <t>98, 676, 351, 688</t>
        </is>
      </c>
      <c r="J171" s="5" t="inlineStr">
        <is>
          <t>question</t>
        </is>
      </c>
      <c r="K171" s="5" t="inlineStr">
        <is>
          <t>R19</t>
        </is>
      </c>
      <c r="L171" s="5">
        <f> R19[5].what</f>
        <v/>
      </c>
      <c r="M171" s="5" t="inlineStr">
        <is>
          <t>R18 == "Y" and R19.length &gt; 5</t>
        </is>
      </c>
      <c r="N171" s="5" t="inlineStr">
        <is>
          <t>More than 6: there is no overflow box on the form. Attach a list and count it in 32.</t>
        </is>
      </c>
      <c r="O171" s="5" t="inlineStr"/>
    </row>
    <row r="172">
      <c r="A172" s="5" t="n">
        <v>171</v>
      </c>
      <c r="B172" s="5" t="n">
        <v>6</v>
      </c>
      <c r="C172" s="5" t="inlineStr">
        <is>
          <t>9c(6)</t>
        </is>
      </c>
      <c r="D172" s="5" t="inlineStr">
        <is>
          <t>Number or Amount</t>
        </is>
      </c>
      <c r="E172" s="5" t="inlineStr">
        <is>
          <t>DV-100[0].Page6[0].List9[0].li3[0].LIst[0].li6[0].TextField2[0]</t>
        </is>
      </c>
      <c r="F172" s="5" t="inlineStr">
        <is>
          <t>text</t>
        </is>
      </c>
      <c r="G172" s="5" t="inlineStr"/>
      <c r="H172" s="5" t="inlineStr"/>
      <c r="I172" s="5" t="inlineStr">
        <is>
          <t>353, 676, 438, 688</t>
        </is>
      </c>
      <c r="J172" s="5" t="inlineStr">
        <is>
          <t>question</t>
        </is>
      </c>
      <c r="K172" s="5" t="inlineStr">
        <is>
          <t>R19</t>
        </is>
      </c>
      <c r="L172" s="5">
        <f> R19[5].count</f>
        <v/>
      </c>
      <c r="M172" s="5" t="inlineStr">
        <is>
          <t>R18 == "Y" and R19.length &gt; 5</t>
        </is>
      </c>
      <c r="N172" s="5" t="inlineStr"/>
      <c r="O172" s="5" t="inlineStr"/>
    </row>
    <row r="173">
      <c r="A173" s="5" t="n">
        <v>172</v>
      </c>
      <c r="B173" s="5" t="n">
        <v>6</v>
      </c>
      <c r="C173" s="5" t="inlineStr">
        <is>
          <t>9c(6)</t>
        </is>
      </c>
      <c r="D173" s="5" t="inlineStr">
        <is>
          <t>Location, if known</t>
        </is>
      </c>
      <c r="E173" s="5" t="inlineStr">
        <is>
          <t>DV-100[0].Page6[0].List9[0].li3[0].LIst[0].li6[0].TextField3[0]</t>
        </is>
      </c>
      <c r="F173" s="5" t="inlineStr">
        <is>
          <t>text</t>
        </is>
      </c>
      <c r="G173" s="5" t="inlineStr"/>
      <c r="H173" s="5" t="inlineStr"/>
      <c r="I173" s="5" t="inlineStr">
        <is>
          <t>440, 676, 575, 688</t>
        </is>
      </c>
      <c r="J173" s="5" t="inlineStr">
        <is>
          <t>question</t>
        </is>
      </c>
      <c r="K173" s="5" t="inlineStr">
        <is>
          <t>R19</t>
        </is>
      </c>
      <c r="L173" s="5">
        <f> R19[5].where</f>
        <v/>
      </c>
      <c r="M173" s="5" t="inlineStr">
        <is>
          <t>R18 == "Y" and R19.length &gt; 5</t>
        </is>
      </c>
      <c r="N173" s="5" t="inlineStr"/>
      <c r="O173" s="5" t="inlineStr"/>
    </row>
    <row r="174">
      <c r="A174" s="5" t="n">
        <v>173</v>
      </c>
      <c r="B174" s="5" t="n">
        <v>7</v>
      </c>
      <c r="C174" s="5" t="inlineStr">
        <is>
          <t>Caption</t>
        </is>
      </c>
      <c r="D174" s="5" t="inlineStr">
        <is>
          <t>Case Number:</t>
        </is>
      </c>
      <c r="E174" s="5" t="inlineStr">
        <is>
          <t>DV-100[0].Page7[0].PxCaption[0].CaseNumber[0]</t>
        </is>
      </c>
      <c r="F174" s="5" t="inlineStr">
        <is>
          <t>text</t>
        </is>
      </c>
      <c r="G174" s="5" t="inlineStr"/>
      <c r="H174" s="5" t="inlineStr"/>
      <c r="I174" s="5" t="inlineStr">
        <is>
          <t>398, 48, 573, 63</t>
        </is>
      </c>
      <c r="J174" s="5" t="inlineStr">
        <is>
          <t>question</t>
        </is>
      </c>
      <c r="K174" s="5" t="inlineStr">
        <is>
          <t>S3,S4</t>
        </is>
      </c>
      <c r="L174" s="5">
        <f> S4</f>
        <v/>
      </c>
      <c r="M174" s="5" t="inlineStr">
        <is>
          <t>S3 == "update"; otherwise blank for clerk</t>
        </is>
      </c>
      <c r="N174" s="5" t="inlineStr">
        <is>
          <t>Case number box, repeated on every page; fill all 13 when known.</t>
        </is>
      </c>
      <c r="O174" s="5" t="inlineStr"/>
    </row>
    <row r="175">
      <c r="A175" s="5" t="n">
        <v>174</v>
      </c>
      <c r="B175" s="5" t="n">
        <v>7</v>
      </c>
      <c r="C175" s="5" t="inlineStr">
        <is>
          <t>10</t>
        </is>
      </c>
      <c r="D175" s="5" t="inlineStr">
        <is>
          <t>Order to Not Abuse</t>
        </is>
      </c>
      <c r="E175" s="5" t="inlineStr">
        <is>
          <t>DV-100[0].Page7[0].List10[0].Li1[0].CheckBoxRightCaption[0]</t>
        </is>
      </c>
      <c r="F175" s="5" t="inlineStr">
        <is>
          <t>checkbox</t>
        </is>
      </c>
      <c r="G175" s="5" t="inlineStr">
        <is>
          <t>1</t>
        </is>
      </c>
      <c r="H175" s="5" t="inlineStr"/>
      <c r="I175" s="5" t="inlineStr">
        <is>
          <t>63, 159, 72, 168</t>
        </is>
      </c>
      <c r="J175" s="5" t="inlineStr">
        <is>
          <t>question</t>
        </is>
      </c>
      <c r="K175" s="5" t="inlineStr">
        <is>
          <t>O10</t>
        </is>
      </c>
      <c r="L175" s="5" t="inlineStr">
        <is>
          <t>check if O10</t>
        </is>
      </c>
      <c r="M175" s="5" t="inlineStr"/>
      <c r="N175" s="5" t="inlineStr">
        <is>
          <t>Pre-checked in the wizard.</t>
        </is>
      </c>
      <c r="O175" s="5" t="inlineStr"/>
    </row>
    <row r="176">
      <c r="A176" s="5" t="n">
        <v>175</v>
      </c>
      <c r="B176" s="5" t="n">
        <v>7</v>
      </c>
      <c r="C176" s="5" t="inlineStr">
        <is>
          <t>11</t>
        </is>
      </c>
      <c r="D176" s="5" t="inlineStr">
        <is>
          <t>No-Contact Order</t>
        </is>
      </c>
      <c r="E176" s="5" t="inlineStr">
        <is>
          <t>DV-100[0].Page7[0].List11[0].Li1[0].CheckBoxRightCaption[0]</t>
        </is>
      </c>
      <c r="F176" s="5" t="inlineStr">
        <is>
          <t>checkbox</t>
        </is>
      </c>
      <c r="G176" s="5" t="inlineStr">
        <is>
          <t>1</t>
        </is>
      </c>
      <c r="H176" s="5" t="inlineStr"/>
      <c r="I176" s="5" t="inlineStr">
        <is>
          <t>63, 291, 72, 300</t>
        </is>
      </c>
      <c r="J176" s="5" t="inlineStr">
        <is>
          <t>question</t>
        </is>
      </c>
      <c r="K176" s="5" t="inlineStr">
        <is>
          <t>O11</t>
        </is>
      </c>
      <c r="L176" s="5" t="inlineStr">
        <is>
          <t>check if O11</t>
        </is>
      </c>
      <c r="M176" s="5" t="inlineStr"/>
      <c r="N176" s="5" t="inlineStr"/>
      <c r="O176" s="5" t="inlineStr"/>
    </row>
    <row r="177">
      <c r="A177" s="5" t="n">
        <v>176</v>
      </c>
      <c r="B177" s="5" t="n">
        <v>7</v>
      </c>
      <c r="C177" s="5" t="inlineStr">
        <is>
          <t>12a</t>
        </is>
      </c>
      <c r="D177" s="5" t="inlineStr">
        <is>
          <t>Me.</t>
        </is>
      </c>
      <c r="E177" s="5" t="inlineStr">
        <is>
          <t>DV-100[0].Page7[0].List12[0].li1[0].CheckBox1[0]</t>
        </is>
      </c>
      <c r="F177" s="5" t="inlineStr">
        <is>
          <t>checkbox</t>
        </is>
      </c>
      <c r="G177" s="5" t="inlineStr">
        <is>
          <t>1</t>
        </is>
      </c>
      <c r="H177" s="5" t="inlineStr"/>
      <c r="I177" s="5" t="inlineStr">
        <is>
          <t>78, 390, 87, 399</t>
        </is>
      </c>
      <c r="J177" s="5" t="inlineStr">
        <is>
          <t>question</t>
        </is>
      </c>
      <c r="K177" s="5" t="inlineStr">
        <is>
          <t>O12.places</t>
        </is>
      </c>
      <c r="L177" s="5" t="inlineStr">
        <is>
          <t>check if O12.places has "me"</t>
        </is>
      </c>
      <c r="M177" s="5" t="inlineStr">
        <is>
          <t>O12</t>
        </is>
      </c>
      <c r="N177" s="5" t="inlineStr"/>
      <c r="O177" s="5" t="inlineStr"/>
    </row>
    <row r="178">
      <c r="A178" s="5" t="n">
        <v>177</v>
      </c>
      <c r="B178" s="5" t="n">
        <v>7</v>
      </c>
      <c r="C178" s="5" t="inlineStr">
        <is>
          <t>12a</t>
        </is>
      </c>
      <c r="D178" s="5" t="inlineStr">
        <is>
          <t>My school.</t>
        </is>
      </c>
      <c r="E178" s="5" t="inlineStr">
        <is>
          <t>DV-100[0].Page7[0].List12[0].li1[0].CheckBox2[0]</t>
        </is>
      </c>
      <c r="F178" s="5" t="inlineStr">
        <is>
          <t>checkbox</t>
        </is>
      </c>
      <c r="G178" s="5" t="inlineStr">
        <is>
          <t>1</t>
        </is>
      </c>
      <c r="H178" s="5" t="inlineStr"/>
      <c r="I178" s="5" t="inlineStr">
        <is>
          <t>229, 390, 238, 399</t>
        </is>
      </c>
      <c r="J178" s="5" t="inlineStr">
        <is>
          <t>question</t>
        </is>
      </c>
      <c r="K178" s="5" t="inlineStr">
        <is>
          <t>O12.places</t>
        </is>
      </c>
      <c r="L178" s="5" t="inlineStr">
        <is>
          <t>check if O12.places has "my school"</t>
        </is>
      </c>
      <c r="M178" s="5" t="inlineStr">
        <is>
          <t>O12</t>
        </is>
      </c>
      <c r="N178" s="5" t="inlineStr"/>
      <c r="O178" s="5" t="inlineStr"/>
    </row>
    <row r="179">
      <c r="A179" s="5" t="n">
        <v>178</v>
      </c>
      <c r="B179" s="5" t="n">
        <v>7</v>
      </c>
      <c r="C179" s="5" t="inlineStr">
        <is>
          <t>12a</t>
        </is>
      </c>
      <c r="D179" s="5" t="inlineStr">
        <is>
          <t>My home.</t>
        </is>
      </c>
      <c r="E179" s="5" t="inlineStr">
        <is>
          <t>DV-100[0].Page7[0].List12[0].li1[0].CheckBox3[0]</t>
        </is>
      </c>
      <c r="F179" s="5" t="inlineStr">
        <is>
          <t>checkbox</t>
        </is>
      </c>
      <c r="G179" s="5" t="inlineStr">
        <is>
          <t>1</t>
        </is>
      </c>
      <c r="H179" s="5" t="inlineStr"/>
      <c r="I179" s="5" t="inlineStr">
        <is>
          <t>78, 404, 87, 413</t>
        </is>
      </c>
      <c r="J179" s="5" t="inlineStr">
        <is>
          <t>question</t>
        </is>
      </c>
      <c r="K179" s="5" t="inlineStr">
        <is>
          <t>O12.places</t>
        </is>
      </c>
      <c r="L179" s="5" t="inlineStr">
        <is>
          <t>check if O12.places has "my home"</t>
        </is>
      </c>
      <c r="M179" s="5" t="inlineStr">
        <is>
          <t>O12</t>
        </is>
      </c>
      <c r="N179" s="5" t="inlineStr"/>
      <c r="O179" s="5" t="inlineStr"/>
    </row>
    <row r="180">
      <c r="A180" s="5" t="n">
        <v>179</v>
      </c>
      <c r="B180" s="5" t="n">
        <v>7</v>
      </c>
      <c r="C180" s="5" t="inlineStr">
        <is>
          <t>12a</t>
        </is>
      </c>
      <c r="D180" s="5" t="inlineStr">
        <is>
          <t>Each person in 8 .</t>
        </is>
      </c>
      <c r="E180" s="5" t="inlineStr">
        <is>
          <t>DV-100[0].Page7[0].List12[0].li1[0].CheckBox4[0]</t>
        </is>
      </c>
      <c r="F180" s="5" t="inlineStr">
        <is>
          <t>checkbox</t>
        </is>
      </c>
      <c r="G180" s="5" t="inlineStr">
        <is>
          <t>1</t>
        </is>
      </c>
      <c r="H180" s="5" t="inlineStr"/>
      <c r="I180" s="5" t="inlineStr">
        <is>
          <t>229, 404, 238, 413</t>
        </is>
      </c>
      <c r="J180" s="5" t="inlineStr">
        <is>
          <t>question</t>
        </is>
      </c>
      <c r="K180" s="5" t="inlineStr">
        <is>
          <t>O12.places</t>
        </is>
      </c>
      <c r="L180" s="5" t="inlineStr">
        <is>
          <t>check if O12.places has "protected people"</t>
        </is>
      </c>
      <c r="M180" s="5" t="inlineStr">
        <is>
          <t>O12</t>
        </is>
      </c>
      <c r="N180" s="5" t="inlineStr"/>
      <c r="O180" s="5" t="inlineStr"/>
    </row>
    <row r="181">
      <c r="A181" s="5" t="n">
        <v>180</v>
      </c>
      <c r="B181" s="5" t="n">
        <v>7</v>
      </c>
      <c r="C181" s="5" t="inlineStr">
        <is>
          <t>12a</t>
        </is>
      </c>
      <c r="D181" s="5" t="inlineStr">
        <is>
          <t>My job or workplace.</t>
        </is>
      </c>
      <c r="E181" s="5" t="inlineStr">
        <is>
          <t>DV-100[0].Page7[0].List12[0].li1[0].CheckBox5[0]</t>
        </is>
      </c>
      <c r="F181" s="5" t="inlineStr">
        <is>
          <t>checkbox</t>
        </is>
      </c>
      <c r="G181" s="5" t="inlineStr">
        <is>
          <t>1</t>
        </is>
      </c>
      <c r="H181" s="5" t="inlineStr"/>
      <c r="I181" s="5" t="inlineStr">
        <is>
          <t>78, 418, 87, 427</t>
        </is>
      </c>
      <c r="J181" s="5" t="inlineStr">
        <is>
          <t>question</t>
        </is>
      </c>
      <c r="K181" s="5" t="inlineStr">
        <is>
          <t>O12.places</t>
        </is>
      </c>
      <c r="L181" s="5" t="inlineStr">
        <is>
          <t>check if O12.places has "my job"</t>
        </is>
      </c>
      <c r="M181" s="5" t="inlineStr">
        <is>
          <t>O12</t>
        </is>
      </c>
      <c r="N181" s="5" t="inlineStr"/>
      <c r="O181" s="5" t="inlineStr"/>
    </row>
    <row r="182">
      <c r="A182" s="5" t="n">
        <v>181</v>
      </c>
      <c r="B182" s="5" t="n">
        <v>7</v>
      </c>
      <c r="C182" s="5" t="inlineStr">
        <is>
          <t>12a</t>
        </is>
      </c>
      <c r="D182" s="5" t="inlineStr">
        <is>
          <t>My children’s school or childcare.</t>
        </is>
      </c>
      <c r="E182" s="5" t="inlineStr">
        <is>
          <t>DV-100[0].Page7[0].List12[0].li1[0].CheckBox6[0]</t>
        </is>
      </c>
      <c r="F182" s="5" t="inlineStr">
        <is>
          <t>checkbox</t>
        </is>
      </c>
      <c r="G182" s="5" t="inlineStr">
        <is>
          <t>1</t>
        </is>
      </c>
      <c r="H182" s="5" t="inlineStr"/>
      <c r="I182" s="5" t="inlineStr">
        <is>
          <t>229, 418, 238, 427</t>
        </is>
      </c>
      <c r="J182" s="5" t="inlineStr">
        <is>
          <t>question</t>
        </is>
      </c>
      <c r="K182" s="5" t="inlineStr">
        <is>
          <t>O12.places</t>
        </is>
      </c>
      <c r="L182" s="5" t="inlineStr">
        <is>
          <t>check if O12.places has "children's school or childcare"</t>
        </is>
      </c>
      <c r="M182" s="5" t="inlineStr">
        <is>
          <t>O12</t>
        </is>
      </c>
      <c r="N182" s="5" t="inlineStr"/>
      <c r="O182" s="5" t="inlineStr"/>
    </row>
    <row r="183">
      <c r="A183" s="5" t="n">
        <v>182</v>
      </c>
      <c r="B183" s="5" t="n">
        <v>7</v>
      </c>
      <c r="C183" s="5" t="inlineStr">
        <is>
          <t>12a</t>
        </is>
      </c>
      <c r="D183" s="5" t="inlineStr">
        <is>
          <t>My vehicle.</t>
        </is>
      </c>
      <c r="E183" s="5" t="inlineStr">
        <is>
          <t>DV-100[0].Page7[0].List12[0].li1[0].CheckBox7[0]</t>
        </is>
      </c>
      <c r="F183" s="5" t="inlineStr">
        <is>
          <t>checkbox</t>
        </is>
      </c>
      <c r="G183" s="5" t="inlineStr">
        <is>
          <t>1</t>
        </is>
      </c>
      <c r="H183" s="5" t="inlineStr"/>
      <c r="I183" s="5" t="inlineStr">
        <is>
          <t>78, 434, 87, 443</t>
        </is>
      </c>
      <c r="J183" s="5" t="inlineStr">
        <is>
          <t>question</t>
        </is>
      </c>
      <c r="K183" s="5" t="inlineStr">
        <is>
          <t>O12.places</t>
        </is>
      </c>
      <c r="L183" s="5" t="inlineStr">
        <is>
          <t>check if O12.places has "my vehicle"</t>
        </is>
      </c>
      <c r="M183" s="5" t="inlineStr">
        <is>
          <t>O12</t>
        </is>
      </c>
      <c r="N183" s="5" t="inlineStr"/>
      <c r="O183" s="5" t="inlineStr"/>
    </row>
    <row r="184">
      <c r="A184" s="5" t="n">
        <v>183</v>
      </c>
      <c r="B184" s="5" t="n">
        <v>7</v>
      </c>
      <c r="C184" s="5" t="inlineStr">
        <is>
          <t>12a</t>
        </is>
      </c>
      <c r="D184" s="5" t="inlineStr">
        <is>
          <t>Other (please explain):</t>
        </is>
      </c>
      <c r="E184" s="5" t="inlineStr">
        <is>
          <t>DV-100[0].Page7[0].List12[0].li1[0].CheckBox8[0]</t>
        </is>
      </c>
      <c r="F184" s="5" t="inlineStr">
        <is>
          <t>checkbox</t>
        </is>
      </c>
      <c r="G184" s="5" t="inlineStr">
        <is>
          <t>1</t>
        </is>
      </c>
      <c r="H184" s="5" t="inlineStr"/>
      <c r="I184" s="5" t="inlineStr">
        <is>
          <t>229, 434, 238, 443</t>
        </is>
      </c>
      <c r="J184" s="5" t="inlineStr">
        <is>
          <t>question</t>
        </is>
      </c>
      <c r="K184" s="5" t="inlineStr">
        <is>
          <t>O12.places</t>
        </is>
      </c>
      <c r="L184" s="5" t="inlineStr">
        <is>
          <t>check if O12.places has "other"</t>
        </is>
      </c>
      <c r="M184" s="5" t="inlineStr">
        <is>
          <t>O12</t>
        </is>
      </c>
      <c r="N184" s="5" t="inlineStr"/>
      <c r="O184" s="5" t="inlineStr"/>
    </row>
    <row r="185">
      <c r="A185" s="5" t="n">
        <v>184</v>
      </c>
      <c r="B185" s="5" t="n">
        <v>7</v>
      </c>
      <c r="C185" s="5" t="inlineStr">
        <is>
          <t>12a</t>
        </is>
      </c>
      <c r="D185" s="5" t="inlineStr">
        <is>
          <t>please explain Other</t>
        </is>
      </c>
      <c r="E185" s="5" t="inlineStr">
        <is>
          <t>DV-100[0].Page7[0].List12[0].li1[0].TextField[0]</t>
        </is>
      </c>
      <c r="F185" s="5" t="inlineStr">
        <is>
          <t>text</t>
        </is>
      </c>
      <c r="G185" s="5" t="inlineStr"/>
      <c r="H185" s="5" t="inlineStr"/>
      <c r="I185" s="5" t="inlineStr">
        <is>
          <t>350, 432, 570, 444</t>
        </is>
      </c>
      <c r="J185" s="5" t="inlineStr">
        <is>
          <t>question</t>
        </is>
      </c>
      <c r="K185" s="5" t="inlineStr">
        <is>
          <t>O12.places</t>
        </is>
      </c>
      <c r="L185" s="5">
        <f> O12.placesOther</f>
        <v/>
      </c>
      <c r="M185" s="5" t="inlineStr">
        <is>
          <t>O12 and places has "other"</t>
        </is>
      </c>
      <c r="N185" s="5" t="inlineStr"/>
      <c r="O185" s="5" t="inlineStr"/>
    </row>
    <row r="186">
      <c r="A186" s="5" t="n">
        <v>185</v>
      </c>
      <c r="B186" s="5" t="n">
        <v>7</v>
      </c>
      <c r="C186" s="5" t="inlineStr">
        <is>
          <t>12</t>
        </is>
      </c>
      <c r="D186" s="5" t="inlineStr">
        <is>
          <t>Stay-Away Order</t>
        </is>
      </c>
      <c r="E186" s="5" t="inlineStr">
        <is>
          <t>DV-100[0].Page7[0].List12[0].CheckBoxRightCaption[0]</t>
        </is>
      </c>
      <c r="F186" s="5" t="inlineStr">
        <is>
          <t>checkbox</t>
        </is>
      </c>
      <c r="G186" s="5" t="inlineStr">
        <is>
          <t>1</t>
        </is>
      </c>
      <c r="H186" s="5" t="inlineStr"/>
      <c r="I186" s="5" t="inlineStr">
        <is>
          <t>62, 346, 71, 355</t>
        </is>
      </c>
      <c r="J186" s="5" t="inlineStr">
        <is>
          <t>question</t>
        </is>
      </c>
      <c r="K186" s="5" t="inlineStr">
        <is>
          <t>O12</t>
        </is>
      </c>
      <c r="L186" s="5" t="inlineStr">
        <is>
          <t>check if O12</t>
        </is>
      </c>
      <c r="M186" s="5" t="inlineStr"/>
      <c r="N186" s="5" t="inlineStr"/>
      <c r="O186" s="5" t="inlineStr"/>
    </row>
    <row r="187">
      <c r="A187" s="5" t="n">
        <v>186</v>
      </c>
      <c r="B187" s="5" t="n">
        <v>7</v>
      </c>
      <c r="C187" s="5" t="inlineStr">
        <is>
          <t>12b</t>
        </is>
      </c>
      <c r="D187" s="5" t="inlineStr">
        <is>
          <t>100 yards (300 feet)</t>
        </is>
      </c>
      <c r="E187" s="5" t="inlineStr">
        <is>
          <t>DV-100[0].Page7[0].List12[0].Li2[0].CheckBox12b1[0]</t>
        </is>
      </c>
      <c r="F187" s="5" t="inlineStr">
        <is>
          <t>checkbox</t>
        </is>
      </c>
      <c r="G187" s="5" t="inlineStr">
        <is>
          <t>1</t>
        </is>
      </c>
      <c r="H187" s="5" t="inlineStr"/>
      <c r="I187" s="5" t="inlineStr">
        <is>
          <t>78, 473, 87, 482</t>
        </is>
      </c>
      <c r="J187" s="5" t="inlineStr">
        <is>
          <t>question</t>
        </is>
      </c>
      <c r="K187" s="5" t="inlineStr">
        <is>
          <t>O12.distance</t>
        </is>
      </c>
      <c r="L187" s="5" t="inlineStr">
        <is>
          <t>check if O12.distance == "100 yards"</t>
        </is>
      </c>
      <c r="M187" s="5" t="inlineStr">
        <is>
          <t>O12</t>
        </is>
      </c>
      <c r="N187" s="5" t="inlineStr"/>
      <c r="O187" s="5" t="inlineStr"/>
    </row>
    <row r="188">
      <c r="A188" s="5" t="n">
        <v>187</v>
      </c>
      <c r="B188" s="5" t="n">
        <v>7</v>
      </c>
      <c r="C188" s="5" t="inlineStr">
        <is>
          <t>12b</t>
        </is>
      </c>
      <c r="D188" s="5" t="inlineStr">
        <is>
          <t>Other (give distance in yards):</t>
        </is>
      </c>
      <c r="E188" s="5" t="inlineStr">
        <is>
          <t>DV-100[0].Page7[0].List12[0].Li2[0].CheckBox12b2[0]</t>
        </is>
      </c>
      <c r="F188" s="5" t="inlineStr">
        <is>
          <t>checkbox</t>
        </is>
      </c>
      <c r="G188" s="5" t="inlineStr">
        <is>
          <t>11</t>
        </is>
      </c>
      <c r="H188" s="5" t="inlineStr"/>
      <c r="I188" s="5" t="inlineStr">
        <is>
          <t>194, 473, 203, 482</t>
        </is>
      </c>
      <c r="J188" s="5" t="inlineStr">
        <is>
          <t>question</t>
        </is>
      </c>
      <c r="K188" s="5" t="inlineStr">
        <is>
          <t>O12.distance</t>
        </is>
      </c>
      <c r="L188" s="5" t="inlineStr">
        <is>
          <t>check if O12.distance == "other"</t>
        </is>
      </c>
      <c r="M188" s="5" t="inlineStr">
        <is>
          <t>O12</t>
        </is>
      </c>
      <c r="N188" s="5" t="inlineStr">
        <is>
          <t>Export value 11.</t>
        </is>
      </c>
      <c r="O188" s="5" t="inlineStr"/>
    </row>
    <row r="189">
      <c r="A189" s="5" t="n">
        <v>188</v>
      </c>
      <c r="B189" s="5" t="n">
        <v>7</v>
      </c>
      <c r="C189" s="5" t="inlineStr">
        <is>
          <t>12b</t>
        </is>
      </c>
      <c r="D189" s="5" t="inlineStr">
        <is>
          <t>Other (give distance in yards):</t>
        </is>
      </c>
      <c r="E189" s="5" t="inlineStr">
        <is>
          <t>DV-100[0].Page7[0].List12[0].Li2[0].FillText8Yards[0]</t>
        </is>
      </c>
      <c r="F189" s="5" t="inlineStr">
        <is>
          <t>text</t>
        </is>
      </c>
      <c r="G189" s="5" t="inlineStr"/>
      <c r="H189" s="5" t="inlineStr"/>
      <c r="I189" s="5" t="inlineStr">
        <is>
          <t>348, 471, 457, 483</t>
        </is>
      </c>
      <c r="J189" s="5" t="inlineStr">
        <is>
          <t>question</t>
        </is>
      </c>
      <c r="K189" s="5" t="inlineStr">
        <is>
          <t>O12.distance</t>
        </is>
      </c>
      <c r="L189" s="5">
        <f> O12.distanceYards</f>
        <v/>
      </c>
      <c r="M189" s="5" t="inlineStr">
        <is>
          <t>O12 and distance == "other"</t>
        </is>
      </c>
      <c r="N189" s="5" t="inlineStr"/>
      <c r="O189" s="5" t="inlineStr"/>
    </row>
    <row r="190">
      <c r="A190" s="5" t="n">
        <v>189</v>
      </c>
      <c r="B190" s="5" t="n">
        <v>7</v>
      </c>
      <c r="C190" s="5" t="inlineStr">
        <is>
          <t>12c</t>
        </is>
      </c>
      <c r="D190" s="5" t="inlineStr">
        <is>
          <t>No</t>
        </is>
      </c>
      <c r="E190" s="5" t="inlineStr">
        <is>
          <t>DV-100[0].Page7[0].List12[0].Li3[0].YesNo12c_cb[0]</t>
        </is>
      </c>
      <c r="F190" s="5" t="inlineStr">
        <is>
          <t>checkbox</t>
        </is>
      </c>
      <c r="G190" s="5" t="inlineStr">
        <is>
          <t>1</t>
        </is>
      </c>
      <c r="H190" s="5" t="inlineStr"/>
      <c r="I190" s="5" t="inlineStr">
        <is>
          <t>78, 524, 87, 533</t>
        </is>
      </c>
      <c r="J190" s="5" t="inlineStr">
        <is>
          <t>question</t>
        </is>
      </c>
      <c r="K190" s="5" t="inlineStr">
        <is>
          <t>RL4</t>
        </is>
      </c>
      <c r="L190" s="5" t="inlineStr">
        <is>
          <t>check if RL4 == "no"</t>
        </is>
      </c>
      <c r="M190" s="5" t="inlineStr">
        <is>
          <t>O12</t>
        </is>
      </c>
      <c r="N190" s="5" t="inlineStr">
        <is>
          <t>RL4 is asked in Step 3 but prints only here.</t>
        </is>
      </c>
      <c r="O190" s="5" t="inlineStr"/>
    </row>
    <row r="191">
      <c r="A191" s="5" t="n">
        <v>190</v>
      </c>
      <c r="B191" s="5" t="n">
        <v>7</v>
      </c>
      <c r="C191" s="5" t="inlineStr">
        <is>
          <t>12c</t>
        </is>
      </c>
      <c r="D191" s="5" t="inlineStr">
        <is>
          <t>Yes (If yes, check one):</t>
        </is>
      </c>
      <c r="E191" s="5" t="inlineStr">
        <is>
          <t>DV-100[0].Page7[0].List12[0].Li3[0].YesSub[0].YesNo12c_cb[0]</t>
        </is>
      </c>
      <c r="F191" s="5" t="inlineStr">
        <is>
          <t>checkbox</t>
        </is>
      </c>
      <c r="G191" s="5" t="inlineStr">
        <is>
          <t>11</t>
        </is>
      </c>
      <c r="H191" s="5" t="inlineStr"/>
      <c r="I191" s="5" t="inlineStr">
        <is>
          <t>124, 524, 133, 533</t>
        </is>
      </c>
      <c r="J191" s="5" t="inlineStr">
        <is>
          <t>question</t>
        </is>
      </c>
      <c r="K191" s="5" t="inlineStr">
        <is>
          <t>RL4</t>
        </is>
      </c>
      <c r="L191" s="5" t="inlineStr">
        <is>
          <t>check if RL4 != "no"</t>
        </is>
      </c>
      <c r="M191" s="5" t="inlineStr">
        <is>
          <t>O12</t>
        </is>
      </c>
      <c r="N191" s="5" t="inlineStr">
        <is>
          <t>Export value 11.</t>
        </is>
      </c>
      <c r="O191" s="5" t="inlineStr"/>
    </row>
    <row r="192">
      <c r="A192" s="5" t="n">
        <v>191</v>
      </c>
      <c r="B192" s="5" t="n">
        <v>7</v>
      </c>
      <c r="C192" s="5" t="inlineStr">
        <is>
          <t>12c</t>
        </is>
      </c>
      <c r="D192" s="5" t="inlineStr">
        <is>
          <t>Live together (If you live together, you can ask that the person in 2 move out in 13.)</t>
        </is>
      </c>
      <c r="E192" s="5" t="inlineStr">
        <is>
          <t>DV-100[0].Page7[0].List12[0].Li3[0].YesSub[0].YesCheckBoxSub[0].CheckBox12c[0]</t>
        </is>
      </c>
      <c r="F192" s="5" t="inlineStr">
        <is>
          <t>checkbox</t>
        </is>
      </c>
      <c r="G192" s="5" t="inlineStr">
        <is>
          <t>1</t>
        </is>
      </c>
      <c r="H192" s="5" t="inlineStr"/>
      <c r="I192" s="5" t="inlineStr">
        <is>
          <t>141, 537, 150, 546</t>
        </is>
      </c>
      <c r="J192" s="5" t="inlineStr">
        <is>
          <t>question</t>
        </is>
      </c>
      <c r="K192" s="5" t="inlineStr">
        <is>
          <t>RL4</t>
        </is>
      </c>
      <c r="L192" s="5" t="inlineStr">
        <is>
          <t>check if RL4 == "together"</t>
        </is>
      </c>
      <c r="M192" s="5" t="inlineStr">
        <is>
          <t>O12</t>
        </is>
      </c>
      <c r="N192" s="5" t="inlineStr"/>
      <c r="O192" s="5" t="inlineStr"/>
    </row>
    <row r="193">
      <c r="A193" s="5" t="n">
        <v>192</v>
      </c>
      <c r="B193" s="5" t="n">
        <v>7</v>
      </c>
      <c r="C193" s="5" t="inlineStr">
        <is>
          <t>12c</t>
        </is>
      </c>
      <c r="D193" s="5" t="inlineStr">
        <is>
          <t>Live in the same building, but not in the same home</t>
        </is>
      </c>
      <c r="E193" s="5" t="inlineStr">
        <is>
          <t>DV-100[0].Page7[0].List12[0].Li3[0].YesSub[0].YesCheckBoxSub[0].CheckBox12c[1]</t>
        </is>
      </c>
      <c r="F193" s="5" t="inlineStr">
        <is>
          <t>checkbox</t>
        </is>
      </c>
      <c r="G193" s="5" t="inlineStr">
        <is>
          <t>11</t>
        </is>
      </c>
      <c r="H193" s="5" t="inlineStr"/>
      <c r="I193" s="5" t="inlineStr">
        <is>
          <t>141, 552, 150, 561</t>
        </is>
      </c>
      <c r="J193" s="5" t="inlineStr">
        <is>
          <t>question</t>
        </is>
      </c>
      <c r="K193" s="5" t="inlineStr">
        <is>
          <t>RL4</t>
        </is>
      </c>
      <c r="L193" s="5" t="inlineStr">
        <is>
          <t>check if RL4 == "same building"</t>
        </is>
      </c>
      <c r="M193" s="5" t="inlineStr">
        <is>
          <t>O12</t>
        </is>
      </c>
      <c r="N193" s="5" t="inlineStr"/>
      <c r="O193" s="5" t="inlineStr"/>
    </row>
    <row r="194">
      <c r="A194" s="5" t="n">
        <v>193</v>
      </c>
      <c r="B194" s="5" t="n">
        <v>7</v>
      </c>
      <c r="C194" s="5" t="inlineStr">
        <is>
          <t>12c</t>
        </is>
      </c>
      <c r="D194" s="5" t="inlineStr">
        <is>
          <t>Live in the same neighborhood</t>
        </is>
      </c>
      <c r="E194" s="5" t="inlineStr">
        <is>
          <t>DV-100[0].Page7[0].List12[0].Li3[0].YesSub[0].YesCheckBoxSub[0].CheckBox12c[2]</t>
        </is>
      </c>
      <c r="F194" s="5" t="inlineStr">
        <is>
          <t>checkbox</t>
        </is>
      </c>
      <c r="G194" s="5" t="inlineStr">
        <is>
          <t>21</t>
        </is>
      </c>
      <c r="H194" s="5" t="inlineStr"/>
      <c r="I194" s="5" t="inlineStr">
        <is>
          <t>141, 568, 150, 577</t>
        </is>
      </c>
      <c r="J194" s="5" t="inlineStr">
        <is>
          <t>question</t>
        </is>
      </c>
      <c r="K194" s="5" t="inlineStr">
        <is>
          <t>RL4</t>
        </is>
      </c>
      <c r="L194" s="5" t="inlineStr">
        <is>
          <t>check if RL4 == "same neighborhood"</t>
        </is>
      </c>
      <c r="M194" s="5" t="inlineStr">
        <is>
          <t>O12</t>
        </is>
      </c>
      <c r="N194" s="5" t="inlineStr"/>
      <c r="O194" s="5" t="inlineStr"/>
    </row>
    <row r="195">
      <c r="A195" s="5" t="n">
        <v>194</v>
      </c>
      <c r="B195" s="5" t="n">
        <v>7</v>
      </c>
      <c r="C195" s="5" t="inlineStr">
        <is>
          <t>12c</t>
        </is>
      </c>
      <c r="D195" s="5" t="inlineStr">
        <is>
          <t>Other (please explain):</t>
        </is>
      </c>
      <c r="E195" s="5" t="inlineStr">
        <is>
          <t>DV-100[0].Page7[0].List12[0].Li3[0].YesSub[0].YesCheckBoxSub[0].CheckBox12c[3]</t>
        </is>
      </c>
      <c r="F195" s="5" t="inlineStr">
        <is>
          <t>checkbox</t>
        </is>
      </c>
      <c r="G195" s="5" t="inlineStr">
        <is>
          <t>99</t>
        </is>
      </c>
      <c r="H195" s="5" t="inlineStr"/>
      <c r="I195" s="5" t="inlineStr">
        <is>
          <t>141, 583, 150, 592</t>
        </is>
      </c>
      <c r="J195" s="5" t="inlineStr">
        <is>
          <t>question</t>
        </is>
      </c>
      <c r="K195" s="5" t="inlineStr">
        <is>
          <t>RL4</t>
        </is>
      </c>
      <c r="L195" s="5" t="inlineStr">
        <is>
          <t>check if RL4 == "other"</t>
        </is>
      </c>
      <c r="M195" s="5" t="inlineStr">
        <is>
          <t>O12</t>
        </is>
      </c>
      <c r="N195" s="5" t="inlineStr"/>
      <c r="O195" s="5" t="inlineStr"/>
    </row>
    <row r="196">
      <c r="A196" s="5" t="n">
        <v>195</v>
      </c>
      <c r="B196" s="5" t="n">
        <v>7</v>
      </c>
      <c r="C196" s="5" t="inlineStr">
        <is>
          <t>12c</t>
        </is>
      </c>
      <c r="D196" s="5" t="inlineStr">
        <is>
          <t>Other (please explain):</t>
        </is>
      </c>
      <c r="E196" s="5" t="inlineStr">
        <is>
          <t>DV-100[0].Page7[0].List12[0].Li3[0].YesSub[0].YesCheckBoxSub[0].TextField[0]</t>
        </is>
      </c>
      <c r="F196" s="5" t="inlineStr">
        <is>
          <t>text</t>
        </is>
      </c>
      <c r="G196" s="5" t="inlineStr"/>
      <c r="H196" s="5" t="inlineStr"/>
      <c r="I196" s="5" t="inlineStr">
        <is>
          <t>262, 582, 560, 594</t>
        </is>
      </c>
      <c r="J196" s="5" t="inlineStr">
        <is>
          <t>question</t>
        </is>
      </c>
      <c r="K196" s="5" t="inlineStr">
        <is>
          <t>RL4</t>
        </is>
      </c>
      <c r="L196" s="5">
        <f> RL4.otherText</f>
        <v/>
      </c>
      <c r="M196" s="5" t="inlineStr">
        <is>
          <t>O12 and RL4 == "other"</t>
        </is>
      </c>
      <c r="N196" s="5" t="inlineStr"/>
      <c r="O196" s="5" t="inlineStr"/>
    </row>
    <row r="197">
      <c r="A197" s="5" t="n">
        <v>196</v>
      </c>
      <c r="B197" s="5" t="n">
        <v>7</v>
      </c>
      <c r="C197" s="5" t="inlineStr">
        <is>
          <t>12d</t>
        </is>
      </c>
      <c r="D197" s="5" t="inlineStr">
        <is>
          <t>No</t>
        </is>
      </c>
      <c r="E197" s="5" t="inlineStr">
        <is>
          <t>DV-100[0].Page7[0].List12[0].Li4[0].YesNo12d_cb[0]</t>
        </is>
      </c>
      <c r="F197" s="5" t="inlineStr">
        <is>
          <t>checkbox</t>
        </is>
      </c>
      <c r="G197" s="5" t="inlineStr">
        <is>
          <t>1</t>
        </is>
      </c>
      <c r="H197" s="5" t="inlineStr"/>
      <c r="I197" s="5" t="inlineStr">
        <is>
          <t>78, 639, 87, 648</t>
        </is>
      </c>
      <c r="J197" s="5" t="inlineStr">
        <is>
          <t>question</t>
        </is>
      </c>
      <c r="K197" s="5" t="inlineStr">
        <is>
          <t>O12.sameWorkSchool</t>
        </is>
      </c>
      <c r="L197" s="5" t="inlineStr">
        <is>
          <t>check if O12.sameWorkSchool is empty</t>
        </is>
      </c>
      <c r="M197" s="5" t="inlineStr">
        <is>
          <t>O12</t>
        </is>
      </c>
      <c r="N197" s="5" t="inlineStr"/>
      <c r="O197" s="5" t="inlineStr"/>
    </row>
    <row r="198">
      <c r="A198" s="5" t="n">
        <v>197</v>
      </c>
      <c r="B198" s="5" t="n">
        <v>7</v>
      </c>
      <c r="C198" s="5" t="inlineStr">
        <is>
          <t>12d</t>
        </is>
      </c>
      <c r="D198" s="5" t="inlineStr">
        <is>
          <t>Yes (If yes, check all that apply):</t>
        </is>
      </c>
      <c r="E198" s="5" t="inlineStr">
        <is>
          <t>DV-100[0].Page7[0].List12[0].Li4[0].YesNo12d_cb[1]</t>
        </is>
      </c>
      <c r="F198" s="5" t="inlineStr">
        <is>
          <t>checkbox</t>
        </is>
      </c>
      <c r="G198" s="5" t="inlineStr">
        <is>
          <t>11</t>
        </is>
      </c>
      <c r="H198" s="5" t="inlineStr"/>
      <c r="I198" s="5" t="inlineStr">
        <is>
          <t>124, 639, 133, 648</t>
        </is>
      </c>
      <c r="J198" s="5" t="inlineStr">
        <is>
          <t>question</t>
        </is>
      </c>
      <c r="K198" s="5" t="inlineStr">
        <is>
          <t>O12.sameWorkSchool</t>
        </is>
      </c>
      <c r="L198" s="5" t="inlineStr">
        <is>
          <t>check if O12.sameWorkSchool is not empty</t>
        </is>
      </c>
      <c r="M198" s="5" t="inlineStr">
        <is>
          <t>O12</t>
        </is>
      </c>
      <c r="N198" s="5" t="inlineStr">
        <is>
          <t>Export value 11.</t>
        </is>
      </c>
      <c r="O198" s="5" t="inlineStr"/>
    </row>
    <row r="199">
      <c r="A199" s="5" t="n">
        <v>198</v>
      </c>
      <c r="B199" s="5" t="n">
        <v>7</v>
      </c>
      <c r="C199" s="5" t="inlineStr">
        <is>
          <t>12d</t>
        </is>
      </c>
      <c r="D199" s="5" t="inlineStr">
        <is>
          <t>Work together at (name of company):</t>
        </is>
      </c>
      <c r="E199" s="5" t="inlineStr">
        <is>
          <t>DV-100[0].Page7[0].List12[0].Li4[0].CheckBox1[0]</t>
        </is>
      </c>
      <c r="F199" s="5" t="inlineStr">
        <is>
          <t>checkbox</t>
        </is>
      </c>
      <c r="G199" s="5" t="inlineStr">
        <is>
          <t>1</t>
        </is>
      </c>
      <c r="H199" s="5" t="inlineStr"/>
      <c r="I199" s="5" t="inlineStr">
        <is>
          <t>140, 652, 149, 661</t>
        </is>
      </c>
      <c r="J199" s="5" t="inlineStr">
        <is>
          <t>question</t>
        </is>
      </c>
      <c r="K199" s="5" t="inlineStr">
        <is>
          <t>O12.sameWorkSchool</t>
        </is>
      </c>
      <c r="L199" s="5" t="inlineStr">
        <is>
          <t>check if O12.sameWorkSchool.company</t>
        </is>
      </c>
      <c r="M199" s="5" t="inlineStr">
        <is>
          <t>O12</t>
        </is>
      </c>
      <c r="N199" s="5" t="inlineStr"/>
      <c r="O199" s="5" t="inlineStr"/>
    </row>
    <row r="200">
      <c r="A200" s="5" t="n">
        <v>199</v>
      </c>
      <c r="B200" s="5" t="n">
        <v>7</v>
      </c>
      <c r="C200" s="5" t="inlineStr">
        <is>
          <t>12d</t>
        </is>
      </c>
      <c r="D200" s="5" t="inlineStr">
        <is>
          <t>Work together at (name of company):</t>
        </is>
      </c>
      <c r="E200" s="5" t="inlineStr">
        <is>
          <t>DV-100[0].Page7[0].List12[0].Li4[0].TextField1[0]</t>
        </is>
      </c>
      <c r="F200" s="5" t="inlineStr">
        <is>
          <t>text</t>
        </is>
      </c>
      <c r="G200" s="5" t="inlineStr"/>
      <c r="H200" s="5" t="inlineStr"/>
      <c r="I200" s="5" t="inlineStr">
        <is>
          <t>327, 650, 563, 662</t>
        </is>
      </c>
      <c r="J200" s="5" t="inlineStr">
        <is>
          <t>question</t>
        </is>
      </c>
      <c r="K200" s="5" t="inlineStr">
        <is>
          <t>O12.sameWorkSchool</t>
        </is>
      </c>
      <c r="L200" s="5">
        <f> O12.sameWorkSchool.company</f>
        <v/>
      </c>
      <c r="M200" s="5" t="inlineStr">
        <is>
          <t>O12</t>
        </is>
      </c>
      <c r="N200" s="5" t="inlineStr"/>
      <c r="O200" s="5" t="inlineStr"/>
    </row>
    <row r="201">
      <c r="A201" s="5" t="n">
        <v>200</v>
      </c>
      <c r="B201" s="5" t="n">
        <v>7</v>
      </c>
      <c r="C201" s="5" t="inlineStr">
        <is>
          <t>12d</t>
        </is>
      </c>
      <c r="D201" s="5" t="inlineStr">
        <is>
          <t>Go to the same school (name of school):</t>
        </is>
      </c>
      <c r="E201" s="5" t="inlineStr">
        <is>
          <t>DV-100[0].Page7[0].List12[0].Li4[0].CheckBox2[0]</t>
        </is>
      </c>
      <c r="F201" s="5" t="inlineStr">
        <is>
          <t>checkbox</t>
        </is>
      </c>
      <c r="G201" s="5" t="inlineStr">
        <is>
          <t>1</t>
        </is>
      </c>
      <c r="H201" s="5" t="inlineStr"/>
      <c r="I201" s="5" t="inlineStr">
        <is>
          <t>140, 667, 149, 676</t>
        </is>
      </c>
      <c r="J201" s="5" t="inlineStr">
        <is>
          <t>question</t>
        </is>
      </c>
      <c r="K201" s="5" t="inlineStr">
        <is>
          <t>O12.sameWorkSchool</t>
        </is>
      </c>
      <c r="L201" s="5" t="inlineStr">
        <is>
          <t>check if O12.sameWorkSchool.school</t>
        </is>
      </c>
      <c r="M201" s="5" t="inlineStr">
        <is>
          <t>O12</t>
        </is>
      </c>
      <c r="N201" s="5" t="inlineStr"/>
      <c r="O201" s="5" t="inlineStr"/>
    </row>
    <row r="202">
      <c r="A202" s="5" t="n">
        <v>201</v>
      </c>
      <c r="B202" s="5" t="n">
        <v>7</v>
      </c>
      <c r="C202" s="5" t="inlineStr">
        <is>
          <t>12d</t>
        </is>
      </c>
      <c r="D202" s="5" t="inlineStr">
        <is>
          <t>Go to the same school (name of school):</t>
        </is>
      </c>
      <c r="E202" s="5" t="inlineStr">
        <is>
          <t>DV-100[0].Page7[0].List12[0].Li4[0].TextField2[0]</t>
        </is>
      </c>
      <c r="F202" s="5" t="inlineStr">
        <is>
          <t>text</t>
        </is>
      </c>
      <c r="G202" s="5" t="inlineStr"/>
      <c r="H202" s="5" t="inlineStr"/>
      <c r="I202" s="5" t="inlineStr">
        <is>
          <t>339, 666, 563, 678</t>
        </is>
      </c>
      <c r="J202" s="5" t="inlineStr">
        <is>
          <t>question</t>
        </is>
      </c>
      <c r="K202" s="5" t="inlineStr">
        <is>
          <t>O12.sameWorkSchool</t>
        </is>
      </c>
      <c r="L202" s="5">
        <f> O12.sameWorkSchool.school</f>
        <v/>
      </c>
      <c r="M202" s="5" t="inlineStr">
        <is>
          <t>O12</t>
        </is>
      </c>
      <c r="N202" s="5" t="inlineStr"/>
      <c r="O202" s="5" t="inlineStr"/>
    </row>
    <row r="203">
      <c r="A203" s="5" t="n">
        <v>202</v>
      </c>
      <c r="B203" s="5" t="n">
        <v>7</v>
      </c>
      <c r="C203" s="5" t="inlineStr">
        <is>
          <t>12d</t>
        </is>
      </c>
      <c r="D203" s="5" t="inlineStr">
        <is>
          <t>Other (please explain):</t>
        </is>
      </c>
      <c r="E203" s="5" t="inlineStr">
        <is>
          <t>DV-100[0].Page7[0].List12[0].Li4[0].CheckBox3[0]</t>
        </is>
      </c>
      <c r="F203" s="5" t="inlineStr">
        <is>
          <t>checkbox</t>
        </is>
      </c>
      <c r="G203" s="5" t="inlineStr">
        <is>
          <t>1</t>
        </is>
      </c>
      <c r="H203" s="5" t="inlineStr"/>
      <c r="I203" s="5" t="inlineStr">
        <is>
          <t>140, 683, 149, 692</t>
        </is>
      </c>
      <c r="J203" s="5" t="inlineStr">
        <is>
          <t>question</t>
        </is>
      </c>
      <c r="K203" s="5" t="inlineStr">
        <is>
          <t>O12.sameWorkSchool</t>
        </is>
      </c>
      <c r="L203" s="5" t="inlineStr">
        <is>
          <t>check if O12.sameWorkSchool.other</t>
        </is>
      </c>
      <c r="M203" s="5" t="inlineStr">
        <is>
          <t>O12</t>
        </is>
      </c>
      <c r="N203" s="5" t="inlineStr"/>
      <c r="O203" s="5" t="inlineStr"/>
    </row>
    <row r="204">
      <c r="A204" s="5" t="n">
        <v>203</v>
      </c>
      <c r="B204" s="5" t="n">
        <v>7</v>
      </c>
      <c r="C204" s="5" t="inlineStr">
        <is>
          <t>12d</t>
        </is>
      </c>
      <c r="D204" s="5" t="inlineStr">
        <is>
          <t>Other (please explain):</t>
        </is>
      </c>
      <c r="E204" s="5" t="inlineStr">
        <is>
          <t>DV-100[0].Page7[0].List12[0].Li4[0].TextField4[0]</t>
        </is>
      </c>
      <c r="F204" s="5" t="inlineStr">
        <is>
          <t>text</t>
        </is>
      </c>
      <c r="G204" s="5" t="inlineStr"/>
      <c r="H204" s="5" t="inlineStr"/>
      <c r="I204" s="5" t="inlineStr">
        <is>
          <t>262, 681, 563, 693</t>
        </is>
      </c>
      <c r="J204" s="5" t="inlineStr">
        <is>
          <t>question</t>
        </is>
      </c>
      <c r="K204" s="5" t="inlineStr">
        <is>
          <t>O12.sameWorkSchool</t>
        </is>
      </c>
      <c r="L204" s="5">
        <f> O12.sameWorkSchool.other</f>
        <v/>
      </c>
      <c r="M204" s="5" t="inlineStr">
        <is>
          <t>O12</t>
        </is>
      </c>
      <c r="N204" s="5" t="inlineStr"/>
      <c r="O204" s="5" t="inlineStr"/>
    </row>
    <row r="205">
      <c r="A205" s="5" t="n">
        <v>204</v>
      </c>
      <c r="B205" s="5" t="n">
        <v>8</v>
      </c>
      <c r="C205" s="5" t="inlineStr">
        <is>
          <t>Caption</t>
        </is>
      </c>
      <c r="D205" s="5" t="inlineStr">
        <is>
          <t>Case Number:</t>
        </is>
      </c>
      <c r="E205" s="5" t="inlineStr">
        <is>
          <t>DV-100[0].Page8[0].PxCaption[0].CaseNumber[0]</t>
        </is>
      </c>
      <c r="F205" s="5" t="inlineStr">
        <is>
          <t>text</t>
        </is>
      </c>
      <c r="G205" s="5" t="inlineStr"/>
      <c r="H205" s="5" t="inlineStr"/>
      <c r="I205" s="5" t="inlineStr">
        <is>
          <t>398, 48, 573, 63</t>
        </is>
      </c>
      <c r="J205" s="5" t="inlineStr">
        <is>
          <t>question</t>
        </is>
      </c>
      <c r="K205" s="5" t="inlineStr">
        <is>
          <t>S3,S4</t>
        </is>
      </c>
      <c r="L205" s="5">
        <f> S4</f>
        <v/>
      </c>
      <c r="M205" s="5" t="inlineStr">
        <is>
          <t>S3 == "update"; otherwise blank for clerk</t>
        </is>
      </c>
      <c r="N205" s="5" t="inlineStr">
        <is>
          <t>Case number box, repeated on every page; fill all 13 when known.</t>
        </is>
      </c>
      <c r="O205" s="5" t="inlineStr"/>
    </row>
    <row r="206">
      <c r="A206" s="5" t="n">
        <v>205</v>
      </c>
      <c r="B206" s="5" t="n">
        <v>8</v>
      </c>
      <c r="C206" s="5" t="inlineStr">
        <is>
          <t>13</t>
        </is>
      </c>
      <c r="D206" s="5" t="inlineStr">
        <is>
          <t>Order to Move Out</t>
        </is>
      </c>
      <c r="E206" s="5" t="inlineStr">
        <is>
          <t>DV-100[0].Page8[0].List13[0].CheckBoxRightCaption[0]</t>
        </is>
      </c>
      <c r="F206" s="5" t="inlineStr">
        <is>
          <t>checkbox</t>
        </is>
      </c>
      <c r="G206" s="5" t="inlineStr">
        <is>
          <t>1</t>
        </is>
      </c>
      <c r="H206" s="5" t="inlineStr"/>
      <c r="I206" s="5" t="inlineStr">
        <is>
          <t>62, 82, 71, 91</t>
        </is>
      </c>
      <c r="J206" s="5" t="inlineStr">
        <is>
          <t>question</t>
        </is>
      </c>
      <c r="K206" s="5" t="inlineStr">
        <is>
          <t>O13</t>
        </is>
      </c>
      <c r="L206" s="5" t="inlineStr">
        <is>
          <t>check if O13</t>
        </is>
      </c>
      <c r="M206" s="5" t="inlineStr"/>
      <c r="N206" s="5" t="inlineStr"/>
      <c r="O206" s="5" t="inlineStr"/>
    </row>
    <row r="207">
      <c r="A207" s="5" t="n">
        <v>206</v>
      </c>
      <c r="B207" s="5" t="n">
        <v>8</v>
      </c>
      <c r="C207" s="5" t="inlineStr">
        <is>
          <t>13a</t>
        </is>
      </c>
      <c r="D207" s="5" t="inlineStr">
        <is>
          <t>(Give address):</t>
        </is>
      </c>
      <c r="E207" s="5" t="inlineStr">
        <is>
          <t>DV-100[0].Page8[0].List13[0].Li1[0].TextField[0]</t>
        </is>
      </c>
      <c r="F207" s="5" t="inlineStr">
        <is>
          <t>text</t>
        </is>
      </c>
      <c r="G207" s="5" t="inlineStr"/>
      <c r="H207" s="5" t="inlineStr"/>
      <c r="I207" s="5" t="inlineStr">
        <is>
          <t>148, 115, 566, 127</t>
        </is>
      </c>
      <c r="J207" s="5" t="inlineStr">
        <is>
          <t>question</t>
        </is>
      </c>
      <c r="K207" s="5" t="inlineStr">
        <is>
          <t>O13.address</t>
        </is>
      </c>
      <c r="L207" s="5">
        <f> oneLine(O13.address)</f>
        <v/>
      </c>
      <c r="M207" s="5" t="inlineStr">
        <is>
          <t>O13</t>
        </is>
      </c>
      <c r="N207" s="5" t="inlineStr">
        <is>
          <t>Warn if it matches P6.</t>
        </is>
      </c>
      <c r="O207" s="5" t="inlineStr"/>
    </row>
    <row r="208">
      <c r="A208" s="5" t="n">
        <v>207</v>
      </c>
      <c r="B208" s="5" t="n">
        <v>8</v>
      </c>
      <c r="C208" s="5" t="inlineStr">
        <is>
          <t>13b</t>
        </is>
      </c>
      <c r="D208" s="5" t="inlineStr">
        <is>
          <t>I own the home.</t>
        </is>
      </c>
      <c r="E208" s="5" t="inlineStr">
        <is>
          <t>DV-100[0].Page8[0].List13[0].Li2[0].CheckBox1[0]</t>
        </is>
      </c>
      <c r="F208" s="5" t="inlineStr">
        <is>
          <t>checkbox</t>
        </is>
      </c>
      <c r="G208" s="5" t="inlineStr">
        <is>
          <t>1</t>
        </is>
      </c>
      <c r="H208" s="5" t="inlineStr"/>
      <c r="I208" s="5" t="inlineStr">
        <is>
          <t>78, 183, 87, 192</t>
        </is>
      </c>
      <c r="J208" s="5" t="inlineStr">
        <is>
          <t>question</t>
        </is>
      </c>
      <c r="K208" s="5" t="inlineStr">
        <is>
          <t>O13.reasons</t>
        </is>
      </c>
      <c r="L208" s="5" t="inlineStr">
        <is>
          <t>check if O13.reasons has "own"</t>
        </is>
      </c>
      <c r="M208" s="5" t="inlineStr">
        <is>
          <t>O13</t>
        </is>
      </c>
      <c r="N208" s="5" t="inlineStr"/>
      <c r="O208" s="5" t="inlineStr"/>
    </row>
    <row r="209">
      <c r="A209" s="5" t="n">
        <v>208</v>
      </c>
      <c r="B209" s="5" t="n">
        <v>8</v>
      </c>
      <c r="C209" s="5" t="inlineStr">
        <is>
          <t>13b</t>
        </is>
      </c>
      <c r="D209" s="5" t="inlineStr">
        <is>
          <t>I have lived at this address for _____ years, ____ months.</t>
        </is>
      </c>
      <c r="E209" s="5" t="inlineStr">
        <is>
          <t>DV-100[0].Page8[0].List13[0].Li2[0].CheckBox2[0]</t>
        </is>
      </c>
      <c r="F209" s="5" t="inlineStr">
        <is>
          <t>checkbox</t>
        </is>
      </c>
      <c r="G209" s="5" t="inlineStr">
        <is>
          <t>1</t>
        </is>
      </c>
      <c r="H209" s="5" t="inlineStr"/>
      <c r="I209" s="5" t="inlineStr">
        <is>
          <t>287, 183, 296, 192</t>
        </is>
      </c>
      <c r="J209" s="5" t="inlineStr">
        <is>
          <t>question</t>
        </is>
      </c>
      <c r="K209" s="5" t="inlineStr">
        <is>
          <t>O13.reasons</t>
        </is>
      </c>
      <c r="L209" s="5" t="inlineStr">
        <is>
          <t>check if O13.reasons has "lived there"</t>
        </is>
      </c>
      <c r="M209" s="5" t="inlineStr">
        <is>
          <t>O13</t>
        </is>
      </c>
      <c r="N209" s="5" t="inlineStr"/>
      <c r="O209" s="5" t="inlineStr"/>
    </row>
    <row r="210">
      <c r="A210" s="5" t="n">
        <v>209</v>
      </c>
      <c r="B210" s="5" t="n">
        <v>8</v>
      </c>
      <c r="C210" s="5" t="inlineStr">
        <is>
          <t>13b</t>
        </is>
      </c>
      <c r="D210" s="5" t="inlineStr">
        <is>
          <t>years</t>
        </is>
      </c>
      <c r="E210" s="5" t="inlineStr">
        <is>
          <t>DV-100[0].Page8[0].List13[0].Li2[0].FillText9years[0]</t>
        </is>
      </c>
      <c r="F210" s="5" t="inlineStr">
        <is>
          <t>text</t>
        </is>
      </c>
      <c r="G210" s="5" t="inlineStr"/>
      <c r="H210" s="5" t="inlineStr"/>
      <c r="I210" s="5" t="inlineStr">
        <is>
          <t>442, 181, 472, 193</t>
        </is>
      </c>
      <c r="J210" s="5" t="inlineStr">
        <is>
          <t>question</t>
        </is>
      </c>
      <c r="K210" s="5" t="inlineStr">
        <is>
          <t>O13.years</t>
        </is>
      </c>
      <c r="L210" s="5">
        <f> O13.years</f>
        <v/>
      </c>
      <c r="M210" s="5" t="inlineStr">
        <is>
          <t>O13 and reasons has "lived there"</t>
        </is>
      </c>
      <c r="N210" s="5" t="inlineStr">
        <is>
          <t>Map lists the reason but no years/months sub-question: add O13.years / O13.months.</t>
        </is>
      </c>
      <c r="O210" s="5" t="inlineStr"/>
    </row>
    <row r="211">
      <c r="A211" s="5" t="n">
        <v>210</v>
      </c>
      <c r="B211" s="5" t="n">
        <v>8</v>
      </c>
      <c r="C211" s="5" t="inlineStr">
        <is>
          <t>13b</t>
        </is>
      </c>
      <c r="D211" s="5" t="inlineStr">
        <is>
          <t>months</t>
        </is>
      </c>
      <c r="E211" s="5" t="inlineStr">
        <is>
          <t>DV-100[0].Page8[0].List13[0].Li2[0].FillText9months[0]</t>
        </is>
      </c>
      <c r="F211" s="5" t="inlineStr">
        <is>
          <t>text</t>
        </is>
      </c>
      <c r="G211" s="5" t="inlineStr"/>
      <c r="H211" s="5" t="inlineStr"/>
      <c r="I211" s="5" t="inlineStr">
        <is>
          <t>502, 181, 533, 193</t>
        </is>
      </c>
      <c r="J211" s="5" t="inlineStr">
        <is>
          <t>question</t>
        </is>
      </c>
      <c r="K211" s="5" t="inlineStr">
        <is>
          <t>O13.months</t>
        </is>
      </c>
      <c r="L211" s="5">
        <f> O13.months</f>
        <v/>
      </c>
      <c r="M211" s="5" t="inlineStr">
        <is>
          <t>O13 and reasons has "lived there"</t>
        </is>
      </c>
      <c r="N211" s="5" t="inlineStr"/>
      <c r="O211" s="5" t="inlineStr"/>
    </row>
    <row r="212">
      <c r="A212" s="5" t="n">
        <v>211</v>
      </c>
      <c r="B212" s="5" t="n">
        <v>8</v>
      </c>
      <c r="C212" s="5" t="inlineStr">
        <is>
          <t>13b</t>
        </is>
      </c>
      <c r="D212" s="5" t="inlineStr">
        <is>
          <t>My name is on the lease.</t>
        </is>
      </c>
      <c r="E212" s="5" t="inlineStr">
        <is>
          <t>DV-100[0].Page8[0].List13[0].Li2[0].CheckBox3[0]</t>
        </is>
      </c>
      <c r="F212" s="5" t="inlineStr">
        <is>
          <t>checkbox</t>
        </is>
      </c>
      <c r="G212" s="5" t="inlineStr">
        <is>
          <t>1</t>
        </is>
      </c>
      <c r="H212" s="5" t="inlineStr"/>
      <c r="I212" s="5" t="inlineStr">
        <is>
          <t>78, 201, 87, 210</t>
        </is>
      </c>
      <c r="J212" s="5" t="inlineStr">
        <is>
          <t>question</t>
        </is>
      </c>
      <c r="K212" s="5" t="inlineStr">
        <is>
          <t>O13.reasons</t>
        </is>
      </c>
      <c r="L212" s="5" t="inlineStr">
        <is>
          <t>check if O13.reasons has "lease"</t>
        </is>
      </c>
      <c r="M212" s="5" t="inlineStr">
        <is>
          <t>O13</t>
        </is>
      </c>
      <c r="N212" s="5" t="inlineStr"/>
      <c r="O212" s="5" t="inlineStr"/>
    </row>
    <row r="213">
      <c r="A213" s="5" t="n">
        <v>212</v>
      </c>
      <c r="B213" s="5" t="n">
        <v>8</v>
      </c>
      <c r="C213" s="5" t="inlineStr">
        <is>
          <t>13b</t>
        </is>
      </c>
      <c r="D213" s="5" t="inlineStr">
        <is>
          <t>I pay for some or all the rent or mortgage.</t>
        </is>
      </c>
      <c r="E213" s="5" t="inlineStr">
        <is>
          <t>DV-100[0].Page8[0].List13[0].Li2[0].CheckBox4[0]</t>
        </is>
      </c>
      <c r="F213" s="5" t="inlineStr">
        <is>
          <t>checkbox</t>
        </is>
      </c>
      <c r="G213" s="5" t="inlineStr">
        <is>
          <t>1</t>
        </is>
      </c>
      <c r="H213" s="5" t="inlineStr"/>
      <c r="I213" s="5" t="inlineStr">
        <is>
          <t>286, 201, 295, 210</t>
        </is>
      </c>
      <c r="J213" s="5" t="inlineStr">
        <is>
          <t>question</t>
        </is>
      </c>
      <c r="K213" s="5" t="inlineStr">
        <is>
          <t>O13.reasons</t>
        </is>
      </c>
      <c r="L213" s="5" t="inlineStr">
        <is>
          <t>check if O13.reasons has "pay rent or mortgage"</t>
        </is>
      </c>
      <c r="M213" s="5" t="inlineStr">
        <is>
          <t>O13</t>
        </is>
      </c>
      <c r="N213" s="5" t="inlineStr"/>
      <c r="O213" s="5" t="inlineStr"/>
    </row>
    <row r="214">
      <c r="A214" s="5" t="n">
        <v>213</v>
      </c>
      <c r="B214" s="5" t="n">
        <v>8</v>
      </c>
      <c r="C214" s="5" t="inlineStr">
        <is>
          <t>13b</t>
        </is>
      </c>
      <c r="D214" s="5" t="inlineStr">
        <is>
          <t>I live at this address with my child(ren).</t>
        </is>
      </c>
      <c r="E214" s="5" t="inlineStr">
        <is>
          <t>DV-100[0].Page8[0].List13[0].Li2[0].CheckBox5[0]</t>
        </is>
      </c>
      <c r="F214" s="5" t="inlineStr">
        <is>
          <t>checkbox</t>
        </is>
      </c>
      <c r="G214" s="5" t="inlineStr">
        <is>
          <t>1</t>
        </is>
      </c>
      <c r="H214" s="5" t="inlineStr"/>
      <c r="I214" s="5" t="inlineStr">
        <is>
          <t>78, 218, 87, 227</t>
        </is>
      </c>
      <c r="J214" s="5" t="inlineStr">
        <is>
          <t>question</t>
        </is>
      </c>
      <c r="K214" s="5" t="inlineStr">
        <is>
          <t>O13.reasons</t>
        </is>
      </c>
      <c r="L214" s="5" t="inlineStr">
        <is>
          <t>check if O13.reasons has "live there with my children"</t>
        </is>
      </c>
      <c r="M214" s="5" t="inlineStr">
        <is>
          <t>O13</t>
        </is>
      </c>
      <c r="N214" s="5" t="inlineStr">
        <is>
          <t>Pre-check from the roster (child with PR6 == "Y").</t>
        </is>
      </c>
      <c r="O214" s="5" t="inlineStr"/>
    </row>
    <row r="215">
      <c r="A215" s="5" t="n">
        <v>214</v>
      </c>
      <c r="B215" s="5" t="n">
        <v>8</v>
      </c>
      <c r="C215" s="5" t="inlineStr">
        <is>
          <t>13b</t>
        </is>
      </c>
      <c r="D215" s="5" t="inlineStr">
        <is>
          <t>Other (please explain):</t>
        </is>
      </c>
      <c r="E215" s="5" t="inlineStr">
        <is>
          <t>DV-100[0].Page8[0].List13[0].Li2[0].CheckBox6[0]</t>
        </is>
      </c>
      <c r="F215" s="5" t="inlineStr">
        <is>
          <t>checkbox</t>
        </is>
      </c>
      <c r="G215" s="5" t="inlineStr">
        <is>
          <t>1</t>
        </is>
      </c>
      <c r="H215" s="5" t="inlineStr"/>
      <c r="I215" s="5" t="inlineStr">
        <is>
          <t>287, 219, 296, 228</t>
        </is>
      </c>
      <c r="J215" s="5" t="inlineStr">
        <is>
          <t>question</t>
        </is>
      </c>
      <c r="K215" s="5" t="inlineStr">
        <is>
          <t>O13.reasons</t>
        </is>
      </c>
      <c r="L215" s="5" t="inlineStr">
        <is>
          <t>check if O13.reasons has "other"</t>
        </is>
      </c>
      <c r="M215" s="5" t="inlineStr">
        <is>
          <t>O13</t>
        </is>
      </c>
      <c r="N215" s="5" t="inlineStr"/>
      <c r="O215" s="5" t="inlineStr"/>
    </row>
    <row r="216">
      <c r="A216" s="5" t="n">
        <v>215</v>
      </c>
      <c r="B216" s="5" t="n">
        <v>8</v>
      </c>
      <c r="C216" s="5" t="inlineStr">
        <is>
          <t>13b</t>
        </is>
      </c>
      <c r="D216" s="5" t="inlineStr">
        <is>
          <t>Other (please explain):</t>
        </is>
      </c>
      <c r="E216" s="5" t="inlineStr">
        <is>
          <t>DV-100[0].Page8[0].List13[0].Li2[0].TextField1[0]</t>
        </is>
      </c>
      <c r="F216" s="5" t="inlineStr">
        <is>
          <t>text</t>
        </is>
      </c>
      <c r="G216" s="5" t="inlineStr"/>
      <c r="H216" s="5" t="inlineStr"/>
      <c r="I216" s="5" t="inlineStr">
        <is>
          <t>413, 220, 573, 232</t>
        </is>
      </c>
      <c r="J216" s="5" t="inlineStr">
        <is>
          <t>question</t>
        </is>
      </c>
      <c r="K216" s="5" t="inlineStr">
        <is>
          <t>O13.otherText</t>
        </is>
      </c>
      <c r="L216" s="5">
        <f> O13.otherText [line 1]</f>
        <v/>
      </c>
      <c r="M216" s="5" t="inlineStr">
        <is>
          <t>O13 and reasons has "other"</t>
        </is>
      </c>
      <c r="N216" s="5" t="inlineStr"/>
      <c r="O216" s="5" t="inlineStr"/>
    </row>
    <row r="217">
      <c r="A217" s="5" t="n">
        <v>216</v>
      </c>
      <c r="B217" s="5" t="n">
        <v>8</v>
      </c>
      <c r="C217" s="5" t="inlineStr">
        <is>
          <t>13b</t>
        </is>
      </c>
      <c r="D217" s="5" t="inlineStr">
        <is>
          <t>Other (please explain):</t>
        </is>
      </c>
      <c r="E217" s="5" t="inlineStr">
        <is>
          <t>DV-100[0].Page8[0].List13[0].Li2[0].TextField2[0]</t>
        </is>
      </c>
      <c r="F217" s="5" t="inlineStr">
        <is>
          <t>text</t>
        </is>
      </c>
      <c r="G217" s="5" t="inlineStr"/>
      <c r="H217" s="5" t="inlineStr"/>
      <c r="I217" s="5" t="inlineStr">
        <is>
          <t>304, 236, 573, 248</t>
        </is>
      </c>
      <c r="J217" s="5" t="inlineStr">
        <is>
          <t>question</t>
        </is>
      </c>
      <c r="K217" s="5" t="inlineStr">
        <is>
          <t>O13.otherText</t>
        </is>
      </c>
      <c r="L217" s="5">
        <f> O13.otherText [line 2]</f>
        <v/>
      </c>
      <c r="M217" s="5" t="inlineStr">
        <is>
          <t>O13 and reasons has "other"</t>
        </is>
      </c>
      <c r="N217" s="5" t="inlineStr"/>
      <c r="O217" s="5" t="inlineStr"/>
    </row>
    <row r="218">
      <c r="A218" s="5" t="n">
        <v>217</v>
      </c>
      <c r="B218" s="5" t="n">
        <v>8</v>
      </c>
      <c r="C218" s="5" t="inlineStr">
        <is>
          <t>14</t>
        </is>
      </c>
      <c r="D218" s="5" t="inlineStr">
        <is>
          <t>Other Orders</t>
        </is>
      </c>
      <c r="E218" s="5" t="inlineStr">
        <is>
          <t>DV-100[0].Page8[0].List14[0].Li1[0].CheckBoxRightCaption[0]</t>
        </is>
      </c>
      <c r="F218" s="5" t="inlineStr">
        <is>
          <t>checkbox</t>
        </is>
      </c>
      <c r="G218" s="5" t="inlineStr">
        <is>
          <t>1</t>
        </is>
      </c>
      <c r="H218" s="5" t="inlineStr"/>
      <c r="I218" s="5" t="inlineStr">
        <is>
          <t>63, 290, 72, 299</t>
        </is>
      </c>
      <c r="J218" s="5" t="inlineStr">
        <is>
          <t>question</t>
        </is>
      </c>
      <c r="K218" s="5" t="inlineStr">
        <is>
          <t>O14</t>
        </is>
      </c>
      <c r="L218" s="5" t="inlineStr">
        <is>
          <t>check if O14</t>
        </is>
      </c>
      <c r="M218" s="5" t="inlineStr"/>
      <c r="N218" s="5" t="inlineStr"/>
      <c r="O218" s="5" t="inlineStr"/>
    </row>
    <row r="219">
      <c r="A219" s="5" t="n">
        <v>218</v>
      </c>
      <c r="B219" s="5" t="n">
        <v>8</v>
      </c>
      <c r="C219" s="5" t="inlineStr">
        <is>
          <t>14</t>
        </is>
      </c>
      <c r="D219" s="5" t="inlineStr">
        <is>
          <t>(Describe any additional orders you want the judge to make to keep you, your children, or the people in item 8 safe.):</t>
        </is>
      </c>
      <c r="E219" s="5" t="inlineStr">
        <is>
          <t>DV-100[0].Page8[0].List14[0].Li1[0].item26d_tf[0]</t>
        </is>
      </c>
      <c r="F219" s="5" t="inlineStr">
        <is>
          <t>text</t>
        </is>
      </c>
      <c r="G219" s="5" t="inlineStr"/>
      <c r="H219" s="5" t="inlineStr"/>
      <c r="I219" s="5" t="inlineStr">
        <is>
          <t>63, 326, 575, 445</t>
        </is>
      </c>
      <c r="J219" s="5" t="inlineStr">
        <is>
          <t>question</t>
        </is>
      </c>
      <c r="K219" s="5" t="inlineStr">
        <is>
          <t>O14.text</t>
        </is>
      </c>
      <c r="L219" s="5">
        <f> O14.text</f>
        <v/>
      </c>
      <c r="M219" s="5" t="inlineStr">
        <is>
          <t>O14</t>
        </is>
      </c>
      <c r="N219" s="5" t="inlineStr"/>
      <c r="O219" s="5" t="inlineStr"/>
    </row>
    <row r="220">
      <c r="A220" s="5" t="n">
        <v>219</v>
      </c>
      <c r="B220" s="5" t="n">
        <v>8</v>
      </c>
      <c r="C220" s="5" t="inlineStr">
        <is>
          <t>15</t>
        </is>
      </c>
      <c r="D220" s="5" t="inlineStr">
        <is>
          <t>Child Custody and Visitation</t>
        </is>
      </c>
      <c r="E220" s="5" t="inlineStr">
        <is>
          <t>DV-100[0].Page8[0].LIST15[0].CtyChildFreed_cb[0]</t>
        </is>
      </c>
      <c r="F220" s="5" t="inlineStr">
        <is>
          <t>checkbox</t>
        </is>
      </c>
      <c r="G220" s="5" t="inlineStr">
        <is>
          <t>1</t>
        </is>
      </c>
      <c r="H220" s="5" t="inlineStr"/>
      <c r="I220" s="5" t="inlineStr">
        <is>
          <t>63, 507, 72, 516</t>
        </is>
      </c>
      <c r="J220" s="5" t="inlineStr">
        <is>
          <t>question</t>
        </is>
      </c>
      <c r="K220" s="5" t="inlineStr">
        <is>
          <t>O15</t>
        </is>
      </c>
      <c r="L220" s="5" t="inlineStr">
        <is>
          <t>check if O15</t>
        </is>
      </c>
      <c r="M220" s="5" t="inlineStr">
        <is>
          <t>CHILDREN and a shared child under 18</t>
        </is>
      </c>
      <c r="N220" s="5" t="inlineStr">
        <is>
          <t>Fixes gap-analysis defect 1.</t>
        </is>
      </c>
      <c r="O220" s="5" t="inlineStr"/>
    </row>
    <row r="221">
      <c r="A221" s="5" t="n">
        <v>220</v>
      </c>
      <c r="B221" s="5" t="n">
        <v>9</v>
      </c>
      <c r="C221" s="5" t="inlineStr">
        <is>
          <t>Caption</t>
        </is>
      </c>
      <c r="D221" s="5" t="inlineStr">
        <is>
          <t>Case Number:</t>
        </is>
      </c>
      <c r="E221" s="5" t="inlineStr">
        <is>
          <t>DV-100[0].Page9[0].PxCaption[0].CaseNumber[0]</t>
        </is>
      </c>
      <c r="F221" s="5" t="inlineStr">
        <is>
          <t>text</t>
        </is>
      </c>
      <c r="G221" s="5" t="inlineStr"/>
      <c r="H221" s="5" t="inlineStr"/>
      <c r="I221" s="5" t="inlineStr">
        <is>
          <t>398, 48, 573, 63</t>
        </is>
      </c>
      <c r="J221" s="5" t="inlineStr">
        <is>
          <t>question</t>
        </is>
      </c>
      <c r="K221" s="5" t="inlineStr">
        <is>
          <t>S3,S4</t>
        </is>
      </c>
      <c r="L221" s="5">
        <f> S4</f>
        <v/>
      </c>
      <c r="M221" s="5" t="inlineStr">
        <is>
          <t>S3 == "update"; otherwise blank for clerk</t>
        </is>
      </c>
      <c r="N221" s="5" t="inlineStr">
        <is>
          <t>Case number box, repeated on every page; fill all 13 when known.</t>
        </is>
      </c>
      <c r="O221" s="5" t="inlineStr"/>
    </row>
    <row r="222">
      <c r="A222" s="5" t="n">
        <v>221</v>
      </c>
      <c r="B222" s="5" t="n">
        <v>9</v>
      </c>
      <c r="C222" s="5" t="inlineStr">
        <is>
          <t>16a(1)</t>
        </is>
      </c>
      <c r="D222" s="5" t="inlineStr">
        <is>
          <t>Name (or other way to ID animal)</t>
        </is>
      </c>
      <c r="E222" s="5" t="inlineStr">
        <is>
          <t>DV-100[0].Page9[0].List16[0].Li1[0].List[0].Li1[0].TextField1[0]</t>
        </is>
      </c>
      <c r="F222" s="5" t="inlineStr">
        <is>
          <t>text</t>
        </is>
      </c>
      <c r="G222" s="5" t="inlineStr"/>
      <c r="H222" s="5" t="inlineStr"/>
      <c r="I222" s="5" t="inlineStr">
        <is>
          <t>94, 137, 260, 152</t>
        </is>
      </c>
      <c r="J222" s="5" t="inlineStr">
        <is>
          <t>question</t>
        </is>
      </c>
      <c r="K222" s="5" t="inlineStr">
        <is>
          <t>O16.animals</t>
        </is>
      </c>
      <c r="L222" s="5">
        <f> O16.animals[0].name</f>
        <v/>
      </c>
      <c r="M222" s="5" t="inlineStr">
        <is>
          <t>O16 and animals.length &gt; 0</t>
        </is>
      </c>
      <c r="N222" s="5" t="inlineStr"/>
      <c r="O222" s="5" t="inlineStr"/>
    </row>
    <row r="223">
      <c r="A223" s="5" t="n">
        <v>222</v>
      </c>
      <c r="B223" s="5" t="n">
        <v>9</v>
      </c>
      <c r="C223" s="5" t="inlineStr">
        <is>
          <t>16a(1)</t>
        </is>
      </c>
      <c r="D223" s="5" t="inlineStr">
        <is>
          <t>Type of animal</t>
        </is>
      </c>
      <c r="E223" s="5" t="inlineStr">
        <is>
          <t>DV-100[0].Page9[0].List16[0].Li1[0].List[0].Li1[0].TextField2[0]</t>
        </is>
      </c>
      <c r="F223" s="5" t="inlineStr">
        <is>
          <t>text</t>
        </is>
      </c>
      <c r="G223" s="5" t="inlineStr"/>
      <c r="H223" s="5" t="inlineStr"/>
      <c r="I223" s="5" t="inlineStr">
        <is>
          <t>266, 137, 365, 152</t>
        </is>
      </c>
      <c r="J223" s="5" t="inlineStr">
        <is>
          <t>question</t>
        </is>
      </c>
      <c r="K223" s="5" t="inlineStr">
        <is>
          <t>O16.animals</t>
        </is>
      </c>
      <c r="L223" s="5">
        <f> O16.animals[0].type</f>
        <v/>
      </c>
      <c r="M223" s="5" t="inlineStr">
        <is>
          <t>O16 and animals.length &gt; 0</t>
        </is>
      </c>
      <c r="N223" s="5" t="inlineStr"/>
      <c r="O223" s="5" t="inlineStr"/>
    </row>
    <row r="224">
      <c r="A224" s="5" t="n">
        <v>223</v>
      </c>
      <c r="B224" s="5" t="n">
        <v>9</v>
      </c>
      <c r="C224" s="5" t="inlineStr">
        <is>
          <t>16a(1)</t>
        </is>
      </c>
      <c r="D224" s="5" t="inlineStr">
        <is>
          <t>Breed (if known)</t>
        </is>
      </c>
      <c r="E224" s="5" t="inlineStr">
        <is>
          <t>DV-100[0].Page9[0].List16[0].Li1[0].List[0].Li1[0].TextField3[0]</t>
        </is>
      </c>
      <c r="F224" s="5" t="inlineStr">
        <is>
          <t>text</t>
        </is>
      </c>
      <c r="G224" s="5" t="inlineStr"/>
      <c r="H224" s="5" t="inlineStr"/>
      <c r="I224" s="5" t="inlineStr">
        <is>
          <t>370, 137, 469, 152</t>
        </is>
      </c>
      <c r="J224" s="5" t="inlineStr">
        <is>
          <t>question</t>
        </is>
      </c>
      <c r="K224" s="5" t="inlineStr">
        <is>
          <t>O16.animals</t>
        </is>
      </c>
      <c r="L224" s="5">
        <f> O16.animals[0].breed</f>
        <v/>
      </c>
      <c r="M224" s="5" t="inlineStr">
        <is>
          <t>O16 and animals.length &gt; 0</t>
        </is>
      </c>
      <c r="N224" s="5" t="inlineStr"/>
      <c r="O224" s="5" t="inlineStr"/>
    </row>
    <row r="225">
      <c r="A225" s="5" t="n">
        <v>224</v>
      </c>
      <c r="B225" s="5" t="n">
        <v>9</v>
      </c>
      <c r="C225" s="5" t="inlineStr">
        <is>
          <t>16a(1)</t>
        </is>
      </c>
      <c r="D225" s="5" t="inlineStr">
        <is>
          <t>Color</t>
        </is>
      </c>
      <c r="E225" s="5" t="inlineStr">
        <is>
          <t>DV-100[0].Page9[0].List16[0].Li1[0].List[0].Li1[0].TextField4[0]</t>
        </is>
      </c>
      <c r="F225" s="5" t="inlineStr">
        <is>
          <t>text</t>
        </is>
      </c>
      <c r="G225" s="5" t="inlineStr"/>
      <c r="H225" s="5" t="inlineStr"/>
      <c r="I225" s="5" t="inlineStr">
        <is>
          <t>474, 137, 573, 152</t>
        </is>
      </c>
      <c r="J225" s="5" t="inlineStr">
        <is>
          <t>question</t>
        </is>
      </c>
      <c r="K225" s="5" t="inlineStr">
        <is>
          <t>O16.animals</t>
        </is>
      </c>
      <c r="L225" s="5">
        <f> O16.animals[0].color</f>
        <v/>
      </c>
      <c r="M225" s="5" t="inlineStr">
        <is>
          <t>O16 and animals.length &gt; 0</t>
        </is>
      </c>
      <c r="N225" s="5" t="inlineStr"/>
      <c r="O225" s="5" t="inlineStr"/>
    </row>
    <row r="226">
      <c r="A226" s="5" t="n">
        <v>225</v>
      </c>
      <c r="B226" s="5" t="n">
        <v>9</v>
      </c>
      <c r="C226" s="5" t="inlineStr">
        <is>
          <t>16a(2)</t>
        </is>
      </c>
      <c r="D226" s="5" t="inlineStr">
        <is>
          <t>Name (or other way to ID animal)</t>
        </is>
      </c>
      <c r="E226" s="5" t="inlineStr">
        <is>
          <t>DV-100[0].Page9[0].List16[0].Li1[0].List[0].Li2[0].TextField[0]</t>
        </is>
      </c>
      <c r="F226" s="5" t="inlineStr">
        <is>
          <t>text</t>
        </is>
      </c>
      <c r="G226" s="5" t="inlineStr"/>
      <c r="H226" s="5" t="inlineStr"/>
      <c r="I226" s="5" t="inlineStr">
        <is>
          <t>94, 152, 260, 167</t>
        </is>
      </c>
      <c r="J226" s="5" t="inlineStr">
        <is>
          <t>question</t>
        </is>
      </c>
      <c r="K226" s="5" t="inlineStr">
        <is>
          <t>O16.animals</t>
        </is>
      </c>
      <c r="L226" s="5">
        <f> O16.animals[1].name</f>
        <v/>
      </c>
      <c r="M226" s="5" t="inlineStr">
        <is>
          <t>O16 and animals.length &gt; 1</t>
        </is>
      </c>
      <c r="N226" s="5" t="inlineStr"/>
      <c r="O226" s="5" t="inlineStr"/>
    </row>
    <row r="227">
      <c r="A227" s="5" t="n">
        <v>226</v>
      </c>
      <c r="B227" s="5" t="n">
        <v>9</v>
      </c>
      <c r="C227" s="5" t="inlineStr">
        <is>
          <t>16a(2)</t>
        </is>
      </c>
      <c r="D227" s="5" t="inlineStr">
        <is>
          <t>Type of animal</t>
        </is>
      </c>
      <c r="E227" s="5" t="inlineStr">
        <is>
          <t>DV-100[0].Page9[0].List16[0].Li1[0].List[0].Li2[0].TextField1[0]</t>
        </is>
      </c>
      <c r="F227" s="5" t="inlineStr">
        <is>
          <t>text</t>
        </is>
      </c>
      <c r="G227" s="5" t="inlineStr"/>
      <c r="H227" s="5" t="inlineStr"/>
      <c r="I227" s="5" t="inlineStr">
        <is>
          <t>266, 152, 365, 167</t>
        </is>
      </c>
      <c r="J227" s="5" t="inlineStr">
        <is>
          <t>question</t>
        </is>
      </c>
      <c r="K227" s="5" t="inlineStr">
        <is>
          <t>O16.animals</t>
        </is>
      </c>
      <c r="L227" s="5">
        <f> O16.animals[1].type</f>
        <v/>
      </c>
      <c r="M227" s="5" t="inlineStr">
        <is>
          <t>O16 and animals.length &gt; 1</t>
        </is>
      </c>
      <c r="N227" s="5" t="inlineStr"/>
      <c r="O227" s="5" t="inlineStr"/>
    </row>
    <row r="228">
      <c r="A228" s="5" t="n">
        <v>227</v>
      </c>
      <c r="B228" s="5" t="n">
        <v>9</v>
      </c>
      <c r="C228" s="5" t="inlineStr">
        <is>
          <t>16a(2)</t>
        </is>
      </c>
      <c r="D228" s="5" t="inlineStr">
        <is>
          <t>Breed (if known)</t>
        </is>
      </c>
      <c r="E228" s="5" t="inlineStr">
        <is>
          <t>DV-100[0].Page9[0].List16[0].Li1[0].List[0].Li2[0].TextField2[0]</t>
        </is>
      </c>
      <c r="F228" s="5" t="inlineStr">
        <is>
          <t>text</t>
        </is>
      </c>
      <c r="G228" s="5" t="inlineStr"/>
      <c r="H228" s="5" t="inlineStr"/>
      <c r="I228" s="5" t="inlineStr">
        <is>
          <t>370, 152, 469, 167</t>
        </is>
      </c>
      <c r="J228" s="5" t="inlineStr">
        <is>
          <t>question</t>
        </is>
      </c>
      <c r="K228" s="5" t="inlineStr">
        <is>
          <t>O16.animals</t>
        </is>
      </c>
      <c r="L228" s="5">
        <f> O16.animals[1].breed</f>
        <v/>
      </c>
      <c r="M228" s="5" t="inlineStr">
        <is>
          <t>O16 and animals.length &gt; 1</t>
        </is>
      </c>
      <c r="N228" s="5" t="inlineStr"/>
      <c r="O228" s="5" t="inlineStr"/>
    </row>
    <row r="229">
      <c r="A229" s="5" t="n">
        <v>228</v>
      </c>
      <c r="B229" s="5" t="n">
        <v>9</v>
      </c>
      <c r="C229" s="5" t="inlineStr">
        <is>
          <t>16a(2)</t>
        </is>
      </c>
      <c r="D229" s="5" t="inlineStr">
        <is>
          <t>Color</t>
        </is>
      </c>
      <c r="E229" s="5" t="inlineStr">
        <is>
          <t>DV-100[0].Page9[0].List16[0].Li1[0].List[0].Li2[0].TextField3[0]</t>
        </is>
      </c>
      <c r="F229" s="5" t="inlineStr">
        <is>
          <t>text</t>
        </is>
      </c>
      <c r="G229" s="5" t="inlineStr"/>
      <c r="H229" s="5" t="inlineStr"/>
      <c r="I229" s="5" t="inlineStr">
        <is>
          <t>474, 152, 573, 167</t>
        </is>
      </c>
      <c r="J229" s="5" t="inlineStr">
        <is>
          <t>question</t>
        </is>
      </c>
      <c r="K229" s="5" t="inlineStr">
        <is>
          <t>O16.animals</t>
        </is>
      </c>
      <c r="L229" s="5">
        <f> O16.animals[1].color</f>
        <v/>
      </c>
      <c r="M229" s="5" t="inlineStr">
        <is>
          <t>O16 and animals.length &gt; 1</t>
        </is>
      </c>
      <c r="N229" s="5" t="inlineStr"/>
      <c r="O229" s="5" t="inlineStr"/>
    </row>
    <row r="230">
      <c r="A230" s="5" t="n">
        <v>229</v>
      </c>
      <c r="B230" s="5" t="n">
        <v>9</v>
      </c>
      <c r="C230" s="5" t="inlineStr">
        <is>
          <t>16a(3)</t>
        </is>
      </c>
      <c r="D230" s="5" t="inlineStr">
        <is>
          <t>Name (or other way to ID animal)</t>
        </is>
      </c>
      <c r="E230" s="5" t="inlineStr">
        <is>
          <t>DV-100[0].Page9[0].List16[0].Li1[0].List[0].Li3[0].TextField[0]</t>
        </is>
      </c>
      <c r="F230" s="5" t="inlineStr">
        <is>
          <t>text</t>
        </is>
      </c>
      <c r="G230" s="5" t="inlineStr"/>
      <c r="H230" s="5" t="inlineStr"/>
      <c r="I230" s="5" t="inlineStr">
        <is>
          <t>94, 168, 260, 183</t>
        </is>
      </c>
      <c r="J230" s="5" t="inlineStr">
        <is>
          <t>question</t>
        </is>
      </c>
      <c r="K230" s="5" t="inlineStr">
        <is>
          <t>O16.animals</t>
        </is>
      </c>
      <c r="L230" s="5">
        <f> O16.animals[2].name</f>
        <v/>
      </c>
      <c r="M230" s="5" t="inlineStr">
        <is>
          <t>O16 and animals.length &gt; 2</t>
        </is>
      </c>
      <c r="N230" s="5" t="inlineStr"/>
      <c r="O230" s="5" t="inlineStr"/>
    </row>
    <row r="231">
      <c r="A231" s="5" t="n">
        <v>230</v>
      </c>
      <c r="B231" s="5" t="n">
        <v>9</v>
      </c>
      <c r="C231" s="5" t="inlineStr">
        <is>
          <t>16a(3)</t>
        </is>
      </c>
      <c r="D231" s="5" t="inlineStr">
        <is>
          <t>Type of animal</t>
        </is>
      </c>
      <c r="E231" s="5" t="inlineStr">
        <is>
          <t>DV-100[0].Page9[0].List16[0].Li1[0].List[0].Li3[0].TextField1[0]</t>
        </is>
      </c>
      <c r="F231" s="5" t="inlineStr">
        <is>
          <t>text</t>
        </is>
      </c>
      <c r="G231" s="5" t="inlineStr"/>
      <c r="H231" s="5" t="inlineStr"/>
      <c r="I231" s="5" t="inlineStr">
        <is>
          <t>266, 168, 365, 183</t>
        </is>
      </c>
      <c r="J231" s="5" t="inlineStr">
        <is>
          <t>question</t>
        </is>
      </c>
      <c r="K231" s="5" t="inlineStr">
        <is>
          <t>O16.animals</t>
        </is>
      </c>
      <c r="L231" s="5">
        <f> O16.animals[2].type</f>
        <v/>
      </c>
      <c r="M231" s="5" t="inlineStr">
        <is>
          <t>O16 and animals.length &gt; 2</t>
        </is>
      </c>
      <c r="N231" s="5" t="inlineStr"/>
      <c r="O231" s="5" t="inlineStr"/>
    </row>
    <row r="232">
      <c r="A232" s="5" t="n">
        <v>231</v>
      </c>
      <c r="B232" s="5" t="n">
        <v>9</v>
      </c>
      <c r="C232" s="5" t="inlineStr">
        <is>
          <t>16a(3)</t>
        </is>
      </c>
      <c r="D232" s="5" t="inlineStr">
        <is>
          <t>Breed (if known)</t>
        </is>
      </c>
      <c r="E232" s="5" t="inlineStr">
        <is>
          <t>DV-100[0].Page9[0].List16[0].Li1[0].List[0].Li3[0].TextField2[0]</t>
        </is>
      </c>
      <c r="F232" s="5" t="inlineStr">
        <is>
          <t>text</t>
        </is>
      </c>
      <c r="G232" s="5" t="inlineStr"/>
      <c r="H232" s="5" t="inlineStr"/>
      <c r="I232" s="5" t="inlineStr">
        <is>
          <t>370, 168, 469, 183</t>
        </is>
      </c>
      <c r="J232" s="5" t="inlineStr">
        <is>
          <t>question</t>
        </is>
      </c>
      <c r="K232" s="5" t="inlineStr">
        <is>
          <t>O16.animals</t>
        </is>
      </c>
      <c r="L232" s="5">
        <f> O16.animals[2].breed</f>
        <v/>
      </c>
      <c r="M232" s="5" t="inlineStr">
        <is>
          <t>O16 and animals.length &gt; 2</t>
        </is>
      </c>
      <c r="N232" s="5" t="inlineStr"/>
      <c r="O232" s="5" t="inlineStr"/>
    </row>
    <row r="233">
      <c r="A233" s="5" t="n">
        <v>232</v>
      </c>
      <c r="B233" s="5" t="n">
        <v>9</v>
      </c>
      <c r="C233" s="5" t="inlineStr">
        <is>
          <t>16a(3)</t>
        </is>
      </c>
      <c r="D233" s="5" t="inlineStr">
        <is>
          <t>Color</t>
        </is>
      </c>
      <c r="E233" s="5" t="inlineStr">
        <is>
          <t>DV-100[0].Page9[0].List16[0].Li1[0].List[0].Li3[0].TextField3[0]</t>
        </is>
      </c>
      <c r="F233" s="5" t="inlineStr">
        <is>
          <t>text</t>
        </is>
      </c>
      <c r="G233" s="5" t="inlineStr"/>
      <c r="H233" s="5" t="inlineStr"/>
      <c r="I233" s="5" t="inlineStr">
        <is>
          <t>474, 168, 573, 183</t>
        </is>
      </c>
      <c r="J233" s="5" t="inlineStr">
        <is>
          <t>question</t>
        </is>
      </c>
      <c r="K233" s="5" t="inlineStr">
        <is>
          <t>O16.animals</t>
        </is>
      </c>
      <c r="L233" s="5">
        <f> O16.animals[2].color</f>
        <v/>
      </c>
      <c r="M233" s="5" t="inlineStr">
        <is>
          <t>O16 and animals.length &gt; 2</t>
        </is>
      </c>
      <c r="N233" s="5" t="inlineStr"/>
      <c r="O233" s="5" t="inlineStr"/>
    </row>
    <row r="234">
      <c r="A234" s="5" t="n">
        <v>233</v>
      </c>
      <c r="B234" s="5" t="n">
        <v>9</v>
      </c>
      <c r="C234" s="5" t="inlineStr">
        <is>
          <t>16a(4)</t>
        </is>
      </c>
      <c r="D234" s="5" t="inlineStr">
        <is>
          <t>Name (or other way to ID animal)</t>
        </is>
      </c>
      <c r="E234" s="5" t="inlineStr">
        <is>
          <t>DV-100[0].Page9[0].List16[0].Li1[0].List[0].Li4[0].TextField[0]</t>
        </is>
      </c>
      <c r="F234" s="5" t="inlineStr">
        <is>
          <t>text</t>
        </is>
      </c>
      <c r="G234" s="5" t="inlineStr"/>
      <c r="H234" s="5" t="inlineStr"/>
      <c r="I234" s="5" t="inlineStr">
        <is>
          <t>94, 183, 260, 198</t>
        </is>
      </c>
      <c r="J234" s="5" t="inlineStr">
        <is>
          <t>question</t>
        </is>
      </c>
      <c r="K234" s="5" t="inlineStr">
        <is>
          <t>O16.animals</t>
        </is>
      </c>
      <c r="L234" s="5">
        <f> O16.animals[3].name</f>
        <v/>
      </c>
      <c r="M234" s="5" t="inlineStr">
        <is>
          <t>O16 and animals.length &gt; 3</t>
        </is>
      </c>
      <c r="N234" s="5" t="inlineStr">
        <is>
          <t>More than 4: there is no overflow box on the form.</t>
        </is>
      </c>
      <c r="O234" s="5" t="inlineStr"/>
    </row>
    <row r="235">
      <c r="A235" s="5" t="n">
        <v>234</v>
      </c>
      <c r="B235" s="5" t="n">
        <v>9</v>
      </c>
      <c r="C235" s="5" t="inlineStr">
        <is>
          <t>16a(4)</t>
        </is>
      </c>
      <c r="D235" s="5" t="inlineStr">
        <is>
          <t>Type of animal</t>
        </is>
      </c>
      <c r="E235" s="5" t="inlineStr">
        <is>
          <t>DV-100[0].Page9[0].List16[0].Li1[0].List[0].Li4[0].TextField1[0]</t>
        </is>
      </c>
      <c r="F235" s="5" t="inlineStr">
        <is>
          <t>text</t>
        </is>
      </c>
      <c r="G235" s="5" t="inlineStr"/>
      <c r="H235" s="5" t="inlineStr"/>
      <c r="I235" s="5" t="inlineStr">
        <is>
          <t>266, 183, 365, 198</t>
        </is>
      </c>
      <c r="J235" s="5" t="inlineStr">
        <is>
          <t>question</t>
        </is>
      </c>
      <c r="K235" s="5" t="inlineStr">
        <is>
          <t>O16.animals</t>
        </is>
      </c>
      <c r="L235" s="5">
        <f> O16.animals[3].type</f>
        <v/>
      </c>
      <c r="M235" s="5" t="inlineStr">
        <is>
          <t>O16 and animals.length &gt; 3</t>
        </is>
      </c>
      <c r="N235" s="5" t="inlineStr"/>
      <c r="O235" s="5" t="inlineStr"/>
    </row>
    <row r="236">
      <c r="A236" s="5" t="n">
        <v>235</v>
      </c>
      <c r="B236" s="5" t="n">
        <v>9</v>
      </c>
      <c r="C236" s="5" t="inlineStr">
        <is>
          <t>16a(4)</t>
        </is>
      </c>
      <c r="D236" s="5" t="inlineStr">
        <is>
          <t>Breed (if known)</t>
        </is>
      </c>
      <c r="E236" s="5" t="inlineStr">
        <is>
          <t>DV-100[0].Page9[0].List16[0].Li1[0].List[0].Li4[0].TextField2[0]</t>
        </is>
      </c>
      <c r="F236" s="5" t="inlineStr">
        <is>
          <t>text</t>
        </is>
      </c>
      <c r="G236" s="5" t="inlineStr"/>
      <c r="H236" s="5" t="inlineStr"/>
      <c r="I236" s="5" t="inlineStr">
        <is>
          <t>370, 183, 469, 198</t>
        </is>
      </c>
      <c r="J236" s="5" t="inlineStr">
        <is>
          <t>question</t>
        </is>
      </c>
      <c r="K236" s="5" t="inlineStr">
        <is>
          <t>O16.animals</t>
        </is>
      </c>
      <c r="L236" s="5">
        <f> O16.animals[3].breed</f>
        <v/>
      </c>
      <c r="M236" s="5" t="inlineStr">
        <is>
          <t>O16 and animals.length &gt; 3</t>
        </is>
      </c>
      <c r="N236" s="5" t="inlineStr"/>
      <c r="O236" s="5" t="inlineStr"/>
    </row>
    <row r="237">
      <c r="A237" s="5" t="n">
        <v>236</v>
      </c>
      <c r="B237" s="5" t="n">
        <v>9</v>
      </c>
      <c r="C237" s="5" t="inlineStr">
        <is>
          <t>16a(4)</t>
        </is>
      </c>
      <c r="D237" s="5" t="inlineStr">
        <is>
          <t>Color</t>
        </is>
      </c>
      <c r="E237" s="5" t="inlineStr">
        <is>
          <t>DV-100[0].Page9[0].List16[0].Li1[0].List[0].Li4[0].TextField3[0]</t>
        </is>
      </c>
      <c r="F237" s="5" t="inlineStr">
        <is>
          <t>text</t>
        </is>
      </c>
      <c r="G237" s="5" t="inlineStr"/>
      <c r="H237" s="5" t="inlineStr"/>
      <c r="I237" s="5" t="inlineStr">
        <is>
          <t>474, 183, 573, 198</t>
        </is>
      </c>
      <c r="J237" s="5" t="inlineStr">
        <is>
          <t>question</t>
        </is>
      </c>
      <c r="K237" s="5" t="inlineStr">
        <is>
          <t>O16.animals</t>
        </is>
      </c>
      <c r="L237" s="5">
        <f> O16.animals[3].color</f>
        <v/>
      </c>
      <c r="M237" s="5" t="inlineStr">
        <is>
          <t>O16 and animals.length &gt; 3</t>
        </is>
      </c>
      <c r="N237" s="5" t="inlineStr"/>
      <c r="O237" s="5" t="inlineStr"/>
    </row>
    <row r="238">
      <c r="A238" s="5" t="n">
        <v>237</v>
      </c>
      <c r="B238" s="5" t="n">
        <v>9</v>
      </c>
      <c r="C238" s="5" t="inlineStr">
        <is>
          <t>16b(1)</t>
        </is>
      </c>
      <c r="D238" s="5" t="inlineStr">
        <is>
          <t>Stay away from the animals by at least:</t>
        </is>
      </c>
      <c r="E238" s="5" t="inlineStr">
        <is>
          <t>DV-100[0].Page9[0].List16[0].Li2[0].List[0].Li1[0].CheckBoxRightCaption[0]</t>
        </is>
      </c>
      <c r="F238" s="5" t="inlineStr">
        <is>
          <t>checkbox</t>
        </is>
      </c>
      <c r="G238" s="5" t="inlineStr">
        <is>
          <t>1</t>
        </is>
      </c>
      <c r="H238" s="5" t="inlineStr"/>
      <c r="I238" s="5" t="inlineStr">
        <is>
          <t>98, 254, 107, 263</t>
        </is>
      </c>
      <c r="J238" s="5" t="inlineStr">
        <is>
          <t>question</t>
        </is>
      </c>
      <c r="K238" s="5" t="inlineStr">
        <is>
          <t>O16.stayAway</t>
        </is>
      </c>
      <c r="L238" s="5" t="inlineStr">
        <is>
          <t>check if O16.stayAway</t>
        </is>
      </c>
      <c r="M238" s="5" t="inlineStr">
        <is>
          <t>O16</t>
        </is>
      </c>
      <c r="N238" s="5" t="inlineStr"/>
      <c r="O238" s="5" t="inlineStr"/>
    </row>
    <row r="239">
      <c r="A239" s="5" t="n">
        <v>238</v>
      </c>
      <c r="B239" s="5" t="n">
        <v>9</v>
      </c>
      <c r="C239" s="5" t="inlineStr">
        <is>
          <t>16b(1)</t>
        </is>
      </c>
      <c r="D239" s="5" t="inlineStr">
        <is>
          <t>100 yards (300 feet)</t>
        </is>
      </c>
      <c r="E239" s="5" t="inlineStr">
        <is>
          <t>DV-100[0].Page9[0].List16[0].Li2[0].List[0].Li1[0].YesNo16b1_cb[0]</t>
        </is>
      </c>
      <c r="F239" s="5" t="inlineStr">
        <is>
          <t>checkbox</t>
        </is>
      </c>
      <c r="G239" s="5" t="inlineStr">
        <is>
          <t>1</t>
        </is>
      </c>
      <c r="H239" s="5" t="inlineStr"/>
      <c r="I239" s="5" t="inlineStr">
        <is>
          <t>292, 255, 301, 264</t>
        </is>
      </c>
      <c r="J239" s="5" t="inlineStr">
        <is>
          <t>question</t>
        </is>
      </c>
      <c r="K239" s="5" t="inlineStr">
        <is>
          <t>O16.distance</t>
        </is>
      </c>
      <c r="L239" s="5" t="inlineStr">
        <is>
          <t>check if O16.distance == "100 yards"</t>
        </is>
      </c>
      <c r="M239" s="5" t="inlineStr">
        <is>
          <t>O16.stayAway</t>
        </is>
      </c>
      <c r="N239" s="5" t="inlineStr"/>
      <c r="O239" s="5" t="inlineStr"/>
    </row>
    <row r="240">
      <c r="A240" s="5" t="n">
        <v>239</v>
      </c>
      <c r="B240" s="5" t="n">
        <v>9</v>
      </c>
      <c r="C240" s="5" t="inlineStr">
        <is>
          <t>16b(1)</t>
        </is>
      </c>
      <c r="D240" s="5" t="inlineStr">
        <is>
          <t>Other (number of yards):</t>
        </is>
      </c>
      <c r="E240" s="5" t="inlineStr">
        <is>
          <t>DV-100[0].Page9[0].List16[0].Li2[0].List[0].Li1[0].YesNo16b1_cb[1]</t>
        </is>
      </c>
      <c r="F240" s="5" t="inlineStr">
        <is>
          <t>checkbox</t>
        </is>
      </c>
      <c r="G240" s="5" t="inlineStr">
        <is>
          <t>11</t>
        </is>
      </c>
      <c r="H240" s="5" t="inlineStr"/>
      <c r="I240" s="5" t="inlineStr">
        <is>
          <t>408, 255, 417, 264</t>
        </is>
      </c>
      <c r="J240" s="5" t="inlineStr">
        <is>
          <t>question</t>
        </is>
      </c>
      <c r="K240" s="5" t="inlineStr">
        <is>
          <t>O16.distance</t>
        </is>
      </c>
      <c r="L240" s="5" t="inlineStr">
        <is>
          <t>check if O16.distance == "other"</t>
        </is>
      </c>
      <c r="M240" s="5" t="inlineStr">
        <is>
          <t>O16.stayAway</t>
        </is>
      </c>
      <c r="N240" s="5" t="inlineStr">
        <is>
          <t>Export value 11.</t>
        </is>
      </c>
      <c r="O240" s="5" t="inlineStr"/>
    </row>
    <row r="241">
      <c r="A241" s="5" t="n">
        <v>240</v>
      </c>
      <c r="B241" s="5" t="n">
        <v>9</v>
      </c>
      <c r="C241" s="5" t="inlineStr">
        <is>
          <t>16b(1)</t>
        </is>
      </c>
      <c r="D241" s="5" t="inlineStr">
        <is>
          <t>Other (give distance in yards):</t>
        </is>
      </c>
      <c r="E241" s="5" t="inlineStr">
        <is>
          <t>DV-100[0].Page9[0].List16[0].Li2[0].List[0].Li1[0].TextField[0]</t>
        </is>
      </c>
      <c r="F241" s="5" t="inlineStr">
        <is>
          <t>text</t>
        </is>
      </c>
      <c r="G241" s="5" t="inlineStr"/>
      <c r="H241" s="5" t="inlineStr"/>
      <c r="I241" s="5" t="inlineStr">
        <is>
          <t>537, 253, 576, 265</t>
        </is>
      </c>
      <c r="J241" s="5" t="inlineStr">
        <is>
          <t>question</t>
        </is>
      </c>
      <c r="K241" s="5" t="inlineStr">
        <is>
          <t>O16.distance</t>
        </is>
      </c>
      <c r="L241" s="5">
        <f> O16.distanceYards</f>
        <v/>
      </c>
      <c r="M241" s="5" t="inlineStr">
        <is>
          <t>O16.distance == "other"</t>
        </is>
      </c>
      <c r="N241" s="5" t="inlineStr"/>
      <c r="O241" s="5" t="inlineStr"/>
    </row>
    <row r="242">
      <c r="A242" s="5" t="n">
        <v>241</v>
      </c>
      <c r="B242" s="5" t="n">
        <v>9</v>
      </c>
      <c r="C242" s="5" t="inlineStr">
        <is>
          <t>16b(2)</t>
        </is>
      </c>
      <c r="D242" s="5" t="inlineStr">
        <is>
          <t>Not take, sell, hide, molest, attack, strike, threaten, harm, get rid of, transfer, or borrow against the animals.</t>
        </is>
      </c>
      <c r="E242" s="5" t="inlineStr">
        <is>
          <t>DV-100[0].Page9[0].List16[0].Li2[0].List[0].Li2[0].MultilineCheckBox[0]</t>
        </is>
      </c>
      <c r="F242" s="5" t="inlineStr">
        <is>
          <t>checkbox</t>
        </is>
      </c>
      <c r="G242" s="5" t="inlineStr">
        <is>
          <t>1</t>
        </is>
      </c>
      <c r="H242" s="5" t="inlineStr"/>
      <c r="I242" s="5" t="inlineStr">
        <is>
          <t>98, 277, 107, 286</t>
        </is>
      </c>
      <c r="J242" s="5" t="inlineStr">
        <is>
          <t>question</t>
        </is>
      </c>
      <c r="K242" s="5" t="inlineStr">
        <is>
          <t>O16.noHarm</t>
        </is>
      </c>
      <c r="L242" s="5" t="inlineStr">
        <is>
          <t>check if O16.noHarm</t>
        </is>
      </c>
      <c r="M242" s="5" t="inlineStr">
        <is>
          <t>O16</t>
        </is>
      </c>
      <c r="N242" s="5" t="inlineStr"/>
      <c r="O242" s="5" t="inlineStr"/>
    </row>
    <row r="243">
      <c r="A243" s="5" t="n">
        <v>242</v>
      </c>
      <c r="B243" s="5" t="n">
        <v>9</v>
      </c>
      <c r="C243" s="5" t="inlineStr">
        <is>
          <t>16b(3)</t>
        </is>
      </c>
      <c r="D243" s="5" t="inlineStr">
        <is>
          <t>Give me sole possession, care, and control of the animals because (check all that apply):</t>
        </is>
      </c>
      <c r="E243" s="5" t="inlineStr">
        <is>
          <t>DV-100[0].Page9[0].List16[0].Li2[0].List[0].Li3[0].CheckBoxRightCaption1[0]</t>
        </is>
      </c>
      <c r="F243" s="5" t="inlineStr">
        <is>
          <t>checkbox</t>
        </is>
      </c>
      <c r="G243" s="5" t="inlineStr">
        <is>
          <t>1</t>
        </is>
      </c>
      <c r="H243" s="5" t="inlineStr"/>
      <c r="I243" s="5" t="inlineStr">
        <is>
          <t>98, 308, 107, 317</t>
        </is>
      </c>
      <c r="J243" s="5" t="inlineStr">
        <is>
          <t>question</t>
        </is>
      </c>
      <c r="K243" s="5" t="inlineStr">
        <is>
          <t>O16.soleCare</t>
        </is>
      </c>
      <c r="L243" s="5" t="inlineStr">
        <is>
          <t>check if O16.soleCare</t>
        </is>
      </c>
      <c r="M243" s="5" t="inlineStr">
        <is>
          <t>O16</t>
        </is>
      </c>
      <c r="N243" s="5" t="inlineStr"/>
      <c r="O243" s="5" t="inlineStr"/>
    </row>
    <row r="244">
      <c r="A244" s="5" t="n">
        <v>243</v>
      </c>
      <c r="B244" s="5" t="n">
        <v>9</v>
      </c>
      <c r="C244" s="5" t="inlineStr">
        <is>
          <t>16b(3)</t>
        </is>
      </c>
      <c r="D244" s="5" t="inlineStr">
        <is>
          <t>Person in 2 abuses the animals.</t>
        </is>
      </c>
      <c r="E244" s="5" t="inlineStr">
        <is>
          <t>DV-100[0].Page9[0].List16[0].Li2[0].List[0].Li3[0].CheckBoxRightCaption2[0]</t>
        </is>
      </c>
      <c r="F244" s="5" t="inlineStr">
        <is>
          <t>checkbox</t>
        </is>
      </c>
      <c r="G244" s="5" t="inlineStr">
        <is>
          <t>1</t>
        </is>
      </c>
      <c r="H244" s="5" t="inlineStr"/>
      <c r="I244" s="5" t="inlineStr">
        <is>
          <t>110, 324, 119, 333</t>
        </is>
      </c>
      <c r="J244" s="5" t="inlineStr">
        <is>
          <t>question</t>
        </is>
      </c>
      <c r="K244" s="5" t="inlineStr">
        <is>
          <t>O16.soleCareWhy</t>
        </is>
      </c>
      <c r="L244" s="5" t="inlineStr">
        <is>
          <t>check if O16.soleCareWhy has "they abuse the animals"</t>
        </is>
      </c>
      <c r="M244" s="5" t="inlineStr">
        <is>
          <t>O16.soleCare</t>
        </is>
      </c>
      <c r="N244" s="5" t="inlineStr"/>
      <c r="O244" s="5" t="inlineStr"/>
    </row>
    <row r="245">
      <c r="A245" s="5" t="n">
        <v>244</v>
      </c>
      <c r="B245" s="5" t="n">
        <v>9</v>
      </c>
      <c r="C245" s="5" t="inlineStr">
        <is>
          <t>16b(3)</t>
        </is>
      </c>
      <c r="D245" s="5" t="inlineStr">
        <is>
          <t>I take care of these animals.</t>
        </is>
      </c>
      <c r="E245" s="5" t="inlineStr">
        <is>
          <t>DV-100[0].Page9[0].List16[0].Li2[0].List[0].Li3[0].CheckBoxRightCaption3[0]</t>
        </is>
      </c>
      <c r="F245" s="5" t="inlineStr">
        <is>
          <t>checkbox</t>
        </is>
      </c>
      <c r="G245" s="5" t="inlineStr">
        <is>
          <t>1</t>
        </is>
      </c>
      <c r="H245" s="5" t="inlineStr"/>
      <c r="I245" s="5" t="inlineStr">
        <is>
          <t>286, 325, 295, 334</t>
        </is>
      </c>
      <c r="J245" s="5" t="inlineStr">
        <is>
          <t>question</t>
        </is>
      </c>
      <c r="K245" s="5" t="inlineStr">
        <is>
          <t>O16.soleCareWhy</t>
        </is>
      </c>
      <c r="L245" s="5" t="inlineStr">
        <is>
          <t>check if O16.soleCareWhy has "I care for them"</t>
        </is>
      </c>
      <c r="M245" s="5" t="inlineStr">
        <is>
          <t>O16.soleCare</t>
        </is>
      </c>
      <c r="N245" s="5" t="inlineStr"/>
      <c r="O245" s="5" t="inlineStr"/>
    </row>
    <row r="246">
      <c r="A246" s="5" t="n">
        <v>245</v>
      </c>
      <c r="B246" s="5" t="n">
        <v>9</v>
      </c>
      <c r="C246" s="5" t="inlineStr">
        <is>
          <t>16b(3)</t>
        </is>
      </c>
      <c r="D246" s="5" t="inlineStr">
        <is>
          <t>I purchased these animals.</t>
        </is>
      </c>
      <c r="E246" s="5" t="inlineStr">
        <is>
          <t>DV-100[0].Page9[0].List16[0].Li2[0].List[0].Li3[0].CheckBoxRightCaption4[0]</t>
        </is>
      </c>
      <c r="F246" s="5" t="inlineStr">
        <is>
          <t>checkbox</t>
        </is>
      </c>
      <c r="G246" s="5" t="inlineStr">
        <is>
          <t>1</t>
        </is>
      </c>
      <c r="H246" s="5" t="inlineStr"/>
      <c r="I246" s="5" t="inlineStr">
        <is>
          <t>110, 338, 119, 347</t>
        </is>
      </c>
      <c r="J246" s="5" t="inlineStr">
        <is>
          <t>question</t>
        </is>
      </c>
      <c r="K246" s="5" t="inlineStr">
        <is>
          <t>O16.soleCareWhy</t>
        </is>
      </c>
      <c r="L246" s="5" t="inlineStr">
        <is>
          <t>check if O16.soleCareWhy has "I bought them"</t>
        </is>
      </c>
      <c r="M246" s="5" t="inlineStr">
        <is>
          <t>O16.soleCare</t>
        </is>
      </c>
      <c r="N246" s="5" t="inlineStr"/>
      <c r="O246" s="5" t="inlineStr"/>
    </row>
    <row r="247">
      <c r="A247" s="5" t="n">
        <v>246</v>
      </c>
      <c r="B247" s="5" t="n">
        <v>9</v>
      </c>
      <c r="C247" s="5" t="inlineStr">
        <is>
          <t>16b(3)</t>
        </is>
      </c>
      <c r="D247" s="5" t="inlineStr">
        <is>
          <t>Other (please explain):</t>
        </is>
      </c>
      <c r="E247" s="5" t="inlineStr">
        <is>
          <t>DV-100[0].Page9[0].List16[0].Li2[0].List[0].Li3[0].CheckBoxRightCaption5[0]</t>
        </is>
      </c>
      <c r="F247" s="5" t="inlineStr">
        <is>
          <t>checkbox</t>
        </is>
      </c>
      <c r="G247" s="5" t="inlineStr">
        <is>
          <t>1</t>
        </is>
      </c>
      <c r="H247" s="5" t="inlineStr"/>
      <c r="I247" s="5" t="inlineStr">
        <is>
          <t>286, 338, 295, 347</t>
        </is>
      </c>
      <c r="J247" s="5" t="inlineStr">
        <is>
          <t>question</t>
        </is>
      </c>
      <c r="K247" s="5" t="inlineStr">
        <is>
          <t>O16.soleCareWhy</t>
        </is>
      </c>
      <c r="L247" s="5" t="inlineStr">
        <is>
          <t>check if O16.soleCareWhy has "other"</t>
        </is>
      </c>
      <c r="M247" s="5" t="inlineStr">
        <is>
          <t>O16.soleCare</t>
        </is>
      </c>
      <c r="N247" s="5" t="inlineStr"/>
      <c r="O247" s="5" t="inlineStr"/>
    </row>
    <row r="248">
      <c r="A248" s="5" t="n">
        <v>247</v>
      </c>
      <c r="B248" s="5" t="n">
        <v>9</v>
      </c>
      <c r="C248" s="5" t="inlineStr">
        <is>
          <t>16b(3)</t>
        </is>
      </c>
      <c r="D248" s="5" t="inlineStr">
        <is>
          <t>Other (please explain):</t>
        </is>
      </c>
      <c r="E248" s="5" t="inlineStr">
        <is>
          <t>DV-100[0].Page9[0].List16[0].Li2[0].List[0].Li3[0].TextField1[0]</t>
        </is>
      </c>
      <c r="F248" s="5" t="inlineStr">
        <is>
          <t>text</t>
        </is>
      </c>
      <c r="G248" s="5" t="inlineStr"/>
      <c r="H248" s="5" t="inlineStr"/>
      <c r="I248" s="5" t="inlineStr">
        <is>
          <t>404, 335, 570, 349</t>
        </is>
      </c>
      <c r="J248" s="5" t="inlineStr">
        <is>
          <t>question</t>
        </is>
      </c>
      <c r="K248" s="5" t="inlineStr">
        <is>
          <t>O16.soleCareWhy</t>
        </is>
      </c>
      <c r="L248" s="5">
        <f> O16.soleCareOther [line 1]</f>
        <v/>
      </c>
      <c r="M248" s="5" t="inlineStr">
        <is>
          <t>soleCareWhy has "other"</t>
        </is>
      </c>
      <c r="N248" s="5" t="inlineStr"/>
      <c r="O248" s="5" t="inlineStr"/>
    </row>
    <row r="249">
      <c r="A249" s="5" t="n">
        <v>248</v>
      </c>
      <c r="B249" s="5" t="n">
        <v>9</v>
      </c>
      <c r="C249" s="5" t="inlineStr">
        <is>
          <t>16b(3)</t>
        </is>
      </c>
      <c r="D249" s="5" t="inlineStr">
        <is>
          <t>Other (please explain):</t>
        </is>
      </c>
      <c r="E249" s="5" t="inlineStr">
        <is>
          <t>DV-100[0].Page9[0].List16[0].Li2[0].List[0].Li3[0].TextField2[0]</t>
        </is>
      </c>
      <c r="F249" s="5" t="inlineStr">
        <is>
          <t>text</t>
        </is>
      </c>
      <c r="G249" s="5" t="inlineStr"/>
      <c r="H249" s="5" t="inlineStr"/>
      <c r="I249" s="5" t="inlineStr">
        <is>
          <t>300, 349, 571, 364</t>
        </is>
      </c>
      <c r="J249" s="5" t="inlineStr">
        <is>
          <t>question</t>
        </is>
      </c>
      <c r="K249" s="5" t="inlineStr">
        <is>
          <t>O16.soleCareWhy</t>
        </is>
      </c>
      <c r="L249" s="5">
        <f> O16.soleCareOther [line 2]</f>
        <v/>
      </c>
      <c r="M249" s="5" t="inlineStr">
        <is>
          <t>soleCareWhy has "other"</t>
        </is>
      </c>
      <c r="N249" s="5" t="inlineStr"/>
      <c r="O249" s="5" t="inlineStr"/>
    </row>
    <row r="250">
      <c r="A250" s="5" t="n">
        <v>249</v>
      </c>
      <c r="B250" s="5" t="n">
        <v>9</v>
      </c>
      <c r="C250" s="5" t="inlineStr">
        <is>
          <t>16</t>
        </is>
      </c>
      <c r="D250" s="5" t="inlineStr">
        <is>
          <t>Protect Animals</t>
        </is>
      </c>
      <c r="E250" s="5" t="inlineStr">
        <is>
          <t>DV-100[0].Page9[0].List16[0].CheckBoxRightCaption[0]</t>
        </is>
      </c>
      <c r="F250" s="5" t="inlineStr">
        <is>
          <t>checkbox</t>
        </is>
      </c>
      <c r="G250" s="5" t="inlineStr">
        <is>
          <t>1</t>
        </is>
      </c>
      <c r="H250" s="5" t="inlineStr"/>
      <c r="I250" s="5" t="inlineStr">
        <is>
          <t>61, 83, 70, 92</t>
        </is>
      </c>
      <c r="J250" s="5" t="inlineStr">
        <is>
          <t>question</t>
        </is>
      </c>
      <c r="K250" s="5" t="inlineStr">
        <is>
          <t>O16</t>
        </is>
      </c>
      <c r="L250" s="5" t="inlineStr">
        <is>
          <t>check if O16</t>
        </is>
      </c>
      <c r="M250" s="5" t="inlineStr"/>
      <c r="N250" s="5" t="inlineStr"/>
      <c r="O250" s="5" t="inlineStr"/>
    </row>
    <row r="251">
      <c r="A251" s="5" t="n">
        <v>250</v>
      </c>
      <c r="B251" s="5" t="n">
        <v>9</v>
      </c>
      <c r="C251" s="5" t="inlineStr">
        <is>
          <t>17</t>
        </is>
      </c>
      <c r="D251" s="5" t="inlineStr">
        <is>
          <t>Control of Property</t>
        </is>
      </c>
      <c r="E251" s="5" t="inlineStr">
        <is>
          <t>DV-100[0].Page9[0].List17[0].CtyChildFreed_cb[0]</t>
        </is>
      </c>
      <c r="F251" s="5" t="inlineStr">
        <is>
          <t>checkbox</t>
        </is>
      </c>
      <c r="G251" s="5" t="inlineStr">
        <is>
          <t>1</t>
        </is>
      </c>
      <c r="H251" s="5" t="inlineStr"/>
      <c r="I251" s="5" t="inlineStr">
        <is>
          <t>63, 398, 72, 407</t>
        </is>
      </c>
      <c r="J251" s="5" t="inlineStr">
        <is>
          <t>question</t>
        </is>
      </c>
      <c r="K251" s="5" t="inlineStr">
        <is>
          <t>O17</t>
        </is>
      </c>
      <c r="L251" s="5" t="inlineStr">
        <is>
          <t>check if O17</t>
        </is>
      </c>
      <c r="M251" s="5" t="inlineStr"/>
      <c r="N251" s="5" t="inlineStr"/>
      <c r="O251" s="5" t="inlineStr"/>
    </row>
    <row r="252">
      <c r="A252" s="5" t="n">
        <v>251</v>
      </c>
      <c r="B252" s="5" t="n">
        <v>9</v>
      </c>
      <c r="C252" s="5" t="inlineStr">
        <is>
          <t>17a</t>
        </is>
      </c>
      <c r="D252" s="5" t="inlineStr">
        <is>
          <t>I ask the judge to give only me temporary use, possession, and control of the property listed here (describe):</t>
        </is>
      </c>
      <c r="E252" s="5" t="inlineStr">
        <is>
          <t>DV-100[0].Page9[0].List17[0].Li1[0].item26d_tf[0]</t>
        </is>
      </c>
      <c r="F252" s="5" t="inlineStr">
        <is>
          <t>text</t>
        </is>
      </c>
      <c r="G252" s="5" t="inlineStr"/>
      <c r="H252" s="5" t="inlineStr"/>
      <c r="I252" s="5" t="inlineStr">
        <is>
          <t>78, 430, 576, 456</t>
        </is>
      </c>
      <c r="J252" s="5" t="inlineStr">
        <is>
          <t>question</t>
        </is>
      </c>
      <c r="K252" s="5" t="inlineStr">
        <is>
          <t>O17.property</t>
        </is>
      </c>
      <c r="L252" s="5">
        <f> O17.property</f>
        <v/>
      </c>
      <c r="M252" s="5" t="inlineStr">
        <is>
          <t>O17</t>
        </is>
      </c>
      <c r="N252" s="5" t="inlineStr"/>
      <c r="O252" s="5" t="inlineStr"/>
    </row>
    <row r="253">
      <c r="A253" s="5" t="n">
        <v>252</v>
      </c>
      <c r="B253" s="5" t="n">
        <v>9</v>
      </c>
      <c r="C253" s="5" t="inlineStr">
        <is>
          <t>17b</t>
        </is>
      </c>
      <c r="D253" s="5" t="inlineStr">
        <is>
          <t>Explain why you want control of the property you listed:</t>
        </is>
      </c>
      <c r="E253" s="5" t="inlineStr">
        <is>
          <t>DV-100[0].Page9[0].List17[0].Li2[0].item26d_tf[0]</t>
        </is>
      </c>
      <c r="F253" s="5" t="inlineStr">
        <is>
          <t>text</t>
        </is>
      </c>
      <c r="G253" s="5" t="inlineStr"/>
      <c r="H253" s="5" t="inlineStr"/>
      <c r="I253" s="5" t="inlineStr">
        <is>
          <t>78, 478, 576, 530</t>
        </is>
      </c>
      <c r="J253" s="5" t="inlineStr">
        <is>
          <t>question</t>
        </is>
      </c>
      <c r="K253" s="5" t="inlineStr">
        <is>
          <t>O17.why</t>
        </is>
      </c>
      <c r="L253" s="5">
        <f> O17.why</f>
        <v/>
      </c>
      <c r="M253" s="5" t="inlineStr">
        <is>
          <t>O17</t>
        </is>
      </c>
      <c r="N253" s="5" t="inlineStr"/>
      <c r="O253" s="5" t="inlineStr"/>
    </row>
    <row r="254">
      <c r="A254" s="5" t="n">
        <v>253</v>
      </c>
      <c r="B254" s="5" t="n">
        <v>9</v>
      </c>
      <c r="C254" s="5" t="inlineStr">
        <is>
          <t>18</t>
        </is>
      </c>
      <c r="D254" s="5" t="inlineStr">
        <is>
          <t>Health and Other Insurance</t>
        </is>
      </c>
      <c r="E254" s="5" t="inlineStr">
        <is>
          <t>DV-100[0].Page9[0].List18[0].Li1[0].CtyChildFreed_cb[0]</t>
        </is>
      </c>
      <c r="F254" s="5" t="inlineStr">
        <is>
          <t>checkbox</t>
        </is>
      </c>
      <c r="G254" s="5" t="inlineStr">
        <is>
          <t>1</t>
        </is>
      </c>
      <c r="H254" s="5" t="inlineStr"/>
      <c r="I254" s="5" t="inlineStr">
        <is>
          <t>63, 556, 72, 565</t>
        </is>
      </c>
      <c r="J254" s="5" t="inlineStr">
        <is>
          <t>question</t>
        </is>
      </c>
      <c r="K254" s="5" t="inlineStr">
        <is>
          <t>O18</t>
        </is>
      </c>
      <c r="L254" s="5" t="inlineStr">
        <is>
          <t>check if O18</t>
        </is>
      </c>
      <c r="M254" s="5" t="inlineStr"/>
      <c r="N254" s="5" t="inlineStr"/>
      <c r="O254" s="5" t="inlineStr"/>
    </row>
    <row r="255">
      <c r="A255" s="5" t="n">
        <v>254</v>
      </c>
      <c r="B255" s="5" t="n">
        <v>9</v>
      </c>
      <c r="C255" s="5" t="inlineStr">
        <is>
          <t>19</t>
        </is>
      </c>
      <c r="D255" s="5" t="inlineStr">
        <is>
          <t>Record Communications</t>
        </is>
      </c>
      <c r="E255" s="5" t="inlineStr">
        <is>
          <t>DV-100[0].Page9[0].List19[0].Li1[0].CtyChildFreed_cb[0]</t>
        </is>
      </c>
      <c r="F255" s="5" t="inlineStr">
        <is>
          <t>checkbox</t>
        </is>
      </c>
      <c r="G255" s="5" t="inlineStr">
        <is>
          <t>1</t>
        </is>
      </c>
      <c r="H255" s="5" t="inlineStr"/>
      <c r="I255" s="5" t="inlineStr">
        <is>
          <t>63, 644, 72, 653</t>
        </is>
      </c>
      <c r="J255" s="5" t="inlineStr">
        <is>
          <t>question</t>
        </is>
      </c>
      <c r="K255" s="5" t="inlineStr">
        <is>
          <t>O19</t>
        </is>
      </c>
      <c r="L255" s="5" t="inlineStr">
        <is>
          <t>check if O19</t>
        </is>
      </c>
      <c r="M255" s="5" t="inlineStr"/>
      <c r="N255" s="5" t="inlineStr"/>
      <c r="O255" s="5" t="inlineStr"/>
    </row>
    <row r="256">
      <c r="A256" s="5" t="n">
        <v>255</v>
      </c>
      <c r="B256" s="5" t="n">
        <v>10</v>
      </c>
      <c r="C256" s="5" t="inlineStr">
        <is>
          <t>Caption</t>
        </is>
      </c>
      <c r="D256" s="5" t="inlineStr">
        <is>
          <t>Case Number:</t>
        </is>
      </c>
      <c r="E256" s="5" t="inlineStr">
        <is>
          <t>DV-100[0].Page10[0].PxCaption[0].CaseNumber[0]</t>
        </is>
      </c>
      <c r="F256" s="5" t="inlineStr">
        <is>
          <t>text</t>
        </is>
      </c>
      <c r="G256" s="5" t="inlineStr"/>
      <c r="H256" s="5" t="inlineStr"/>
      <c r="I256" s="5" t="inlineStr">
        <is>
          <t>398, 48, 573, 63</t>
        </is>
      </c>
      <c r="J256" s="5" t="inlineStr">
        <is>
          <t>question</t>
        </is>
      </c>
      <c r="K256" s="5" t="inlineStr">
        <is>
          <t>S3,S4</t>
        </is>
      </c>
      <c r="L256" s="5">
        <f> S4</f>
        <v/>
      </c>
      <c r="M256" s="5" t="inlineStr">
        <is>
          <t>S3 == "update"; otherwise blank for clerk</t>
        </is>
      </c>
      <c r="N256" s="5" t="inlineStr">
        <is>
          <t>Case number box, repeated on every page; fill all 13 when known.</t>
        </is>
      </c>
      <c r="O256" s="5" t="inlineStr"/>
    </row>
    <row r="257">
      <c r="A257" s="5" t="n">
        <v>256</v>
      </c>
      <c r="B257" s="5" t="n">
        <v>10</v>
      </c>
      <c r="C257" s="5" t="inlineStr">
        <is>
          <t>21</t>
        </is>
      </c>
      <c r="D257" s="5" t="inlineStr">
        <is>
          <t>Extend My Deadline to Give Notice to Person in 2</t>
        </is>
      </c>
      <c r="E257" s="5" t="inlineStr">
        <is>
          <t>DV-100[0].Page10[0].List21[0].Li1[0].CtyChildFreed_cb[0]</t>
        </is>
      </c>
      <c r="F257" s="5" t="inlineStr">
        <is>
          <t>checkbox</t>
        </is>
      </c>
      <c r="G257" s="5" t="inlineStr">
        <is>
          <t>1</t>
        </is>
      </c>
      <c r="H257" s="5" t="inlineStr"/>
      <c r="I257" s="5" t="inlineStr">
        <is>
          <t>63, 170, 72, 179</t>
        </is>
      </c>
      <c r="J257" s="5" t="inlineStr">
        <is>
          <t>question</t>
        </is>
      </c>
      <c r="K257" s="5" t="inlineStr">
        <is>
          <t>O21</t>
        </is>
      </c>
      <c r="L257" s="5" t="inlineStr">
        <is>
          <t>check if O21</t>
        </is>
      </c>
      <c r="M257" s="5" t="inlineStr"/>
      <c r="N257" s="5" t="inlineStr"/>
      <c r="O257" s="5" t="inlineStr"/>
    </row>
    <row r="258">
      <c r="A258" s="5" t="n">
        <v>257</v>
      </c>
      <c r="B258" s="5" t="n">
        <v>10</v>
      </c>
      <c r="C258" s="5" t="inlineStr">
        <is>
          <t>21</t>
        </is>
      </c>
      <c r="D258" s="5" t="inlineStr">
        <is>
          <t>I ask the judge to give me more time to serve the person in 2 because (explain why you need more time):</t>
        </is>
      </c>
      <c r="E258" s="5" t="inlineStr">
        <is>
          <t>DV-100[0].Page10[0].List21[0].Li1[0].item26d_tf[0]</t>
        </is>
      </c>
      <c r="F258" s="5" t="inlineStr">
        <is>
          <t>text</t>
        </is>
      </c>
      <c r="G258" s="5" t="inlineStr"/>
      <c r="H258" s="5" t="inlineStr"/>
      <c r="I258" s="5" t="inlineStr">
        <is>
          <t>63, 230, 570, 242</t>
        </is>
      </c>
      <c r="J258" s="5" t="inlineStr">
        <is>
          <t>question</t>
        </is>
      </c>
      <c r="K258" s="5" t="inlineStr">
        <is>
          <t>O21.why</t>
        </is>
      </c>
      <c r="L258" s="5">
        <f> O21.why</f>
        <v/>
      </c>
      <c r="M258" s="5" t="inlineStr">
        <is>
          <t>O21</t>
        </is>
      </c>
      <c r="N258" s="5" t="inlineStr"/>
      <c r="O258" s="5" t="inlineStr"/>
    </row>
    <row r="259">
      <c r="A259" s="5" t="n">
        <v>258</v>
      </c>
      <c r="B259" s="5" t="n">
        <v>10</v>
      </c>
      <c r="C259" s="5" t="inlineStr">
        <is>
          <t>20</t>
        </is>
      </c>
      <c r="D259" s="5" t="inlineStr">
        <is>
          <t>Property Restraint (only if you are married or a registered domestic partner with the person in 2.)</t>
        </is>
      </c>
      <c r="E259" s="5" t="inlineStr">
        <is>
          <t>DV-100[0].Page10[0].List20[0].Li1[0].CheckBoxRightCaption[0]</t>
        </is>
      </c>
      <c r="F259" s="5" t="inlineStr">
        <is>
          <t>checkbox</t>
        </is>
      </c>
      <c r="G259" s="5" t="inlineStr">
        <is>
          <t>1</t>
        </is>
      </c>
      <c r="H259" s="5" t="inlineStr"/>
      <c r="I259" s="5" t="inlineStr">
        <is>
          <t>63, 82, 72, 91</t>
        </is>
      </c>
      <c r="J259" s="5" t="inlineStr">
        <is>
          <t>question</t>
        </is>
      </c>
      <c r="K259" s="5" t="inlineStr">
        <is>
          <t>O20</t>
        </is>
      </c>
      <c r="L259" s="5" t="inlineStr">
        <is>
          <t>check if O20</t>
        </is>
      </c>
      <c r="M259" s="5" t="inlineStr">
        <is>
          <t>MARRIED</t>
        </is>
      </c>
      <c r="N259" s="5" t="inlineStr"/>
      <c r="O259" s="5" t="inlineStr"/>
    </row>
    <row r="260">
      <c r="A260" s="5" t="n">
        <v>259</v>
      </c>
      <c r="B260" s="5" t="n">
        <v>10</v>
      </c>
      <c r="C260" s="5" t="inlineStr">
        <is>
          <t>22</t>
        </is>
      </c>
      <c r="D260" s="5" t="inlineStr">
        <is>
          <t>Pay Debts (Bills) Owed for Property</t>
        </is>
      </c>
      <c r="E260" s="5" t="inlineStr">
        <is>
          <t>DV-100[0].Page10[0].List22[0].CheckBoxRightCaption[0]</t>
        </is>
      </c>
      <c r="F260" s="5" t="inlineStr">
        <is>
          <t>checkbox</t>
        </is>
      </c>
      <c r="G260" s="5" t="inlineStr">
        <is>
          <t>1</t>
        </is>
      </c>
      <c r="H260" s="5" t="inlineStr"/>
      <c r="I260" s="5" t="inlineStr">
        <is>
          <t>63, 272, 72, 281</t>
        </is>
      </c>
      <c r="J260" s="5" t="inlineStr">
        <is>
          <t>question</t>
        </is>
      </c>
      <c r="K260" s="5" t="inlineStr">
        <is>
          <t>O22</t>
        </is>
      </c>
      <c r="L260" s="5" t="inlineStr">
        <is>
          <t>check if O22</t>
        </is>
      </c>
      <c r="M260" s="5" t="inlineStr"/>
      <c r="N260" s="5" t="inlineStr"/>
      <c r="O260" s="5" t="inlineStr"/>
    </row>
    <row r="261">
      <c r="A261" s="5" t="n">
        <v>260</v>
      </c>
      <c r="B261" s="5" t="n">
        <v>10</v>
      </c>
      <c r="C261" s="5" t="inlineStr">
        <is>
          <t>22a(1)</t>
        </is>
      </c>
      <c r="D261" s="5" t="inlineStr">
        <is>
          <t>Pay to:</t>
        </is>
      </c>
      <c r="E261" s="5" t="inlineStr">
        <is>
          <t>DV-100[0].Page10[0].List22[0].Li1[0].List[0].Li1[0].TextField[0]</t>
        </is>
      </c>
      <c r="F261" s="5" t="inlineStr">
        <is>
          <t>text</t>
        </is>
      </c>
      <c r="G261" s="5" t="inlineStr"/>
      <c r="H261" s="5" t="inlineStr"/>
      <c r="I261" s="5" t="inlineStr">
        <is>
          <t>131, 340, 253, 352</t>
        </is>
      </c>
      <c r="J261" s="5" t="inlineStr">
        <is>
          <t>question</t>
        </is>
      </c>
      <c r="K261" s="5" t="inlineStr">
        <is>
          <t>O22.debts</t>
        </is>
      </c>
      <c r="L261" s="5">
        <f> O22.debts[0].payTo</f>
        <v/>
      </c>
      <c r="M261" s="5" t="inlineStr">
        <is>
          <t>O22 and debts.length &gt; 0</t>
        </is>
      </c>
      <c r="N261" s="5" t="inlineStr"/>
      <c r="O261" s="5" t="inlineStr"/>
    </row>
    <row r="262">
      <c r="A262" s="5" t="n">
        <v>261</v>
      </c>
      <c r="B262" s="5" t="n">
        <v>10</v>
      </c>
      <c r="C262" s="5" t="inlineStr">
        <is>
          <t>22a(1)</t>
        </is>
      </c>
      <c r="D262" s="5" t="inlineStr">
        <is>
          <t>For:</t>
        </is>
      </c>
      <c r="E262" s="5" t="inlineStr">
        <is>
          <t>DV-100[0].Page10[0].List22[0].Li1[0].List[0].Li1[0].TextField2[0]</t>
        </is>
      </c>
      <c r="F262" s="5" t="inlineStr">
        <is>
          <t>text</t>
        </is>
      </c>
      <c r="G262" s="5" t="inlineStr"/>
      <c r="H262" s="5" t="inlineStr"/>
      <c r="I262" s="5" t="inlineStr">
        <is>
          <t>275, 340, 364, 352</t>
        </is>
      </c>
      <c r="J262" s="5" t="inlineStr">
        <is>
          <t>question</t>
        </is>
      </c>
      <c r="K262" s="5" t="inlineStr">
        <is>
          <t>O22.debts</t>
        </is>
      </c>
      <c r="L262" s="5">
        <f> O22.debts[0].for</f>
        <v/>
      </c>
      <c r="M262" s="5" t="inlineStr">
        <is>
          <t>O22 and debts.length &gt; 0</t>
        </is>
      </c>
      <c r="N262" s="5" t="inlineStr"/>
      <c r="O262" s="5" t="inlineStr"/>
    </row>
    <row r="263">
      <c r="A263" s="5" t="n">
        <v>262</v>
      </c>
      <c r="B263" s="5" t="n">
        <v>10</v>
      </c>
      <c r="C263" s="5" t="inlineStr">
        <is>
          <t>22a(1)</t>
        </is>
      </c>
      <c r="D263" s="5" t="inlineStr">
        <is>
          <t>Amount: $</t>
        </is>
      </c>
      <c r="E263" s="5" t="inlineStr">
        <is>
          <t>DV-100[0].Page10[0].List22[0].Li1[0].List[0].Li1[0].TextField3[0]</t>
        </is>
      </c>
      <c r="F263" s="5" t="inlineStr">
        <is>
          <t>text</t>
        </is>
      </c>
      <c r="G263" s="5" t="inlineStr"/>
      <c r="H263" s="5" t="inlineStr"/>
      <c r="I263" s="5" t="inlineStr">
        <is>
          <t>416, 340, 468, 352</t>
        </is>
      </c>
      <c r="J263" s="5" t="inlineStr">
        <is>
          <t>question</t>
        </is>
      </c>
      <c r="K263" s="5" t="inlineStr">
        <is>
          <t>O22.debts</t>
        </is>
      </c>
      <c r="L263" s="5">
        <f> money(O22.debts[0].amount)</f>
        <v/>
      </c>
      <c r="M263" s="5" t="inlineStr">
        <is>
          <t>O22 and debts.length &gt; 0</t>
        </is>
      </c>
      <c r="N263" s="5" t="inlineStr">
        <is>
          <t>Amount without "$" (pre-printed).</t>
        </is>
      </c>
      <c r="O263" s="5" t="inlineStr"/>
    </row>
    <row r="264">
      <c r="A264" s="5" t="n">
        <v>263</v>
      </c>
      <c r="B264" s="5" t="n">
        <v>10</v>
      </c>
      <c r="C264" s="5" t="inlineStr">
        <is>
          <t>22a(1)</t>
        </is>
      </c>
      <c r="D264" s="5" t="inlineStr">
        <is>
          <t>Due date:</t>
        </is>
      </c>
      <c r="E264" s="5" t="inlineStr">
        <is>
          <t>DV-100[0].Page10[0].List22[0].Li1[0].List[0].Li1[0].DateField1[0]</t>
        </is>
      </c>
      <c r="F264" s="5" t="inlineStr">
        <is>
          <t>text</t>
        </is>
      </c>
      <c r="G264" s="5" t="inlineStr"/>
      <c r="H264" s="5" t="inlineStr"/>
      <c r="I264" s="5" t="inlineStr">
        <is>
          <t>512, 340, 575, 352</t>
        </is>
      </c>
      <c r="J264" s="5" t="inlineStr">
        <is>
          <t>question</t>
        </is>
      </c>
      <c r="K264" s="5" t="inlineStr">
        <is>
          <t>O22.debts</t>
        </is>
      </c>
      <c r="L264" s="5">
        <f> fmtDate(O22.debts[0].due)</f>
        <v/>
      </c>
      <c r="M264" s="5" t="inlineStr">
        <is>
          <t>O22 and debts.length &gt; 0</t>
        </is>
      </c>
      <c r="N264" s="5" t="inlineStr"/>
      <c r="O264" s="5" t="inlineStr"/>
    </row>
    <row r="265">
      <c r="A265" s="5" t="n">
        <v>264</v>
      </c>
      <c r="B265" s="5" t="n">
        <v>10</v>
      </c>
      <c r="C265" s="5" t="inlineStr">
        <is>
          <t>22a(2)</t>
        </is>
      </c>
      <c r="D265" s="5" t="inlineStr">
        <is>
          <t>Pay to:</t>
        </is>
      </c>
      <c r="E265" s="5" t="inlineStr">
        <is>
          <t>DV-100[0].Page10[0].List22[0].Li1[0].List[0].Li2[0].TextField[0]</t>
        </is>
      </c>
      <c r="F265" s="5" t="inlineStr">
        <is>
          <t>text</t>
        </is>
      </c>
      <c r="G265" s="5" t="inlineStr"/>
      <c r="H265" s="5" t="inlineStr"/>
      <c r="I265" s="5" t="inlineStr">
        <is>
          <t>131, 357, 253, 369</t>
        </is>
      </c>
      <c r="J265" s="5" t="inlineStr">
        <is>
          <t>question</t>
        </is>
      </c>
      <c r="K265" s="5" t="inlineStr">
        <is>
          <t>O22.debts</t>
        </is>
      </c>
      <c r="L265" s="5">
        <f> O22.debts[1].payTo</f>
        <v/>
      </c>
      <c r="M265" s="5" t="inlineStr">
        <is>
          <t>O22 and debts.length &gt; 1</t>
        </is>
      </c>
      <c r="N265" s="5" t="inlineStr"/>
      <c r="O265" s="5" t="inlineStr"/>
    </row>
    <row r="266">
      <c r="A266" s="5" t="n">
        <v>265</v>
      </c>
      <c r="B266" s="5" t="n">
        <v>10</v>
      </c>
      <c r="C266" s="5" t="inlineStr">
        <is>
          <t>22a(2)</t>
        </is>
      </c>
      <c r="D266" s="5" t="inlineStr">
        <is>
          <t>For:</t>
        </is>
      </c>
      <c r="E266" s="5" t="inlineStr">
        <is>
          <t>DV-100[0].Page10[0].List22[0].Li1[0].List[0].Li2[0].TextField1[0]</t>
        </is>
      </c>
      <c r="F266" s="5" t="inlineStr">
        <is>
          <t>text</t>
        </is>
      </c>
      <c r="G266" s="5" t="inlineStr"/>
      <c r="H266" s="5" t="inlineStr"/>
      <c r="I266" s="5" t="inlineStr">
        <is>
          <t>275, 357, 364, 369</t>
        </is>
      </c>
      <c r="J266" s="5" t="inlineStr">
        <is>
          <t>question</t>
        </is>
      </c>
      <c r="K266" s="5" t="inlineStr">
        <is>
          <t>O22.debts</t>
        </is>
      </c>
      <c r="L266" s="5">
        <f> O22.debts[1].for</f>
        <v/>
      </c>
      <c r="M266" s="5" t="inlineStr">
        <is>
          <t>O22 and debts.length &gt; 1</t>
        </is>
      </c>
      <c r="N266" s="5" t="inlineStr"/>
      <c r="O266" s="5" t="inlineStr"/>
    </row>
    <row r="267">
      <c r="A267" s="5" t="n">
        <v>266</v>
      </c>
      <c r="B267" s="5" t="n">
        <v>10</v>
      </c>
      <c r="C267" s="5" t="inlineStr">
        <is>
          <t>22a(2)</t>
        </is>
      </c>
      <c r="D267" s="5" t="inlineStr">
        <is>
          <t>Amount: $</t>
        </is>
      </c>
      <c r="E267" s="5" t="inlineStr">
        <is>
          <t>DV-100[0].Page10[0].List22[0].Li1[0].List[0].Li2[0].TextField3[0]</t>
        </is>
      </c>
      <c r="F267" s="5" t="inlineStr">
        <is>
          <t>text</t>
        </is>
      </c>
      <c r="G267" s="5" t="inlineStr"/>
      <c r="H267" s="5" t="inlineStr"/>
      <c r="I267" s="5" t="inlineStr">
        <is>
          <t>416, 357, 468, 369</t>
        </is>
      </c>
      <c r="J267" s="5" t="inlineStr">
        <is>
          <t>question</t>
        </is>
      </c>
      <c r="K267" s="5" t="inlineStr">
        <is>
          <t>O22.debts</t>
        </is>
      </c>
      <c r="L267" s="5">
        <f> money(O22.debts[1].amount)</f>
        <v/>
      </c>
      <c r="M267" s="5" t="inlineStr">
        <is>
          <t>O22 and debts.length &gt; 1</t>
        </is>
      </c>
      <c r="N267" s="5" t="inlineStr"/>
      <c r="O267" s="5" t="inlineStr"/>
    </row>
    <row r="268">
      <c r="A268" s="5" t="n">
        <v>267</v>
      </c>
      <c r="B268" s="5" t="n">
        <v>10</v>
      </c>
      <c r="C268" s="5" t="inlineStr">
        <is>
          <t>22a(2)</t>
        </is>
      </c>
      <c r="D268" s="5" t="inlineStr">
        <is>
          <t>Due date:</t>
        </is>
      </c>
      <c r="E268" s="5" t="inlineStr">
        <is>
          <t>DV-100[0].Page10[0].List22[0].Li1[0].List[0].Li2[0].DateField2[0]</t>
        </is>
      </c>
      <c r="F268" s="5" t="inlineStr">
        <is>
          <t>text</t>
        </is>
      </c>
      <c r="G268" s="5" t="inlineStr"/>
      <c r="H268" s="5" t="inlineStr"/>
      <c r="I268" s="5" t="inlineStr">
        <is>
          <t>513, 357, 575, 369</t>
        </is>
      </c>
      <c r="J268" s="5" t="inlineStr">
        <is>
          <t>question</t>
        </is>
      </c>
      <c r="K268" s="5" t="inlineStr">
        <is>
          <t>O22.debts</t>
        </is>
      </c>
      <c r="L268" s="5">
        <f> fmtDate(O22.debts[1].due)</f>
        <v/>
      </c>
      <c r="M268" s="5" t="inlineStr">
        <is>
          <t>O22 and debts.length &gt; 1</t>
        </is>
      </c>
      <c r="N268" s="5" t="inlineStr"/>
      <c r="O268" s="5" t="inlineStr"/>
    </row>
    <row r="269">
      <c r="A269" s="5" t="n">
        <v>268</v>
      </c>
      <c r="B269" s="5" t="n">
        <v>10</v>
      </c>
      <c r="C269" s="5" t="inlineStr">
        <is>
          <t>22a(3)</t>
        </is>
      </c>
      <c r="D269" s="5" t="inlineStr">
        <is>
          <t>Pay to:</t>
        </is>
      </c>
      <c r="E269" s="5" t="inlineStr">
        <is>
          <t>DV-100[0].Page10[0].List22[0].Li1[0].List[0].Li3[0].TextField[0]</t>
        </is>
      </c>
      <c r="F269" s="5" t="inlineStr">
        <is>
          <t>text</t>
        </is>
      </c>
      <c r="G269" s="5" t="inlineStr"/>
      <c r="H269" s="5" t="inlineStr"/>
      <c r="I269" s="5" t="inlineStr">
        <is>
          <t>131, 375, 253, 387</t>
        </is>
      </c>
      <c r="J269" s="5" t="inlineStr">
        <is>
          <t>question</t>
        </is>
      </c>
      <c r="K269" s="5" t="inlineStr">
        <is>
          <t>O22.debts</t>
        </is>
      </c>
      <c r="L269" s="5">
        <f> O22.debts[2].payTo</f>
        <v/>
      </c>
      <c r="M269" s="5" t="inlineStr">
        <is>
          <t>O22 and debts.length &gt; 2</t>
        </is>
      </c>
      <c r="N269" s="5" t="inlineStr">
        <is>
          <t>More than 3: there is no overflow box on the form.</t>
        </is>
      </c>
      <c r="O269" s="5" t="inlineStr"/>
    </row>
    <row r="270">
      <c r="A270" s="5" t="n">
        <v>269</v>
      </c>
      <c r="B270" s="5" t="n">
        <v>10</v>
      </c>
      <c r="C270" s="5" t="inlineStr">
        <is>
          <t>22a(3)</t>
        </is>
      </c>
      <c r="D270" s="5" t="inlineStr">
        <is>
          <t>For:</t>
        </is>
      </c>
      <c r="E270" s="5" t="inlineStr">
        <is>
          <t>DV-100[0].Page10[0].List22[0].Li1[0].List[0].Li3[0].TextField1[0]</t>
        </is>
      </c>
      <c r="F270" s="5" t="inlineStr">
        <is>
          <t>text</t>
        </is>
      </c>
      <c r="G270" s="5" t="inlineStr"/>
      <c r="H270" s="5" t="inlineStr"/>
      <c r="I270" s="5" t="inlineStr">
        <is>
          <t>275, 375, 364, 387</t>
        </is>
      </c>
      <c r="J270" s="5" t="inlineStr">
        <is>
          <t>question</t>
        </is>
      </c>
      <c r="K270" s="5" t="inlineStr">
        <is>
          <t>O22.debts</t>
        </is>
      </c>
      <c r="L270" s="5">
        <f> O22.debts[2].for</f>
        <v/>
      </c>
      <c r="M270" s="5" t="inlineStr">
        <is>
          <t>O22 and debts.length &gt; 2</t>
        </is>
      </c>
      <c r="N270" s="5" t="inlineStr"/>
      <c r="O270" s="5" t="inlineStr"/>
    </row>
    <row r="271">
      <c r="A271" s="5" t="n">
        <v>270</v>
      </c>
      <c r="B271" s="5" t="n">
        <v>10</v>
      </c>
      <c r="C271" s="5" t="inlineStr">
        <is>
          <t>22a(3)</t>
        </is>
      </c>
      <c r="D271" s="5" t="inlineStr">
        <is>
          <t>Amount: $</t>
        </is>
      </c>
      <c r="E271" s="5" t="inlineStr">
        <is>
          <t>DV-100[0].Page10[0].List22[0].Li1[0].List[0].Li3[0].TextField3[0]</t>
        </is>
      </c>
      <c r="F271" s="5" t="inlineStr">
        <is>
          <t>text</t>
        </is>
      </c>
      <c r="G271" s="5" t="inlineStr"/>
      <c r="H271" s="5" t="inlineStr"/>
      <c r="I271" s="5" t="inlineStr">
        <is>
          <t>416, 375, 468, 387</t>
        </is>
      </c>
      <c r="J271" s="5" t="inlineStr">
        <is>
          <t>question</t>
        </is>
      </c>
      <c r="K271" s="5" t="inlineStr">
        <is>
          <t>O22.debts</t>
        </is>
      </c>
      <c r="L271" s="5">
        <f> money(O22.debts[2].amount)</f>
        <v/>
      </c>
      <c r="M271" s="5" t="inlineStr">
        <is>
          <t>O22 and debts.length &gt; 2</t>
        </is>
      </c>
      <c r="N271" s="5" t="inlineStr"/>
      <c r="O271" s="5" t="inlineStr"/>
    </row>
    <row r="272">
      <c r="A272" s="5" t="n">
        <v>271</v>
      </c>
      <c r="B272" s="5" t="n">
        <v>10</v>
      </c>
      <c r="C272" s="5" t="inlineStr">
        <is>
          <t>22a(3)</t>
        </is>
      </c>
      <c r="D272" s="5" t="inlineStr">
        <is>
          <t>Due date:</t>
        </is>
      </c>
      <c r="E272" s="5" t="inlineStr">
        <is>
          <t>DV-100[0].Page10[0].List22[0].Li1[0].List[0].Li3[0].DateField3[0]</t>
        </is>
      </c>
      <c r="F272" s="5" t="inlineStr">
        <is>
          <t>text</t>
        </is>
      </c>
      <c r="G272" s="5" t="inlineStr"/>
      <c r="H272" s="5" t="inlineStr"/>
      <c r="I272" s="5" t="inlineStr">
        <is>
          <t>513, 375, 575, 387</t>
        </is>
      </c>
      <c r="J272" s="5" t="inlineStr">
        <is>
          <t>question</t>
        </is>
      </c>
      <c r="K272" s="5" t="inlineStr">
        <is>
          <t>O22.debts</t>
        </is>
      </c>
      <c r="L272" s="5">
        <f> fmtDate(O22.debts[2].due)</f>
        <v/>
      </c>
      <c r="M272" s="5" t="inlineStr">
        <is>
          <t>O22 and debts.length &gt; 2</t>
        </is>
      </c>
      <c r="N272" s="5" t="inlineStr"/>
      <c r="O272" s="5" t="inlineStr"/>
    </row>
    <row r="273">
      <c r="A273" s="5" t="n">
        <v>272</v>
      </c>
      <c r="B273" s="5" t="n">
        <v>10</v>
      </c>
      <c r="C273" s="5" t="inlineStr">
        <is>
          <t>22a</t>
        </is>
      </c>
      <c r="D273" s="5" t="inlineStr">
        <is>
          <t>Explain why you want the person in item 2 to pay the debts listed above:</t>
        </is>
      </c>
      <c r="E273" s="5" t="inlineStr">
        <is>
          <t>DV-100[0].Page10[0].List22[0].Li1[0].item26d_tf[0]</t>
        </is>
      </c>
      <c r="F273" s="5" t="inlineStr">
        <is>
          <t>text</t>
        </is>
      </c>
      <c r="G273" s="5" t="inlineStr"/>
      <c r="H273" s="5" t="inlineStr"/>
      <c r="I273" s="5" t="inlineStr">
        <is>
          <t>78, 417, 576, 463</t>
        </is>
      </c>
      <c r="J273" s="5" t="inlineStr">
        <is>
          <t>question</t>
        </is>
      </c>
      <c r="K273" s="5" t="inlineStr">
        <is>
          <t>O22.why</t>
        </is>
      </c>
      <c r="L273" s="5">
        <f> O22.why</f>
        <v/>
      </c>
      <c r="M273" s="5" t="inlineStr">
        <is>
          <t>O22</t>
        </is>
      </c>
      <c r="N273" s="5" t="inlineStr"/>
      <c r="O273" s="5" t="inlineStr"/>
    </row>
    <row r="274">
      <c r="A274" s="5" t="n">
        <v>273</v>
      </c>
      <c r="B274" s="5" t="n">
        <v>10</v>
      </c>
      <c r="C274" s="5" t="inlineStr">
        <is>
          <t>22b(1)</t>
        </is>
      </c>
      <c r="D274" s="5" t="inlineStr">
        <is>
          <t>a(1)</t>
        </is>
      </c>
      <c r="E274" s="5" t="inlineStr">
        <is>
          <t>DV-100[0].Page10[0].List22[0].Li2[0].List[0].Li1[0].CheckBoxRightCaption1[0]</t>
        </is>
      </c>
      <c r="F274" s="5" t="inlineStr">
        <is>
          <t>checkbox</t>
        </is>
      </c>
      <c r="G274" s="5" t="inlineStr">
        <is>
          <t>1</t>
        </is>
      </c>
      <c r="H274" s="5" t="inlineStr"/>
      <c r="I274" s="5" t="inlineStr">
        <is>
          <t>98, 595, 107, 604</t>
        </is>
      </c>
      <c r="J274" s="5" t="inlineStr">
        <is>
          <t>question</t>
        </is>
      </c>
      <c r="K274" s="5" t="inlineStr">
        <is>
          <t>O22.debts</t>
        </is>
      </c>
      <c r="L274" s="5" t="inlineStr">
        <is>
          <t>check if O22.debts[0].fromAbuse</t>
        </is>
      </c>
      <c r="M274" s="5" t="inlineStr">
        <is>
          <t>O22.finding == "Y"</t>
        </is>
      </c>
      <c r="N274" s="5" t="inlineStr">
        <is>
          <t>Box "a(1)"</t>
        </is>
      </c>
      <c r="O274" s="5" t="inlineStr"/>
    </row>
    <row r="275">
      <c r="A275" s="5" t="n">
        <v>274</v>
      </c>
      <c r="B275" s="5" t="n">
        <v>10</v>
      </c>
      <c r="C275" s="5" t="inlineStr">
        <is>
          <t>22b(1)</t>
        </is>
      </c>
      <c r="D275" s="5" t="inlineStr">
        <is>
          <t>a(2)</t>
        </is>
      </c>
      <c r="E275" s="5" t="inlineStr">
        <is>
          <t>DV-100[0].Page10[0].List22[0].Li2[0].List[0].Li1[0].CheckBoxRightCaption2[0]</t>
        </is>
      </c>
      <c r="F275" s="5" t="inlineStr">
        <is>
          <t>checkbox</t>
        </is>
      </c>
      <c r="G275" s="5" t="inlineStr">
        <is>
          <t>1</t>
        </is>
      </c>
      <c r="H275" s="5" t="inlineStr"/>
      <c r="I275" s="5" t="inlineStr">
        <is>
          <t>146, 595, 155, 604</t>
        </is>
      </c>
      <c r="J275" s="5" t="inlineStr">
        <is>
          <t>question</t>
        </is>
      </c>
      <c r="K275" s="5" t="inlineStr">
        <is>
          <t>O22.debts</t>
        </is>
      </c>
      <c r="L275" s="5" t="inlineStr">
        <is>
          <t>check if O22.debts[1].fromAbuse</t>
        </is>
      </c>
      <c r="M275" s="5" t="inlineStr">
        <is>
          <t>O22.finding == "Y"</t>
        </is>
      </c>
      <c r="N275" s="5" t="inlineStr">
        <is>
          <t>Box "a(2)"</t>
        </is>
      </c>
      <c r="O275" s="5" t="inlineStr"/>
    </row>
    <row r="276">
      <c r="A276" s="5" t="n">
        <v>275</v>
      </c>
      <c r="B276" s="5" t="n">
        <v>10</v>
      </c>
      <c r="C276" s="5" t="inlineStr">
        <is>
          <t>22b(1)</t>
        </is>
      </c>
      <c r="D276" s="5" t="inlineStr">
        <is>
          <t>a(3)</t>
        </is>
      </c>
      <c r="E276" s="5" t="inlineStr">
        <is>
          <t>DV-100[0].Page10[0].List22[0].Li2[0].List[0].Li1[0].CheckBoxRightCaption3[0]</t>
        </is>
      </c>
      <c r="F276" s="5" t="inlineStr">
        <is>
          <t>checkbox</t>
        </is>
      </c>
      <c r="G276" s="5" t="inlineStr">
        <is>
          <t>1</t>
        </is>
      </c>
      <c r="H276" s="5" t="inlineStr"/>
      <c r="I276" s="5" t="inlineStr">
        <is>
          <t>194, 595, 203, 604</t>
        </is>
      </c>
      <c r="J276" s="5" t="inlineStr">
        <is>
          <t>question</t>
        </is>
      </c>
      <c r="K276" s="5" t="inlineStr">
        <is>
          <t>O22.debts</t>
        </is>
      </c>
      <c r="L276" s="5" t="inlineStr">
        <is>
          <t>check if O22.debts[2].fromAbuse</t>
        </is>
      </c>
      <c r="M276" s="5" t="inlineStr">
        <is>
          <t>O22.finding == "Y"</t>
        </is>
      </c>
      <c r="N276" s="5" t="inlineStr">
        <is>
          <t>Box "a(3)"</t>
        </is>
      </c>
      <c r="O276" s="5" t="inlineStr"/>
    </row>
    <row r="277">
      <c r="A277" s="6" t="n">
        <v>276</v>
      </c>
      <c r="B277" s="6" t="n">
        <v>10</v>
      </c>
      <c r="C277" s="6" t="inlineStr">
        <is>
          <t>22b(2)</t>
        </is>
      </c>
      <c r="D277" s="6" t="inlineStr">
        <is>
          <t>No</t>
        </is>
      </c>
      <c r="E277" s="6" t="inlineStr">
        <is>
          <t>DV-100[0].Page10[0].List22[0].Li2[0].List[0].Li2[0].YesNo22b2_cb[0]</t>
        </is>
      </c>
      <c r="F277" s="6" t="inlineStr">
        <is>
          <t>checkbox</t>
        </is>
      </c>
      <c r="G277" s="6" t="inlineStr">
        <is>
          <t>1</t>
        </is>
      </c>
      <c r="H277" s="6" t="inlineStr"/>
      <c r="I277" s="6" t="inlineStr">
        <is>
          <t>98, 632, 107, 641</t>
        </is>
      </c>
      <c r="J277" s="6" t="inlineStr">
        <is>
          <t>derived</t>
        </is>
      </c>
      <c r="K277" s="6" t="inlineStr">
        <is>
          <t>O22.how</t>
        </is>
      </c>
      <c r="L277" s="6" t="inlineStr">
        <is>
          <t>check if O22.how is empty</t>
        </is>
      </c>
      <c r="M277" s="6" t="inlineStr">
        <is>
          <t>O22.finding == "Y"</t>
        </is>
      </c>
      <c r="N277" s="6" t="inlineStr"/>
      <c r="O277" s="6" t="inlineStr"/>
    </row>
    <row r="278">
      <c r="A278" s="6" t="n">
        <v>277</v>
      </c>
      <c r="B278" s="6" t="n">
        <v>10</v>
      </c>
      <c r="C278" s="6" t="inlineStr">
        <is>
          <t>22b(2)</t>
        </is>
      </c>
      <c r="D278" s="6" t="inlineStr">
        <is>
          <t>Yes</t>
        </is>
      </c>
      <c r="E278" s="6" t="inlineStr">
        <is>
          <t>DV-100[0].Page10[0].List22[0].Li2[0].List[0].Li2[0].YesNo22b2_cb[1]</t>
        </is>
      </c>
      <c r="F278" s="6" t="inlineStr">
        <is>
          <t>checkbox</t>
        </is>
      </c>
      <c r="G278" s="6" t="inlineStr">
        <is>
          <t>11</t>
        </is>
      </c>
      <c r="H278" s="6" t="inlineStr"/>
      <c r="I278" s="6" t="inlineStr">
        <is>
          <t>143, 631, 152, 640</t>
        </is>
      </c>
      <c r="J278" s="6" t="inlineStr">
        <is>
          <t>derived</t>
        </is>
      </c>
      <c r="K278" s="6" t="inlineStr">
        <is>
          <t>O22.how</t>
        </is>
      </c>
      <c r="L278" s="6" t="inlineStr">
        <is>
          <t>check if O22.how is not empty</t>
        </is>
      </c>
      <c r="M278" s="6" t="inlineStr">
        <is>
          <t>O22.finding == "Y"</t>
        </is>
      </c>
      <c r="N278" s="6" t="inlineStr">
        <is>
          <t>Export value 11.</t>
        </is>
      </c>
      <c r="O278" s="6" t="inlineStr"/>
    </row>
    <row r="279">
      <c r="A279" s="5" t="n">
        <v>278</v>
      </c>
      <c r="B279" s="5" t="n">
        <v>10</v>
      </c>
      <c r="C279" s="5" t="inlineStr">
        <is>
          <t>22b(2)</t>
        </is>
      </c>
      <c r="D279" s="5" t="inlineStr">
        <is>
          <t>If yes, explain how the person in item 2 made the debt or debts:</t>
        </is>
      </c>
      <c r="E279" s="5" t="inlineStr">
        <is>
          <t>DV-100[0].Page10[0].List22[0].Li2[0].List[0].Li2[0].item26d_tf[0]</t>
        </is>
      </c>
      <c r="F279" s="5" t="inlineStr">
        <is>
          <t>text</t>
        </is>
      </c>
      <c r="G279" s="5" t="inlineStr"/>
      <c r="H279" s="5" t="inlineStr"/>
      <c r="I279" s="5" t="inlineStr">
        <is>
          <t>98, 658, 576, 696</t>
        </is>
      </c>
      <c r="J279" s="5" t="inlineStr">
        <is>
          <t>question</t>
        </is>
      </c>
      <c r="K279" s="5" t="inlineStr">
        <is>
          <t>O22.how</t>
        </is>
      </c>
      <c r="L279" s="5">
        <f> O22.how</f>
        <v/>
      </c>
      <c r="M279" s="5" t="inlineStr">
        <is>
          <t>O22.finding == "Y"</t>
        </is>
      </c>
      <c r="N279" s="5" t="inlineStr"/>
      <c r="O279" s="5" t="inlineStr"/>
    </row>
    <row r="280">
      <c r="A280" s="5" t="n">
        <v>279</v>
      </c>
      <c r="B280" s="5" t="n">
        <v>10</v>
      </c>
      <c r="C280" s="5" t="inlineStr">
        <is>
          <t>22b</t>
        </is>
      </c>
      <c r="D280" s="5" t="inlineStr">
        <is>
          <t>No</t>
        </is>
      </c>
      <c r="E280" s="5" t="inlineStr">
        <is>
          <t>DV-100[0].Page10[0].List22[0].Li2[0].List[0].checkbox22b[0]</t>
        </is>
      </c>
      <c r="F280" s="5" t="inlineStr">
        <is>
          <t>checkbox</t>
        </is>
      </c>
      <c r="G280" s="5" t="inlineStr">
        <is>
          <t>11</t>
        </is>
      </c>
      <c r="H280" s="5" t="inlineStr"/>
      <c r="I280" s="5" t="inlineStr">
        <is>
          <t>78, 560, 87, 569</t>
        </is>
      </c>
      <c r="J280" s="5" t="inlineStr">
        <is>
          <t>question</t>
        </is>
      </c>
      <c r="K280" s="5" t="inlineStr">
        <is>
          <t>O22.finding</t>
        </is>
      </c>
      <c r="L280" s="5" t="inlineStr">
        <is>
          <t>check if O22.finding == "N"</t>
        </is>
      </c>
      <c r="M280" s="5" t="inlineStr">
        <is>
          <t>O22</t>
        </is>
      </c>
      <c r="N280" s="5" t="inlineStr">
        <is>
          <t>GAP: the form asks "Do you want the judge to make this special decision?" The map asks "did you agree to these debts?" Box order No (export 11), Yes (export 1).</t>
        </is>
      </c>
      <c r="O280" s="5" t="inlineStr"/>
    </row>
    <row r="281">
      <c r="A281" s="5" t="n">
        <v>280</v>
      </c>
      <c r="B281" s="5" t="n">
        <v>10</v>
      </c>
      <c r="C281" s="5" t="inlineStr">
        <is>
          <t>22b</t>
        </is>
      </c>
      <c r="D281" s="5" t="inlineStr">
        <is>
          <t>Yes</t>
        </is>
      </c>
      <c r="E281" s="5" t="inlineStr">
        <is>
          <t>DV-100[0].Page10[0].List22[0].Li2[0].List[0].checkbox22b[1]</t>
        </is>
      </c>
      <c r="F281" s="5" t="inlineStr">
        <is>
          <t>checkbox</t>
        </is>
      </c>
      <c r="G281" s="5" t="inlineStr">
        <is>
          <t>1</t>
        </is>
      </c>
      <c r="H281" s="5" t="inlineStr"/>
      <c r="I281" s="5" t="inlineStr">
        <is>
          <t>121, 560, 130, 569</t>
        </is>
      </c>
      <c r="J281" s="5" t="inlineStr">
        <is>
          <t>question</t>
        </is>
      </c>
      <c r="K281" s="5" t="inlineStr">
        <is>
          <t>O22.finding</t>
        </is>
      </c>
      <c r="L281" s="5" t="inlineStr">
        <is>
          <t>check if O22.finding == "Y"</t>
        </is>
      </c>
      <c r="M281" s="5" t="inlineStr">
        <is>
          <t>O22</t>
        </is>
      </c>
      <c r="N281" s="5" t="inlineStr"/>
      <c r="O281" s="5" t="inlineStr"/>
    </row>
    <row r="282">
      <c r="A282" s="5" t="n">
        <v>281</v>
      </c>
      <c r="B282" s="5" t="n">
        <v>11</v>
      </c>
      <c r="C282" s="5" t="inlineStr">
        <is>
          <t>Caption</t>
        </is>
      </c>
      <c r="D282" s="5" t="inlineStr">
        <is>
          <t>Case Number:</t>
        </is>
      </c>
      <c r="E282" s="5" t="inlineStr">
        <is>
          <t>DV-100[0].Page11[0].PxCaption[0].CaseNumber[0]</t>
        </is>
      </c>
      <c r="F282" s="5" t="inlineStr">
        <is>
          <t>text</t>
        </is>
      </c>
      <c r="G282" s="5" t="inlineStr"/>
      <c r="H282" s="5" t="inlineStr"/>
      <c r="I282" s="5" t="inlineStr">
        <is>
          <t>398, 48, 573, 63</t>
        </is>
      </c>
      <c r="J282" s="5" t="inlineStr">
        <is>
          <t>question</t>
        </is>
      </c>
      <c r="K282" s="5" t="inlineStr">
        <is>
          <t>S3,S4</t>
        </is>
      </c>
      <c r="L282" s="5">
        <f> S4</f>
        <v/>
      </c>
      <c r="M282" s="5" t="inlineStr">
        <is>
          <t>S3 == "update"; otherwise blank for clerk</t>
        </is>
      </c>
      <c r="N282" s="5" t="inlineStr">
        <is>
          <t>Case number box, repeated on every page; fill all 13 when known.</t>
        </is>
      </c>
      <c r="O282" s="5" t="inlineStr"/>
    </row>
    <row r="283">
      <c r="A283" s="5" t="n">
        <v>282</v>
      </c>
      <c r="B283" s="5" t="n">
        <v>11</v>
      </c>
      <c r="C283" s="5" t="inlineStr">
        <is>
          <t>23</t>
        </is>
      </c>
      <c r="D283" s="5" t="inlineStr">
        <is>
          <t>Pay Expenses Caused by the Abuse</t>
        </is>
      </c>
      <c r="E283" s="5" t="inlineStr">
        <is>
          <t>DV-100[0].Page11[0].List23[0].Li1[0].CtyChildFreed_cb[0]</t>
        </is>
      </c>
      <c r="F283" s="5" t="inlineStr">
        <is>
          <t>checkbox</t>
        </is>
      </c>
      <c r="G283" s="5" t="inlineStr">
        <is>
          <t>1</t>
        </is>
      </c>
      <c r="H283" s="5" t="inlineStr"/>
      <c r="I283" s="5" t="inlineStr">
        <is>
          <t>63, 203, 72, 212</t>
        </is>
      </c>
      <c r="J283" s="5" t="inlineStr">
        <is>
          <t>question</t>
        </is>
      </c>
      <c r="K283" s="5" t="inlineStr">
        <is>
          <t>O23</t>
        </is>
      </c>
      <c r="L283" s="5" t="inlineStr">
        <is>
          <t>check if O23</t>
        </is>
      </c>
      <c r="M283" s="5" t="inlineStr"/>
      <c r="N283" s="5" t="inlineStr"/>
      <c r="O283" s="5" t="inlineStr"/>
    </row>
    <row r="284">
      <c r="A284" s="5" t="n">
        <v>283</v>
      </c>
      <c r="B284" s="5" t="n">
        <v>11</v>
      </c>
      <c r="C284" s="5" t="inlineStr">
        <is>
          <t>23(1)</t>
        </is>
      </c>
      <c r="D284" s="5" t="inlineStr">
        <is>
          <t>Pay to:</t>
        </is>
      </c>
      <c r="E284" s="5" t="inlineStr">
        <is>
          <t>DV-100[0].Page11[0].List23[0].Li1[0].T47[0]</t>
        </is>
      </c>
      <c r="F284" s="5" t="inlineStr">
        <is>
          <t>text</t>
        </is>
      </c>
      <c r="G284" s="5" t="inlineStr"/>
      <c r="H284" s="5" t="inlineStr"/>
      <c r="I284" s="5" t="inlineStr">
        <is>
          <t>97, 246, 306, 257</t>
        </is>
      </c>
      <c r="J284" s="5" t="inlineStr">
        <is>
          <t>question</t>
        </is>
      </c>
      <c r="K284" s="5" t="inlineStr">
        <is>
          <t>O23.expenses</t>
        </is>
      </c>
      <c r="L284" s="5">
        <f> O23.expenses[0].payTo</f>
        <v/>
      </c>
      <c r="M284" s="5" t="inlineStr">
        <is>
          <t>O23 and expenses.length &gt; 0</t>
        </is>
      </c>
      <c r="N284" s="5" t="inlineStr"/>
      <c r="O284" s="5" t="inlineStr"/>
    </row>
    <row r="285">
      <c r="A285" s="5" t="n">
        <v>284</v>
      </c>
      <c r="B285" s="5" t="n">
        <v>11</v>
      </c>
      <c r="C285" s="5" t="inlineStr">
        <is>
          <t>23(1)</t>
        </is>
      </c>
      <c r="D285" s="5" t="inlineStr">
        <is>
          <t>For:</t>
        </is>
      </c>
      <c r="E285" s="5" t="inlineStr">
        <is>
          <t>DV-100[0].Page11[0].List23[0].Li1[0].T50[0]</t>
        </is>
      </c>
      <c r="F285" s="5" t="inlineStr">
        <is>
          <t>text</t>
        </is>
      </c>
      <c r="G285" s="5" t="inlineStr"/>
      <c r="H285" s="5" t="inlineStr"/>
      <c r="I285" s="5" t="inlineStr">
        <is>
          <t>335, 246, 431, 257</t>
        </is>
      </c>
      <c r="J285" s="5" t="inlineStr">
        <is>
          <t>question</t>
        </is>
      </c>
      <c r="K285" s="5" t="inlineStr">
        <is>
          <t>O23.expenses</t>
        </is>
      </c>
      <c r="L285" s="5">
        <f> O23.expenses[0].for</f>
        <v/>
      </c>
      <c r="M285" s="5" t="inlineStr">
        <is>
          <t>O23 and expenses.length &gt; 0</t>
        </is>
      </c>
      <c r="N285" s="5" t="inlineStr"/>
      <c r="O285" s="5" t="inlineStr"/>
    </row>
    <row r="286">
      <c r="A286" s="5" t="n">
        <v>285</v>
      </c>
      <c r="B286" s="5" t="n">
        <v>11</v>
      </c>
      <c r="C286" s="5" t="inlineStr">
        <is>
          <t>23(1)</t>
        </is>
      </c>
      <c r="D286" s="5" t="inlineStr">
        <is>
          <t>Amount: $</t>
        </is>
      </c>
      <c r="E286" s="5" t="inlineStr">
        <is>
          <t>DV-100[0].Page11[0].List23[0].Li1[0].T53[0]</t>
        </is>
      </c>
      <c r="F286" s="5" t="inlineStr">
        <is>
          <t>text</t>
        </is>
      </c>
      <c r="G286" s="5" t="inlineStr"/>
      <c r="H286" s="5" t="inlineStr"/>
      <c r="I286" s="5" t="inlineStr">
        <is>
          <t>489, 246, 558, 257</t>
        </is>
      </c>
      <c r="J286" s="5" t="inlineStr">
        <is>
          <t>question</t>
        </is>
      </c>
      <c r="K286" s="5" t="inlineStr">
        <is>
          <t>O23.expenses</t>
        </is>
      </c>
      <c r="L286" s="5">
        <f> money(O23.expenses[0].amount)</f>
        <v/>
      </c>
      <c r="M286" s="5" t="inlineStr">
        <is>
          <t>O23 and expenses.length &gt; 0</t>
        </is>
      </c>
      <c r="N286" s="5" t="inlineStr"/>
      <c r="O286" s="5" t="inlineStr"/>
    </row>
    <row r="287">
      <c r="A287" s="5" t="n">
        <v>286</v>
      </c>
      <c r="B287" s="5" t="n">
        <v>11</v>
      </c>
      <c r="C287" s="5" t="inlineStr">
        <is>
          <t>23(2)</t>
        </is>
      </c>
      <c r="D287" s="5" t="inlineStr">
        <is>
          <t>Pay to:</t>
        </is>
      </c>
      <c r="E287" s="5" t="inlineStr">
        <is>
          <t>DV-100[0].Page11[0].List23[0].Li1[0].T56[0]</t>
        </is>
      </c>
      <c r="F287" s="5" t="inlineStr">
        <is>
          <t>text</t>
        </is>
      </c>
      <c r="G287" s="5" t="inlineStr"/>
      <c r="H287" s="5" t="inlineStr"/>
      <c r="I287" s="5" t="inlineStr">
        <is>
          <t>96, 261, 306, 272</t>
        </is>
      </c>
      <c r="J287" s="5" t="inlineStr">
        <is>
          <t>question</t>
        </is>
      </c>
      <c r="K287" s="5" t="inlineStr">
        <is>
          <t>O23.expenses</t>
        </is>
      </c>
      <c r="L287" s="5">
        <f> O23.expenses[1].payTo</f>
        <v/>
      </c>
      <c r="M287" s="5" t="inlineStr">
        <is>
          <t>O23 and expenses.length &gt; 1</t>
        </is>
      </c>
      <c r="N287" s="5" t="inlineStr"/>
      <c r="O287" s="5" t="inlineStr"/>
    </row>
    <row r="288">
      <c r="A288" s="5" t="n">
        <v>287</v>
      </c>
      <c r="B288" s="5" t="n">
        <v>11</v>
      </c>
      <c r="C288" s="5" t="inlineStr">
        <is>
          <t>23(2)</t>
        </is>
      </c>
      <c r="D288" s="5" t="inlineStr">
        <is>
          <t>For:</t>
        </is>
      </c>
      <c r="E288" s="5" t="inlineStr">
        <is>
          <t>DV-100[0].Page11[0].List23[0].Li1[0].T59[0]</t>
        </is>
      </c>
      <c r="F288" s="5" t="inlineStr">
        <is>
          <t>text</t>
        </is>
      </c>
      <c r="G288" s="5" t="inlineStr"/>
      <c r="H288" s="5" t="inlineStr"/>
      <c r="I288" s="5" t="inlineStr">
        <is>
          <t>336, 261, 431, 272</t>
        </is>
      </c>
      <c r="J288" s="5" t="inlineStr">
        <is>
          <t>question</t>
        </is>
      </c>
      <c r="K288" s="5" t="inlineStr">
        <is>
          <t>O23.expenses</t>
        </is>
      </c>
      <c r="L288" s="5">
        <f> O23.expenses[1].for</f>
        <v/>
      </c>
      <c r="M288" s="5" t="inlineStr">
        <is>
          <t>O23 and expenses.length &gt; 1</t>
        </is>
      </c>
      <c r="N288" s="5" t="inlineStr"/>
      <c r="O288" s="5" t="inlineStr"/>
    </row>
    <row r="289">
      <c r="A289" s="5" t="n">
        <v>288</v>
      </c>
      <c r="B289" s="5" t="n">
        <v>11</v>
      </c>
      <c r="C289" s="5" t="inlineStr">
        <is>
          <t>23(2)</t>
        </is>
      </c>
      <c r="D289" s="5" t="inlineStr">
        <is>
          <t>Amount: $</t>
        </is>
      </c>
      <c r="E289" s="5" t="inlineStr">
        <is>
          <t>DV-100[0].Page11[0].List23[0].Li1[0].T62[0]</t>
        </is>
      </c>
      <c r="F289" s="5" t="inlineStr">
        <is>
          <t>text</t>
        </is>
      </c>
      <c r="G289" s="5" t="inlineStr"/>
      <c r="H289" s="5" t="inlineStr"/>
      <c r="I289" s="5" t="inlineStr">
        <is>
          <t>489, 261, 558, 272</t>
        </is>
      </c>
      <c r="J289" s="5" t="inlineStr">
        <is>
          <t>question</t>
        </is>
      </c>
      <c r="K289" s="5" t="inlineStr">
        <is>
          <t>O23.expenses</t>
        </is>
      </c>
      <c r="L289" s="5">
        <f> money(O23.expenses[1].amount)</f>
        <v/>
      </c>
      <c r="M289" s="5" t="inlineStr">
        <is>
          <t>O23 and expenses.length &gt; 1</t>
        </is>
      </c>
      <c r="N289" s="5" t="inlineStr"/>
      <c r="O289" s="5" t="inlineStr"/>
    </row>
    <row r="290">
      <c r="A290" s="5" t="n">
        <v>289</v>
      </c>
      <c r="B290" s="5" t="n">
        <v>11</v>
      </c>
      <c r="C290" s="5" t="inlineStr">
        <is>
          <t>23(3)</t>
        </is>
      </c>
      <c r="D290" s="5" t="inlineStr">
        <is>
          <t>Pay to:</t>
        </is>
      </c>
      <c r="E290" s="5" t="inlineStr">
        <is>
          <t>DV-100[0].Page11[0].List23[0].Li1[0].T63[0]</t>
        </is>
      </c>
      <c r="F290" s="5" t="inlineStr">
        <is>
          <t>text</t>
        </is>
      </c>
      <c r="G290" s="5" t="inlineStr"/>
      <c r="H290" s="5" t="inlineStr"/>
      <c r="I290" s="5" t="inlineStr">
        <is>
          <t>97, 277, 306, 288</t>
        </is>
      </c>
      <c r="J290" s="5" t="inlineStr">
        <is>
          <t>question</t>
        </is>
      </c>
      <c r="K290" s="5" t="inlineStr">
        <is>
          <t>O23.expenses</t>
        </is>
      </c>
      <c r="L290" s="5">
        <f> O23.expenses[2].payTo</f>
        <v/>
      </c>
      <c r="M290" s="5" t="inlineStr">
        <is>
          <t>O23 and expenses.length &gt; 2</t>
        </is>
      </c>
      <c r="N290" s="5" t="inlineStr"/>
      <c r="O290" s="5" t="inlineStr"/>
    </row>
    <row r="291">
      <c r="A291" s="5" t="n">
        <v>290</v>
      </c>
      <c r="B291" s="5" t="n">
        <v>11</v>
      </c>
      <c r="C291" s="5" t="inlineStr">
        <is>
          <t>23(3)</t>
        </is>
      </c>
      <c r="D291" s="5" t="inlineStr">
        <is>
          <t>For:</t>
        </is>
      </c>
      <c r="E291" s="5" t="inlineStr">
        <is>
          <t>DV-100[0].Page11[0].List23[0].Li1[0].T66[0]</t>
        </is>
      </c>
      <c r="F291" s="5" t="inlineStr">
        <is>
          <t>text</t>
        </is>
      </c>
      <c r="G291" s="5" t="inlineStr"/>
      <c r="H291" s="5" t="inlineStr"/>
      <c r="I291" s="5" t="inlineStr">
        <is>
          <t>335, 277, 431, 288</t>
        </is>
      </c>
      <c r="J291" s="5" t="inlineStr">
        <is>
          <t>question</t>
        </is>
      </c>
      <c r="K291" s="5" t="inlineStr">
        <is>
          <t>O23.expenses</t>
        </is>
      </c>
      <c r="L291" s="5">
        <f> O23.expenses[2].for</f>
        <v/>
      </c>
      <c r="M291" s="5" t="inlineStr">
        <is>
          <t>O23 and expenses.length &gt; 2</t>
        </is>
      </c>
      <c r="N291" s="5" t="inlineStr"/>
      <c r="O291" s="5" t="inlineStr"/>
    </row>
    <row r="292">
      <c r="A292" s="5" t="n">
        <v>291</v>
      </c>
      <c r="B292" s="5" t="n">
        <v>11</v>
      </c>
      <c r="C292" s="5" t="inlineStr">
        <is>
          <t>23(3)</t>
        </is>
      </c>
      <c r="D292" s="5" t="inlineStr">
        <is>
          <t>Amount: $</t>
        </is>
      </c>
      <c r="E292" s="5" t="inlineStr">
        <is>
          <t>DV-100[0].Page11[0].List23[0].Li1[0].T67[0]</t>
        </is>
      </c>
      <c r="F292" s="5" t="inlineStr">
        <is>
          <t>text</t>
        </is>
      </c>
      <c r="G292" s="5" t="inlineStr"/>
      <c r="H292" s="5" t="inlineStr"/>
      <c r="I292" s="5" t="inlineStr">
        <is>
          <t>489, 277, 558, 288</t>
        </is>
      </c>
      <c r="J292" s="5" t="inlineStr">
        <is>
          <t>question</t>
        </is>
      </c>
      <c r="K292" s="5" t="inlineStr">
        <is>
          <t>O23.expenses</t>
        </is>
      </c>
      <c r="L292" s="5">
        <f> money(O23.expenses[2].amount)</f>
        <v/>
      </c>
      <c r="M292" s="5" t="inlineStr">
        <is>
          <t>O23 and expenses.length &gt; 2</t>
        </is>
      </c>
      <c r="N292" s="5" t="inlineStr"/>
      <c r="O292" s="5" t="inlineStr"/>
    </row>
    <row r="293">
      <c r="A293" s="5" t="n">
        <v>292</v>
      </c>
      <c r="B293" s="5" t="n">
        <v>11</v>
      </c>
      <c r="C293" s="5" t="inlineStr">
        <is>
          <t>23(4)</t>
        </is>
      </c>
      <c r="D293" s="5" t="inlineStr">
        <is>
          <t>Pay to:</t>
        </is>
      </c>
      <c r="E293" s="5" t="inlineStr">
        <is>
          <t>DV-100[0].Page11[0].List23[0].Li1[0].T68[0]</t>
        </is>
      </c>
      <c r="F293" s="5" t="inlineStr">
        <is>
          <t>text</t>
        </is>
      </c>
      <c r="G293" s="5" t="inlineStr"/>
      <c r="H293" s="5" t="inlineStr"/>
      <c r="I293" s="5" t="inlineStr">
        <is>
          <t>96, 292, 306, 303</t>
        </is>
      </c>
      <c r="J293" s="5" t="inlineStr">
        <is>
          <t>question</t>
        </is>
      </c>
      <c r="K293" s="5" t="inlineStr">
        <is>
          <t>O23.expenses</t>
        </is>
      </c>
      <c r="L293" s="5">
        <f> O23.expenses[3].payTo</f>
        <v/>
      </c>
      <c r="M293" s="5" t="inlineStr">
        <is>
          <t>O23 and expenses.length &gt; 3</t>
        </is>
      </c>
      <c r="N293" s="5" t="inlineStr">
        <is>
          <t>More than 4: there is no overflow box on the form.</t>
        </is>
      </c>
      <c r="O293" s="5" t="inlineStr"/>
    </row>
    <row r="294">
      <c r="A294" s="5" t="n">
        <v>293</v>
      </c>
      <c r="B294" s="5" t="n">
        <v>11</v>
      </c>
      <c r="C294" s="5" t="inlineStr">
        <is>
          <t>23(4)</t>
        </is>
      </c>
      <c r="D294" s="5" t="inlineStr">
        <is>
          <t>For:</t>
        </is>
      </c>
      <c r="E294" s="5" t="inlineStr">
        <is>
          <t>DV-100[0].Page11[0].List23[0].Li1[0].T69[0]</t>
        </is>
      </c>
      <c r="F294" s="5" t="inlineStr">
        <is>
          <t>text</t>
        </is>
      </c>
      <c r="G294" s="5" t="inlineStr"/>
      <c r="H294" s="5" t="inlineStr"/>
      <c r="I294" s="5" t="inlineStr">
        <is>
          <t>336, 292, 431, 303</t>
        </is>
      </c>
      <c r="J294" s="5" t="inlineStr">
        <is>
          <t>question</t>
        </is>
      </c>
      <c r="K294" s="5" t="inlineStr">
        <is>
          <t>O23.expenses</t>
        </is>
      </c>
      <c r="L294" s="5">
        <f> O23.expenses[3].for</f>
        <v/>
      </c>
      <c r="M294" s="5" t="inlineStr">
        <is>
          <t>O23 and expenses.length &gt; 3</t>
        </is>
      </c>
      <c r="N294" s="5" t="inlineStr"/>
      <c r="O294" s="5" t="inlineStr"/>
    </row>
    <row r="295">
      <c r="A295" s="5" t="n">
        <v>294</v>
      </c>
      <c r="B295" s="5" t="n">
        <v>11</v>
      </c>
      <c r="C295" s="5" t="inlineStr">
        <is>
          <t>23(4)</t>
        </is>
      </c>
      <c r="D295" s="5" t="inlineStr">
        <is>
          <t>Amount: $</t>
        </is>
      </c>
      <c r="E295" s="5" t="inlineStr">
        <is>
          <t>DV-100[0].Page11[0].List23[0].Li1[0].T70[0]</t>
        </is>
      </c>
      <c r="F295" s="5" t="inlineStr">
        <is>
          <t>text</t>
        </is>
      </c>
      <c r="G295" s="5" t="inlineStr"/>
      <c r="H295" s="5" t="inlineStr"/>
      <c r="I295" s="5" t="inlineStr">
        <is>
          <t>489, 292, 558, 303</t>
        </is>
      </c>
      <c r="J295" s="5" t="inlineStr">
        <is>
          <t>question</t>
        </is>
      </c>
      <c r="K295" s="5" t="inlineStr">
        <is>
          <t>O23.expenses</t>
        </is>
      </c>
      <c r="L295" s="5">
        <f> money(O23.expenses[3].amount)</f>
        <v/>
      </c>
      <c r="M295" s="5" t="inlineStr">
        <is>
          <t>O23 and expenses.length &gt; 3</t>
        </is>
      </c>
      <c r="N295" s="5" t="inlineStr"/>
      <c r="O295" s="5" t="inlineStr"/>
    </row>
    <row r="296">
      <c r="A296" s="5" t="n">
        <v>295</v>
      </c>
      <c r="B296" s="5" t="n">
        <v>11</v>
      </c>
      <c r="C296" s="5" t="inlineStr">
        <is>
          <t>24</t>
        </is>
      </c>
      <c r="D296" s="5" t="inlineStr">
        <is>
          <t>Child Support (this only applies if you have a minor child with the person in 2)</t>
        </is>
      </c>
      <c r="E296" s="5" t="inlineStr">
        <is>
          <t>DV-100[0].Page11[0].List24[0].CheckBoxRightCaption[0]</t>
        </is>
      </c>
      <c r="F296" s="5" t="inlineStr">
        <is>
          <t>checkbox</t>
        </is>
      </c>
      <c r="G296" s="5" t="inlineStr">
        <is>
          <t>1</t>
        </is>
      </c>
      <c r="H296" s="5" t="inlineStr"/>
      <c r="I296" s="5" t="inlineStr">
        <is>
          <t>63, 352, 72, 361</t>
        </is>
      </c>
      <c r="J296" s="5" t="inlineStr">
        <is>
          <t>question</t>
        </is>
      </c>
      <c r="K296" s="5" t="inlineStr">
        <is>
          <t>O24</t>
        </is>
      </c>
      <c r="L296" s="5" t="inlineStr">
        <is>
          <t>check if O24</t>
        </is>
      </c>
      <c r="M296" s="5" t="inlineStr">
        <is>
          <t>CHILDREN and a shared child under 18</t>
        </is>
      </c>
      <c r="N296" s="5" t="inlineStr"/>
      <c r="O296" s="5" t="inlineStr"/>
    </row>
    <row r="297">
      <c r="A297" s="5" t="n">
        <v>296</v>
      </c>
      <c r="B297" s="5" t="n">
        <v>11</v>
      </c>
      <c r="C297" s="5" t="inlineStr">
        <is>
          <t>24a</t>
        </is>
      </c>
      <c r="D297" s="5" t="inlineStr">
        <is>
          <t>I do not have a child support order and I want one.</t>
        </is>
      </c>
      <c r="E297" s="5" t="inlineStr">
        <is>
          <t>DV-100[0].Page11[0].List24[0].Li1[0].CheckBox3[0]</t>
        </is>
      </c>
      <c r="F297" s="5" t="inlineStr">
        <is>
          <t>checkbox</t>
        </is>
      </c>
      <c r="G297" s="5" t="inlineStr">
        <is>
          <t>1</t>
        </is>
      </c>
      <c r="H297" s="5" t="inlineStr"/>
      <c r="I297" s="5" t="inlineStr">
        <is>
          <t>78, 389, 88, 399</t>
        </is>
      </c>
      <c r="J297" s="5" t="inlineStr">
        <is>
          <t>question</t>
        </is>
      </c>
      <c r="K297" s="5" t="inlineStr">
        <is>
          <t>O24.status</t>
        </is>
      </c>
      <c r="L297" s="5" t="inlineStr">
        <is>
          <t>check if O24.status has "no order, want one"</t>
        </is>
      </c>
      <c r="M297" s="5" t="inlineStr">
        <is>
          <t>O24</t>
        </is>
      </c>
      <c r="N297" s="5" t="inlineStr"/>
      <c r="O297" s="5" t="inlineStr"/>
    </row>
    <row r="298">
      <c r="A298" s="5" t="n">
        <v>297</v>
      </c>
      <c r="B298" s="5" t="n">
        <v>11</v>
      </c>
      <c r="C298" s="5" t="inlineStr">
        <is>
          <t>24b</t>
        </is>
      </c>
      <c r="D298" s="5" t="inlineStr">
        <is>
          <t>I have a child support order and I want it changed (attach a copy if you have one).</t>
        </is>
      </c>
      <c r="E298" s="5" t="inlineStr">
        <is>
          <t>DV-100[0].Page11[0].List24[0].Li2[0].CheckBox3[0]</t>
        </is>
      </c>
      <c r="F298" s="5" t="inlineStr">
        <is>
          <t>checkbox</t>
        </is>
      </c>
      <c r="G298" s="5" t="inlineStr">
        <is>
          <t>1</t>
        </is>
      </c>
      <c r="H298" s="5" t="inlineStr"/>
      <c r="I298" s="5" t="inlineStr">
        <is>
          <t>78, 406, 88, 416</t>
        </is>
      </c>
      <c r="J298" s="5" t="inlineStr">
        <is>
          <t>question</t>
        </is>
      </c>
      <c r="K298" s="5" t="inlineStr">
        <is>
          <t>O24.status</t>
        </is>
      </c>
      <c r="L298" s="5" t="inlineStr">
        <is>
          <t>check if O24.status has "change existing order"</t>
        </is>
      </c>
      <c r="M298" s="5" t="inlineStr">
        <is>
          <t>O24</t>
        </is>
      </c>
      <c r="N298" s="5" t="inlineStr"/>
      <c r="O298" s="5" t="inlineStr"/>
    </row>
    <row r="299">
      <c r="A299" s="5" t="n">
        <v>298</v>
      </c>
      <c r="B299" s="5" t="n">
        <v>11</v>
      </c>
      <c r="C299" s="5" t="inlineStr">
        <is>
          <t>24c</t>
        </is>
      </c>
      <c r="D299" s="5" t="inlineStr">
        <is>
          <t>I now receive or have applied for TANF, Welfare, or CalWORKS.</t>
        </is>
      </c>
      <c r="E299" s="5" t="inlineStr">
        <is>
          <t>DV-100[0].Page11[0].List24[0].Li3[0].CheckBox3[0]</t>
        </is>
      </c>
      <c r="F299" s="5" t="inlineStr">
        <is>
          <t>checkbox</t>
        </is>
      </c>
      <c r="G299" s="5" t="inlineStr">
        <is>
          <t>1</t>
        </is>
      </c>
      <c r="H299" s="5" t="inlineStr"/>
      <c r="I299" s="5" t="inlineStr">
        <is>
          <t>78, 421, 88, 431</t>
        </is>
      </c>
      <c r="J299" s="5" t="inlineStr">
        <is>
          <t>question</t>
        </is>
      </c>
      <c r="K299" s="5" t="inlineStr">
        <is>
          <t>O24.status</t>
        </is>
      </c>
      <c r="L299" s="5" t="inlineStr">
        <is>
          <t>check if O24.status has "TANF/CalWORKs"</t>
        </is>
      </c>
      <c r="M299" s="5" t="inlineStr">
        <is>
          <t>O24</t>
        </is>
      </c>
      <c r="N299" s="5" t="inlineStr"/>
      <c r="O299" s="5" t="inlineStr"/>
    </row>
    <row r="300">
      <c r="A300" s="5" t="n">
        <v>299</v>
      </c>
      <c r="B300" s="5" t="n">
        <v>11</v>
      </c>
      <c r="C300" s="5" t="inlineStr">
        <is>
          <t>25</t>
        </is>
      </c>
      <c r="D300" s="5" t="inlineStr">
        <is>
          <t>Spousal Support</t>
        </is>
      </c>
      <c r="E300" s="5" t="inlineStr">
        <is>
          <t>DV-100[0].Page11[0].List25[0].Li1[0].CheckBoxRightCaption[0]</t>
        </is>
      </c>
      <c r="F300" s="5" t="inlineStr">
        <is>
          <t>checkbox</t>
        </is>
      </c>
      <c r="G300" s="5" t="inlineStr">
        <is>
          <t>1</t>
        </is>
      </c>
      <c r="H300" s="5" t="inlineStr"/>
      <c r="I300" s="5" t="inlineStr">
        <is>
          <t>63, 482, 72, 491</t>
        </is>
      </c>
      <c r="J300" s="5" t="inlineStr">
        <is>
          <t>question</t>
        </is>
      </c>
      <c r="K300" s="5" t="inlineStr">
        <is>
          <t>O25</t>
        </is>
      </c>
      <c r="L300" s="5" t="inlineStr">
        <is>
          <t>check if O25</t>
        </is>
      </c>
      <c r="M300" s="5" t="inlineStr">
        <is>
          <t>MARRIED</t>
        </is>
      </c>
      <c r="N300" s="5" t="inlineStr"/>
      <c r="O300" s="5" t="inlineStr"/>
    </row>
    <row r="301">
      <c r="A301" s="5" t="n">
        <v>300</v>
      </c>
      <c r="B301" s="5" t="n">
        <v>11</v>
      </c>
      <c r="C301" s="5" t="inlineStr">
        <is>
          <t>26</t>
        </is>
      </c>
      <c r="D301" s="5" t="inlineStr">
        <is>
          <t>Lawyer's Fees and Costs</t>
        </is>
      </c>
      <c r="E301" s="5" t="inlineStr">
        <is>
          <t>DV-100[0].Page11[0].List26[0].Li1[0].CtyChildFreed_cb[0]</t>
        </is>
      </c>
      <c r="F301" s="5" t="inlineStr">
        <is>
          <t>checkbox</t>
        </is>
      </c>
      <c r="G301" s="5" t="inlineStr">
        <is>
          <t>1</t>
        </is>
      </c>
      <c r="H301" s="5" t="inlineStr"/>
      <c r="I301" s="5" t="inlineStr">
        <is>
          <t>63, 601, 72, 610</t>
        </is>
      </c>
      <c r="J301" s="5" t="inlineStr">
        <is>
          <t>question</t>
        </is>
      </c>
      <c r="K301" s="5" t="inlineStr">
        <is>
          <t>O26</t>
        </is>
      </c>
      <c r="L301" s="5" t="inlineStr">
        <is>
          <t>check if O26</t>
        </is>
      </c>
      <c r="M301" s="5" t="inlineStr"/>
      <c r="N301" s="5" t="inlineStr"/>
      <c r="O301" s="5" t="inlineStr"/>
    </row>
    <row r="302">
      <c r="A302" s="5" t="n">
        <v>301</v>
      </c>
      <c r="B302" s="5" t="n">
        <v>12</v>
      </c>
      <c r="C302" s="5" t="inlineStr">
        <is>
          <t>Caption</t>
        </is>
      </c>
      <c r="D302" s="5" t="inlineStr">
        <is>
          <t>Case Number:</t>
        </is>
      </c>
      <c r="E302" s="5" t="inlineStr">
        <is>
          <t>DV-100[0].Page12[0].PxCaption[0].CaseNumber[0]</t>
        </is>
      </c>
      <c r="F302" s="5" t="inlineStr">
        <is>
          <t>text</t>
        </is>
      </c>
      <c r="G302" s="5" t="inlineStr"/>
      <c r="H302" s="5" t="inlineStr"/>
      <c r="I302" s="5" t="inlineStr">
        <is>
          <t>398, 48, 573, 63</t>
        </is>
      </c>
      <c r="J302" s="5" t="inlineStr">
        <is>
          <t>question</t>
        </is>
      </c>
      <c r="K302" s="5" t="inlineStr">
        <is>
          <t>S3,S4</t>
        </is>
      </c>
      <c r="L302" s="5">
        <f> S4</f>
        <v/>
      </c>
      <c r="M302" s="5" t="inlineStr">
        <is>
          <t>S3 == "update"; otherwise blank for clerk</t>
        </is>
      </c>
      <c r="N302" s="5" t="inlineStr">
        <is>
          <t>Case number box, repeated on every page; fill all 13 when known.</t>
        </is>
      </c>
      <c r="O302" s="5" t="inlineStr"/>
    </row>
    <row r="303">
      <c r="A303" s="5" t="n">
        <v>302</v>
      </c>
      <c r="B303" s="5" t="n">
        <v>12</v>
      </c>
      <c r="C303" s="5" t="inlineStr">
        <is>
          <t>27</t>
        </is>
      </c>
      <c r="D303" s="5" t="inlineStr">
        <is>
          <t>Batterer Intervention Program</t>
        </is>
      </c>
      <c r="E303" s="5" t="inlineStr">
        <is>
          <t>DV-100[0].Page12[0].List27[0].Li1[0].CtyChildFreed_cb[0]</t>
        </is>
      </c>
      <c r="F303" s="5" t="inlineStr">
        <is>
          <t>checkbox</t>
        </is>
      </c>
      <c r="G303" s="5" t="inlineStr">
        <is>
          <t>1</t>
        </is>
      </c>
      <c r="H303" s="5" t="inlineStr"/>
      <c r="I303" s="5" t="inlineStr">
        <is>
          <t>63, 96, 72, 105</t>
        </is>
      </c>
      <c r="J303" s="5" t="inlineStr">
        <is>
          <t>question</t>
        </is>
      </c>
      <c r="K303" s="5" t="inlineStr">
        <is>
          <t>O27</t>
        </is>
      </c>
      <c r="L303" s="5" t="inlineStr">
        <is>
          <t>check if O27</t>
        </is>
      </c>
      <c r="M303" s="5" t="inlineStr"/>
      <c r="N303" s="5" t="inlineStr"/>
      <c r="O303" s="5" t="inlineStr"/>
    </row>
    <row r="304">
      <c r="A304" s="5" t="n">
        <v>303</v>
      </c>
      <c r="B304" s="5" t="n">
        <v>12</v>
      </c>
      <c r="C304" s="5" t="inlineStr">
        <is>
          <t>28</t>
        </is>
      </c>
      <c r="D304" s="5" t="inlineStr">
        <is>
          <t>Transfer of Wireless Phone Account</t>
        </is>
      </c>
      <c r="E304" s="5" t="inlineStr">
        <is>
          <t>DV-100[0].Page12[0].List28[0].AGHagueCert_cb[0]</t>
        </is>
      </c>
      <c r="F304" s="5" t="inlineStr">
        <is>
          <t>checkbox</t>
        </is>
      </c>
      <c r="G304" s="5" t="inlineStr">
        <is>
          <t>1</t>
        </is>
      </c>
      <c r="H304" s="5" t="inlineStr"/>
      <c r="I304" s="5" t="inlineStr">
        <is>
          <t>63, 208, 72, 217</t>
        </is>
      </c>
      <c r="J304" s="5" t="inlineStr">
        <is>
          <t>question</t>
        </is>
      </c>
      <c r="K304" s="5" t="inlineStr">
        <is>
          <t>O28</t>
        </is>
      </c>
      <c r="L304" s="5" t="inlineStr">
        <is>
          <t>check if O28</t>
        </is>
      </c>
      <c r="M304" s="5" t="inlineStr"/>
      <c r="N304" s="5" t="inlineStr">
        <is>
          <t>Field name is a leftover "AGHagueCert_cb".</t>
        </is>
      </c>
      <c r="O304" s="5" t="inlineStr"/>
    </row>
    <row r="305">
      <c r="A305" s="5" t="n">
        <v>304</v>
      </c>
      <c r="B305" s="5" t="n">
        <v>12</v>
      </c>
      <c r="C305" s="5" t="inlineStr">
        <is>
          <t>28a</t>
        </is>
      </c>
      <c r="D305" s="5" t="inlineStr">
        <is>
          <t>My number</t>
        </is>
      </c>
      <c r="E305" s="5" t="inlineStr">
        <is>
          <t>DV-100[0].Page12[0].List28[0].Li1[0].item28aMyNoa_cb[0]</t>
        </is>
      </c>
      <c r="F305" s="5" t="inlineStr">
        <is>
          <t>checkbox</t>
        </is>
      </c>
      <c r="G305" s="5" t="inlineStr">
        <is>
          <t>1</t>
        </is>
      </c>
      <c r="H305" s="5" t="inlineStr"/>
      <c r="I305" s="5" t="inlineStr">
        <is>
          <t>78, 307, 87, 316</t>
        </is>
      </c>
      <c r="J305" s="5" t="inlineStr">
        <is>
          <t>question</t>
        </is>
      </c>
      <c r="K305" s="5" t="inlineStr">
        <is>
          <t>O28.numbers</t>
        </is>
      </c>
      <c r="L305" s="5" t="inlineStr">
        <is>
          <t>check if O28.numbers[0].whose == "mine"</t>
        </is>
      </c>
      <c r="M305" s="5" t="inlineStr">
        <is>
          <t>O28 and numbers.length &gt; 0</t>
        </is>
      </c>
      <c r="N305" s="5" t="inlineStr"/>
      <c r="O305" s="5" t="inlineStr"/>
    </row>
    <row r="306">
      <c r="A306" s="5" t="n">
        <v>305</v>
      </c>
      <c r="B306" s="5" t="n">
        <v>12</v>
      </c>
      <c r="C306" s="5" t="inlineStr">
        <is>
          <t>28a</t>
        </is>
      </c>
      <c r="D306" s="5" t="inlineStr">
        <is>
          <t>Number of child in my care</t>
        </is>
      </c>
      <c r="E306" s="5" t="inlineStr">
        <is>
          <t>DV-100[0].Page12[0].List28[0].Li1[0].item28aMyNoa_cb[1]</t>
        </is>
      </c>
      <c r="F306" s="5" t="inlineStr">
        <is>
          <t>checkbox</t>
        </is>
      </c>
      <c r="G306" s="5" t="inlineStr">
        <is>
          <t>11</t>
        </is>
      </c>
      <c r="H306" s="5" t="inlineStr"/>
      <c r="I306" s="5" t="inlineStr">
        <is>
          <t>159, 307, 168, 316</t>
        </is>
      </c>
      <c r="J306" s="5" t="inlineStr">
        <is>
          <t>question</t>
        </is>
      </c>
      <c r="K306" s="5" t="inlineStr">
        <is>
          <t>O28.numbers</t>
        </is>
      </c>
      <c r="L306" s="5" t="inlineStr">
        <is>
          <t>check if O28.numbers[0].whose == "child"</t>
        </is>
      </c>
      <c r="M306" s="5" t="inlineStr">
        <is>
          <t>O28 and numbers.length &gt; 0</t>
        </is>
      </c>
      <c r="N306" s="5" t="inlineStr">
        <is>
          <t>Export value 11.</t>
        </is>
      </c>
      <c r="O306" s="5" t="inlineStr"/>
    </row>
    <row r="307">
      <c r="A307" s="5" t="n">
        <v>306</v>
      </c>
      <c r="B307" s="5" t="n">
        <v>12</v>
      </c>
      <c r="C307" s="5" t="inlineStr">
        <is>
          <t>28a</t>
        </is>
      </c>
      <c r="D307" s="5" t="inlineStr">
        <is>
          <t>(including area code):</t>
        </is>
      </c>
      <c r="E307" s="5" t="inlineStr">
        <is>
          <t>DV-100[0].Page12[0].List28[0].Li1[0].Telephone2_ft[0]</t>
        </is>
      </c>
      <c r="F307" s="5" t="inlineStr">
        <is>
          <t>text</t>
        </is>
      </c>
      <c r="G307" s="5" t="inlineStr"/>
      <c r="H307" s="5" t="inlineStr"/>
      <c r="I307" s="5" t="inlineStr">
        <is>
          <t>406, 306, 560, 317</t>
        </is>
      </c>
      <c r="J307" s="5" t="inlineStr">
        <is>
          <t>question</t>
        </is>
      </c>
      <c r="K307" s="5" t="inlineStr">
        <is>
          <t>O28.numbers</t>
        </is>
      </c>
      <c r="L307" s="5">
        <f> O28.numbers[0].phone</f>
        <v/>
      </c>
      <c r="M307" s="5" t="inlineStr">
        <is>
          <t>O28 and numbers.length &gt; 0</t>
        </is>
      </c>
      <c r="N307" s="5" t="inlineStr"/>
      <c r="O307" s="5" t="inlineStr"/>
    </row>
    <row r="308">
      <c r="A308" s="5" t="n">
        <v>307</v>
      </c>
      <c r="B308" s="5" t="n">
        <v>12</v>
      </c>
      <c r="C308" s="5" t="inlineStr">
        <is>
          <t>28b</t>
        </is>
      </c>
      <c r="D308" s="5" t="inlineStr">
        <is>
          <t>My number</t>
        </is>
      </c>
      <c r="E308" s="5" t="inlineStr">
        <is>
          <t>DV-100[0].Page12[0].List28[0].Li2[0].item28bMyNob_cb[0]</t>
        </is>
      </c>
      <c r="F308" s="5" t="inlineStr">
        <is>
          <t>checkbox</t>
        </is>
      </c>
      <c r="G308" s="5" t="inlineStr">
        <is>
          <t>1</t>
        </is>
      </c>
      <c r="H308" s="5" t="inlineStr"/>
      <c r="I308" s="5" t="inlineStr">
        <is>
          <t>78, 325, 87, 334</t>
        </is>
      </c>
      <c r="J308" s="5" t="inlineStr">
        <is>
          <t>question</t>
        </is>
      </c>
      <c r="K308" s="5" t="inlineStr">
        <is>
          <t>O28.numbers</t>
        </is>
      </c>
      <c r="L308" s="5" t="inlineStr">
        <is>
          <t>check if O28.numbers[1].whose == "mine"</t>
        </is>
      </c>
      <c r="M308" s="5" t="inlineStr">
        <is>
          <t>O28 and numbers.length &gt; 1</t>
        </is>
      </c>
      <c r="N308" s="5" t="inlineStr"/>
      <c r="O308" s="5" t="inlineStr"/>
    </row>
    <row r="309">
      <c r="A309" s="5" t="n">
        <v>308</v>
      </c>
      <c r="B309" s="5" t="n">
        <v>12</v>
      </c>
      <c r="C309" s="5" t="inlineStr">
        <is>
          <t>28b</t>
        </is>
      </c>
      <c r="D309" s="5" t="inlineStr">
        <is>
          <t>Number of child in my care</t>
        </is>
      </c>
      <c r="E309" s="5" t="inlineStr">
        <is>
          <t>DV-100[0].Page12[0].List28[0].Li2[0].item28bMyNob_cb[1]</t>
        </is>
      </c>
      <c r="F309" s="5" t="inlineStr">
        <is>
          <t>checkbox</t>
        </is>
      </c>
      <c r="G309" s="5" t="inlineStr">
        <is>
          <t>11</t>
        </is>
      </c>
      <c r="H309" s="5" t="inlineStr"/>
      <c r="I309" s="5" t="inlineStr">
        <is>
          <t>159, 325, 168, 334</t>
        </is>
      </c>
      <c r="J309" s="5" t="inlineStr">
        <is>
          <t>question</t>
        </is>
      </c>
      <c r="K309" s="5" t="inlineStr">
        <is>
          <t>O28.numbers</t>
        </is>
      </c>
      <c r="L309" s="5" t="inlineStr">
        <is>
          <t>check if O28.numbers[1].whose == "child"</t>
        </is>
      </c>
      <c r="M309" s="5" t="inlineStr">
        <is>
          <t>O28 and numbers.length &gt; 1</t>
        </is>
      </c>
      <c r="N309" s="5" t="inlineStr">
        <is>
          <t>Export value 11.</t>
        </is>
      </c>
      <c r="O309" s="5" t="inlineStr"/>
    </row>
    <row r="310">
      <c r="A310" s="5" t="n">
        <v>309</v>
      </c>
      <c r="B310" s="5" t="n">
        <v>12</v>
      </c>
      <c r="C310" s="5" t="inlineStr">
        <is>
          <t>28b</t>
        </is>
      </c>
      <c r="D310" s="5" t="inlineStr">
        <is>
          <t>(including area code):</t>
        </is>
      </c>
      <c r="E310" s="5" t="inlineStr">
        <is>
          <t>DV-100[0].Page12[0].List28[0].Li2[0].Telephone3_ft[0]</t>
        </is>
      </c>
      <c r="F310" s="5" t="inlineStr">
        <is>
          <t>text</t>
        </is>
      </c>
      <c r="G310" s="5" t="inlineStr"/>
      <c r="H310" s="5" t="inlineStr"/>
      <c r="I310" s="5" t="inlineStr">
        <is>
          <t>406, 324, 560, 335</t>
        </is>
      </c>
      <c r="J310" s="5" t="inlineStr">
        <is>
          <t>question</t>
        </is>
      </c>
      <c r="K310" s="5" t="inlineStr">
        <is>
          <t>O28.numbers</t>
        </is>
      </c>
      <c r="L310" s="5">
        <f> O28.numbers[1].phone</f>
        <v/>
      </c>
      <c r="M310" s="5" t="inlineStr">
        <is>
          <t>O28 and numbers.length &gt; 1</t>
        </is>
      </c>
      <c r="N310" s="5" t="inlineStr"/>
      <c r="O310" s="5" t="inlineStr"/>
    </row>
    <row r="311">
      <c r="A311" s="5" t="n">
        <v>310</v>
      </c>
      <c r="B311" s="5" t="n">
        <v>12</v>
      </c>
      <c r="C311" s="5" t="inlineStr">
        <is>
          <t>28c</t>
        </is>
      </c>
      <c r="D311" s="5" t="inlineStr">
        <is>
          <t>My number</t>
        </is>
      </c>
      <c r="E311" s="5" t="inlineStr">
        <is>
          <t>DV-100[0].Page12[0].List28[0].Li3[0].item28aMyNoc_cb[0]</t>
        </is>
      </c>
      <c r="F311" s="5" t="inlineStr">
        <is>
          <t>checkbox</t>
        </is>
      </c>
      <c r="G311" s="5" t="inlineStr">
        <is>
          <t>1</t>
        </is>
      </c>
      <c r="H311" s="5" t="inlineStr"/>
      <c r="I311" s="5" t="inlineStr">
        <is>
          <t>78, 343, 87, 352</t>
        </is>
      </c>
      <c r="J311" s="5" t="inlineStr">
        <is>
          <t>question</t>
        </is>
      </c>
      <c r="K311" s="5" t="inlineStr">
        <is>
          <t>O28.numbers</t>
        </is>
      </c>
      <c r="L311" s="5" t="inlineStr">
        <is>
          <t>check if O28.numbers[2].whose == "mine"</t>
        </is>
      </c>
      <c r="M311" s="5" t="inlineStr">
        <is>
          <t>O28 and numbers.length &gt; 2</t>
        </is>
      </c>
      <c r="N311" s="5" t="inlineStr"/>
      <c r="O311" s="5" t="inlineStr"/>
    </row>
    <row r="312">
      <c r="A312" s="5" t="n">
        <v>311</v>
      </c>
      <c r="B312" s="5" t="n">
        <v>12</v>
      </c>
      <c r="C312" s="5" t="inlineStr">
        <is>
          <t>28c</t>
        </is>
      </c>
      <c r="D312" s="5" t="inlineStr">
        <is>
          <t>Number of child in my care</t>
        </is>
      </c>
      <c r="E312" s="5" t="inlineStr">
        <is>
          <t>DV-100[0].Page12[0].List28[0].Li3[0].item28aMyNoc_cb[1]</t>
        </is>
      </c>
      <c r="F312" s="5" t="inlineStr">
        <is>
          <t>checkbox</t>
        </is>
      </c>
      <c r="G312" s="5" t="inlineStr">
        <is>
          <t>11</t>
        </is>
      </c>
      <c r="H312" s="5" t="inlineStr"/>
      <c r="I312" s="5" t="inlineStr">
        <is>
          <t>159, 343, 168, 352</t>
        </is>
      </c>
      <c r="J312" s="5" t="inlineStr">
        <is>
          <t>question</t>
        </is>
      </c>
      <c r="K312" s="5" t="inlineStr">
        <is>
          <t>O28.numbers</t>
        </is>
      </c>
      <c r="L312" s="5" t="inlineStr">
        <is>
          <t>check if O28.numbers[2].whose == "child"</t>
        </is>
      </c>
      <c r="M312" s="5" t="inlineStr">
        <is>
          <t>O28 and numbers.length &gt; 2</t>
        </is>
      </c>
      <c r="N312" s="5" t="inlineStr">
        <is>
          <t>Export value 11.</t>
        </is>
      </c>
      <c r="O312" s="5" t="inlineStr"/>
    </row>
    <row r="313">
      <c r="A313" s="5" t="n">
        <v>312</v>
      </c>
      <c r="B313" s="5" t="n">
        <v>12</v>
      </c>
      <c r="C313" s="5" t="inlineStr">
        <is>
          <t>28c</t>
        </is>
      </c>
      <c r="D313" s="5" t="inlineStr">
        <is>
          <t>(including area code):</t>
        </is>
      </c>
      <c r="E313" s="5" t="inlineStr">
        <is>
          <t>DV-100[0].Page12[0].List28[0].Li3[0].Telephone2_ft[0]</t>
        </is>
      </c>
      <c r="F313" s="5" t="inlineStr">
        <is>
          <t>text</t>
        </is>
      </c>
      <c r="G313" s="5" t="inlineStr"/>
      <c r="H313" s="5" t="inlineStr"/>
      <c r="I313" s="5" t="inlineStr">
        <is>
          <t>406, 342, 560, 353</t>
        </is>
      </c>
      <c r="J313" s="5" t="inlineStr">
        <is>
          <t>question</t>
        </is>
      </c>
      <c r="K313" s="5" t="inlineStr">
        <is>
          <t>O28.numbers</t>
        </is>
      </c>
      <c r="L313" s="5">
        <f> O28.numbers[2].phone</f>
        <v/>
      </c>
      <c r="M313" s="5" t="inlineStr">
        <is>
          <t>O28 and numbers.length &gt; 2</t>
        </is>
      </c>
      <c r="N313" s="5" t="inlineStr"/>
      <c r="O313" s="5" t="inlineStr"/>
    </row>
    <row r="314">
      <c r="A314" s="5" t="n">
        <v>313</v>
      </c>
      <c r="B314" s="5" t="n">
        <v>12</v>
      </c>
      <c r="C314" s="5" t="inlineStr">
        <is>
          <t>28d</t>
        </is>
      </c>
      <c r="D314" s="5" t="inlineStr">
        <is>
          <t>My number</t>
        </is>
      </c>
      <c r="E314" s="5" t="inlineStr">
        <is>
          <t>DV-100[0].Page12[0].List28[0].Li4[0].item28bMyNod_cb[0]</t>
        </is>
      </c>
      <c r="F314" s="5" t="inlineStr">
        <is>
          <t>checkbox</t>
        </is>
      </c>
      <c r="G314" s="5" t="inlineStr">
        <is>
          <t>1</t>
        </is>
      </c>
      <c r="H314" s="5" t="inlineStr"/>
      <c r="I314" s="5" t="inlineStr">
        <is>
          <t>78, 362, 87, 371</t>
        </is>
      </c>
      <c r="J314" s="5" t="inlineStr">
        <is>
          <t>question</t>
        </is>
      </c>
      <c r="K314" s="5" t="inlineStr">
        <is>
          <t>O28.numbers</t>
        </is>
      </c>
      <c r="L314" s="5" t="inlineStr">
        <is>
          <t>check if O28.numbers[3].whose == "mine"</t>
        </is>
      </c>
      <c r="M314" s="5" t="inlineStr">
        <is>
          <t>O28 and numbers.length &gt; 3</t>
        </is>
      </c>
      <c r="N314" s="5" t="inlineStr"/>
      <c r="O314" s="5" t="inlineStr"/>
    </row>
    <row r="315">
      <c r="A315" s="5" t="n">
        <v>314</v>
      </c>
      <c r="B315" s="5" t="n">
        <v>12</v>
      </c>
      <c r="C315" s="5" t="inlineStr">
        <is>
          <t>28d</t>
        </is>
      </c>
      <c r="D315" s="5" t="inlineStr">
        <is>
          <t>Number of child in my care</t>
        </is>
      </c>
      <c r="E315" s="5" t="inlineStr">
        <is>
          <t>DV-100[0].Page12[0].List28[0].Li4[0].item28bMyNod_cb[1]</t>
        </is>
      </c>
      <c r="F315" s="5" t="inlineStr">
        <is>
          <t>checkbox</t>
        </is>
      </c>
      <c r="G315" s="5" t="inlineStr">
        <is>
          <t>11</t>
        </is>
      </c>
      <c r="H315" s="5" t="inlineStr"/>
      <c r="I315" s="5" t="inlineStr">
        <is>
          <t>159, 362, 168, 371</t>
        </is>
      </c>
      <c r="J315" s="5" t="inlineStr">
        <is>
          <t>question</t>
        </is>
      </c>
      <c r="K315" s="5" t="inlineStr">
        <is>
          <t>O28.numbers</t>
        </is>
      </c>
      <c r="L315" s="5" t="inlineStr">
        <is>
          <t>check if O28.numbers[3].whose == "child"</t>
        </is>
      </c>
      <c r="M315" s="5" t="inlineStr">
        <is>
          <t>O28 and numbers.length &gt; 3</t>
        </is>
      </c>
      <c r="N315" s="5" t="inlineStr">
        <is>
          <t>Export value 11.</t>
        </is>
      </c>
      <c r="O315" s="5" t="inlineStr"/>
    </row>
    <row r="316">
      <c r="A316" s="5" t="n">
        <v>315</v>
      </c>
      <c r="B316" s="5" t="n">
        <v>12</v>
      </c>
      <c r="C316" s="5" t="inlineStr">
        <is>
          <t>28d</t>
        </is>
      </c>
      <c r="D316" s="5" t="inlineStr">
        <is>
          <t>(including area code):</t>
        </is>
      </c>
      <c r="E316" s="5" t="inlineStr">
        <is>
          <t>DV-100[0].Page12[0].List28[0].Li4[0].Telephone3_ft[0]</t>
        </is>
      </c>
      <c r="F316" s="5" t="inlineStr">
        <is>
          <t>text</t>
        </is>
      </c>
      <c r="G316" s="5" t="inlineStr"/>
      <c r="H316" s="5" t="inlineStr"/>
      <c r="I316" s="5" t="inlineStr">
        <is>
          <t>406, 361, 560, 372</t>
        </is>
      </c>
      <c r="J316" s="5" t="inlineStr">
        <is>
          <t>question</t>
        </is>
      </c>
      <c r="K316" s="5" t="inlineStr">
        <is>
          <t>O28.numbers</t>
        </is>
      </c>
      <c r="L316" s="5">
        <f> O28.numbers[3].phone</f>
        <v/>
      </c>
      <c r="M316" s="5" t="inlineStr">
        <is>
          <t>O28 and numbers.length &gt; 3</t>
        </is>
      </c>
      <c r="N316" s="5" t="inlineStr"/>
      <c r="O316" s="5" t="inlineStr"/>
    </row>
    <row r="317">
      <c r="A317" s="7" t="n">
        <v>316</v>
      </c>
      <c r="B317" s="7" t="n">
        <v>13</v>
      </c>
      <c r="C317" s="7" t="inlineStr">
        <is>
          <t>—</t>
        </is>
      </c>
      <c r="D317" s="7" t="inlineStr">
        <is>
          <t>Print this form</t>
        </is>
      </c>
      <c r="E317" s="7" t="inlineStr">
        <is>
          <t>DV-100[0].#pageSet[0].MPLast[0].Print[0]</t>
        </is>
      </c>
      <c r="F317" s="7" t="inlineStr">
        <is>
          <t>button</t>
        </is>
      </c>
      <c r="G317" s="7" t="inlineStr"/>
      <c r="H317" s="7" t="inlineStr"/>
      <c r="I317" s="7" t="inlineStr">
        <is>
          <t>258, 772, 339, 789</t>
        </is>
      </c>
      <c r="J317" s="7" t="inlineStr">
        <is>
          <t>ignore (UI button)</t>
        </is>
      </c>
      <c r="K317" s="7" t="inlineStr"/>
      <c r="L317" s="7" t="inlineStr"/>
      <c r="M317" s="7" t="inlineStr"/>
      <c r="N317" s="7" t="inlineStr">
        <is>
          <t>Print/Save/Clear button or a link on the "Next steps" page. Do not fill.</t>
        </is>
      </c>
      <c r="O317" s="7" t="inlineStr"/>
    </row>
    <row r="318">
      <c r="A318" s="7" t="n">
        <v>317</v>
      </c>
      <c r="B318" s="7" t="n">
        <v>13</v>
      </c>
      <c r="C318" s="7" t="inlineStr">
        <is>
          <t>—</t>
        </is>
      </c>
      <c r="D318" s="7" t="inlineStr">
        <is>
          <t>Save this form</t>
        </is>
      </c>
      <c r="E318" s="7" t="inlineStr">
        <is>
          <t>DV-100[0].#pageSet[0].MPLast[0].Save[0]</t>
        </is>
      </c>
      <c r="F318" s="7" t="inlineStr">
        <is>
          <t>button</t>
        </is>
      </c>
      <c r="G318" s="7" t="inlineStr"/>
      <c r="H318" s="7" t="inlineStr"/>
      <c r="I318" s="7" t="inlineStr">
        <is>
          <t>345, 772, 426, 789</t>
        </is>
      </c>
      <c r="J318" s="7" t="inlineStr">
        <is>
          <t>ignore (UI button)</t>
        </is>
      </c>
      <c r="K318" s="7" t="inlineStr"/>
      <c r="L318" s="7" t="inlineStr"/>
      <c r="M318" s="7" t="inlineStr"/>
      <c r="N318" s="7" t="inlineStr">
        <is>
          <t>Print/Save/Clear button or a link on the "Next steps" page. Do not fill.</t>
        </is>
      </c>
      <c r="O318" s="7" t="inlineStr"/>
    </row>
    <row r="319">
      <c r="A319" s="7" t="n">
        <v>318</v>
      </c>
      <c r="B319" s="7" t="n">
        <v>13</v>
      </c>
      <c r="C319" s="7" t="inlineStr">
        <is>
          <t>—</t>
        </is>
      </c>
      <c r="D319" s="7" t="inlineStr">
        <is>
          <t>Clear this form</t>
        </is>
      </c>
      <c r="E319" s="7" t="inlineStr">
        <is>
          <t>DV-100[0].#pageSet[0].MPLast[0].Reset[0]</t>
        </is>
      </c>
      <c r="F319" s="7" t="inlineStr">
        <is>
          <t>button</t>
        </is>
      </c>
      <c r="G319" s="7" t="inlineStr"/>
      <c r="H319" s="7" t="inlineStr"/>
      <c r="I319" s="7" t="inlineStr">
        <is>
          <t>495, 772, 576, 789</t>
        </is>
      </c>
      <c r="J319" s="7" t="inlineStr">
        <is>
          <t>ignore (UI button)</t>
        </is>
      </c>
      <c r="K319" s="7" t="inlineStr"/>
      <c r="L319" s="7" t="inlineStr"/>
      <c r="M319" s="7" t="inlineStr"/>
      <c r="N319" s="7" t="inlineStr">
        <is>
          <t>Print/Save/Clear button or a link on the "Next steps" page. Do not fill.</t>
        </is>
      </c>
      <c r="O319" s="7" t="inlineStr"/>
    </row>
    <row r="320">
      <c r="A320" s="7" t="n">
        <v>319</v>
      </c>
      <c r="B320" s="7" t="n">
        <v>13</v>
      </c>
      <c r="C320" s="7" t="inlineStr">
        <is>
          <t>—</t>
        </is>
      </c>
      <c r="D320" s="7" t="inlineStr">
        <is>
          <t>For your protection and privacy, please press the Clear This Form button after you have printed the form.</t>
        </is>
      </c>
      <c r="E320" s="7" t="inlineStr">
        <is>
          <t>DV-100[0].#pageSet[0].MPLast[0].Warning[0]</t>
        </is>
      </c>
      <c r="F320" s="7" t="inlineStr">
        <is>
          <t>button</t>
        </is>
      </c>
      <c r="G320" s="7" t="inlineStr"/>
      <c r="H320" s="7" t="inlineStr"/>
      <c r="I320" s="7" t="inlineStr">
        <is>
          <t>36, 766, 247, 789</t>
        </is>
      </c>
      <c r="J320" s="7" t="inlineStr">
        <is>
          <t>ignore (UI button)</t>
        </is>
      </c>
      <c r="K320" s="7" t="inlineStr"/>
      <c r="L320" s="7" t="inlineStr"/>
      <c r="M320" s="7" t="inlineStr"/>
      <c r="N320" s="7" t="inlineStr">
        <is>
          <t>Print/Save/Clear button or a link on the "Next steps" page. Do not fill.</t>
        </is>
      </c>
      <c r="O320" s="7" t="inlineStr"/>
    </row>
    <row r="321">
      <c r="A321" s="5" t="n">
        <v>320</v>
      </c>
      <c r="B321" s="5" t="n">
        <v>13</v>
      </c>
      <c r="C321" s="5" t="inlineStr">
        <is>
          <t>Caption</t>
        </is>
      </c>
      <c r="D321" s="5" t="inlineStr">
        <is>
          <t>Case Number:</t>
        </is>
      </c>
      <c r="E321" s="5" t="inlineStr">
        <is>
          <t>DV-100[0].Page13[0].PxCaption[0].CaseNumber[0]</t>
        </is>
      </c>
      <c r="F321" s="5" t="inlineStr">
        <is>
          <t>text</t>
        </is>
      </c>
      <c r="G321" s="5" t="inlineStr"/>
      <c r="H321" s="5" t="inlineStr"/>
      <c r="I321" s="5" t="inlineStr">
        <is>
          <t>398, 48, 573, 63</t>
        </is>
      </c>
      <c r="J321" s="5" t="inlineStr">
        <is>
          <t>question</t>
        </is>
      </c>
      <c r="K321" s="5" t="inlineStr">
        <is>
          <t>S3,S4</t>
        </is>
      </c>
      <c r="L321" s="5">
        <f> S4</f>
        <v/>
      </c>
      <c r="M321" s="5" t="inlineStr">
        <is>
          <t>S3 == "update"; otherwise blank for clerk</t>
        </is>
      </c>
      <c r="N321" s="5" t="inlineStr">
        <is>
          <t>Case number box, repeated on every page; fill all 13 when known.</t>
        </is>
      </c>
      <c r="O321" s="5" t="inlineStr"/>
    </row>
    <row r="322">
      <c r="A322" s="6" t="n">
        <v>321</v>
      </c>
      <c r="B322" s="6" t="n">
        <v>13</v>
      </c>
      <c r="C322" s="6" t="inlineStr">
        <is>
          <t>32</t>
        </is>
      </c>
      <c r="D322" s="6" t="inlineStr">
        <is>
          <t>If you used additional paper or forms, enter the number of extra pages attached to this form:</t>
        </is>
      </c>
      <c r="E322" s="6" t="inlineStr">
        <is>
          <t>DV-100[0].Page13[0].List32[0].Li1[0].T97[0]</t>
        </is>
      </c>
      <c r="F322" s="6" t="inlineStr">
        <is>
          <t>text</t>
        </is>
      </c>
      <c r="G322" s="6" t="inlineStr"/>
      <c r="H322" s="6" t="inlineStr"/>
      <c r="I322" s="6" t="inlineStr">
        <is>
          <t>474, 113, 547, 124</t>
        </is>
      </c>
      <c r="J322" s="6" t="inlineStr">
        <is>
          <t>derived</t>
        </is>
      </c>
      <c r="K322" s="6" t="inlineStr">
        <is>
          <t>(packet)</t>
        </is>
      </c>
      <c r="L322" s="6">
        <f> count of extra pages attached to DV-100 (DV-101, Describe Abuse sheet, Other Protected People sheet, overflow lists, attached order copies)</f>
        <v/>
      </c>
      <c r="M322" s="6" t="inlineStr">
        <is>
          <t>&gt; 0</t>
        </is>
      </c>
      <c r="N322" s="6" t="inlineStr"/>
      <c r="O322" s="6" t="inlineStr"/>
    </row>
    <row r="323">
      <c r="A323" s="5" t="n">
        <v>322</v>
      </c>
      <c r="B323" s="5" t="n">
        <v>13</v>
      </c>
      <c r="C323" s="5" t="inlineStr">
        <is>
          <t>33</t>
        </is>
      </c>
      <c r="D323" s="5" t="inlineStr">
        <is>
          <t>Date:</t>
        </is>
      </c>
      <c r="E323" s="5" t="inlineStr">
        <is>
          <t>DV-100[0].Page13[0].List33[0].Li1[0].SigDate[0]</t>
        </is>
      </c>
      <c r="F323" s="5" t="inlineStr">
        <is>
          <t>text</t>
        </is>
      </c>
      <c r="G323" s="5" t="inlineStr"/>
      <c r="H323" s="5" t="inlineStr"/>
      <c r="I323" s="5" t="inlineStr">
        <is>
          <t>88, 217, 210, 228</t>
        </is>
      </c>
      <c r="J323" s="5" t="inlineStr">
        <is>
          <t>question</t>
        </is>
      </c>
      <c r="K323" s="5" t="inlineStr">
        <is>
          <t>G1</t>
        </is>
      </c>
      <c r="L323" s="5">
        <f> fmtDate(G1)</f>
        <v/>
      </c>
      <c r="M323" s="5" t="inlineStr"/>
      <c r="N323" s="5" t="inlineStr"/>
      <c r="O323" s="5" t="inlineStr"/>
    </row>
    <row r="324">
      <c r="A324" s="5" t="n">
        <v>323</v>
      </c>
      <c r="B324" s="5" t="n">
        <v>13</v>
      </c>
      <c r="C324" s="5" t="inlineStr">
        <is>
          <t>33</t>
        </is>
      </c>
      <c r="D324" s="5" t="inlineStr">
        <is>
          <t>Type or print your name</t>
        </is>
      </c>
      <c r="E324" s="5" t="inlineStr">
        <is>
          <t>DV-100[0].Page13[0].List33[0].Li1[0].YourName_tf[0]</t>
        </is>
      </c>
      <c r="F324" s="5" t="inlineStr">
        <is>
          <t>text</t>
        </is>
      </c>
      <c r="G324" s="5" t="inlineStr"/>
      <c r="H324" s="5" t="inlineStr"/>
      <c r="I324" s="5" t="inlineStr">
        <is>
          <t>63, 229, 288, 243</t>
        </is>
      </c>
      <c r="J324" s="5" t="inlineStr">
        <is>
          <t>question</t>
        </is>
      </c>
      <c r="K324" s="5" t="inlineStr">
        <is>
          <t>P1</t>
        </is>
      </c>
      <c r="L324" s="5">
        <f> P1</f>
        <v/>
      </c>
      <c r="M324" s="5" t="inlineStr"/>
      <c r="N324" s="5" t="inlineStr">
        <is>
          <t>Signature itself is not a field: sign wet or electronically.</t>
        </is>
      </c>
      <c r="O324" s="5" t="inlineStr"/>
    </row>
    <row r="325">
      <c r="A325" s="5" t="n">
        <v>324</v>
      </c>
      <c r="B325" s="5" t="n">
        <v>13</v>
      </c>
      <c r="C325" s="5" t="inlineStr">
        <is>
          <t>34</t>
        </is>
      </c>
      <c r="D325" s="5" t="inlineStr">
        <is>
          <t>Date:</t>
        </is>
      </c>
      <c r="E325" s="5" t="inlineStr">
        <is>
          <t>DV-100[0].Page13[0].List34[0].Li1[0].SigDate[0]</t>
        </is>
      </c>
      <c r="F325" s="5" t="inlineStr">
        <is>
          <t>text</t>
        </is>
      </c>
      <c r="G325" s="5" t="inlineStr"/>
      <c r="H325" s="5" t="inlineStr"/>
      <c r="I325" s="5" t="inlineStr">
        <is>
          <t>87, 321, 213, 332</t>
        </is>
      </c>
      <c r="J325" s="5" t="inlineStr">
        <is>
          <t>question</t>
        </is>
      </c>
      <c r="K325" s="5" t="inlineStr">
        <is>
          <t>G1</t>
        </is>
      </c>
      <c r="L325" s="5">
        <f> fmtDate(G1)</f>
        <v/>
      </c>
      <c r="M325" s="5" t="inlineStr">
        <is>
          <t>S5 == "Y"</t>
        </is>
      </c>
      <c r="N325" s="5" t="inlineStr">
        <is>
          <t>Assumes the lawyer signs the same day; change if staff want a separate date.</t>
        </is>
      </c>
      <c r="O325" s="5" t="inlineStr"/>
    </row>
    <row r="326">
      <c r="A326" s="5" t="n">
        <v>325</v>
      </c>
      <c r="B326" s="5" t="n">
        <v>13</v>
      </c>
      <c r="C326" s="5" t="inlineStr">
        <is>
          <t>34</t>
        </is>
      </c>
      <c r="D326" s="5" t="inlineStr">
        <is>
          <t>Lawyer’s name</t>
        </is>
      </c>
      <c r="E326" s="5" t="inlineStr">
        <is>
          <t>DV-100[0].Page13[0].List34[0].Li1[0].T14[0]</t>
        </is>
      </c>
      <c r="F326" s="5" t="inlineStr">
        <is>
          <t>text</t>
        </is>
      </c>
      <c r="G326" s="5" t="inlineStr"/>
      <c r="H326" s="5" t="inlineStr"/>
      <c r="I326" s="5" t="inlineStr">
        <is>
          <t>63, 334, 288, 348</t>
        </is>
      </c>
      <c r="J326" s="5" t="inlineStr">
        <is>
          <t>question</t>
        </is>
      </c>
      <c r="K326" s="5" t="inlineStr">
        <is>
          <t>L1</t>
        </is>
      </c>
      <c r="L326" s="5">
        <f> L1</f>
        <v/>
      </c>
      <c r="M326" s="5" t="inlineStr">
        <is>
          <t>S5 == "Y"</t>
        </is>
      </c>
      <c r="N326" s="5" t="inlineStr"/>
      <c r="O326" s="5" t="inlineStr"/>
    </row>
    <row r="327">
      <c r="A327" s="7" t="n">
        <v>326</v>
      </c>
      <c r="B327" s="7" t="n">
        <v>13</v>
      </c>
      <c r="C327" s="7" t="inlineStr">
        <is>
          <t>—</t>
        </is>
      </c>
      <c r="D327" s="7" t="inlineStr">
        <is>
          <t>DV-110</t>
        </is>
      </c>
      <c r="E327" s="7" t="inlineStr">
        <is>
          <t>DV-100[0].Page13[0].nextStep1[0].bullet1[0].dv110[0]</t>
        </is>
      </c>
      <c r="F327" s="7" t="inlineStr">
        <is>
          <t>button</t>
        </is>
      </c>
      <c r="G327" s="7" t="inlineStr"/>
      <c r="H327" s="7" t="inlineStr"/>
      <c r="I327" s="7" t="inlineStr">
        <is>
          <t>96, 463, 133, 474</t>
        </is>
      </c>
      <c r="J327" s="7" t="inlineStr">
        <is>
          <t>ignore (UI button)</t>
        </is>
      </c>
      <c r="K327" s="7" t="inlineStr"/>
      <c r="L327" s="7" t="inlineStr"/>
      <c r="M327" s="7" t="inlineStr"/>
      <c r="N327" s="7" t="inlineStr">
        <is>
          <t>Print/Save/Clear button or a link on the "Next steps" page. Do not fill.</t>
        </is>
      </c>
      <c r="O327" s="7" t="inlineStr"/>
    </row>
    <row r="328">
      <c r="A328" s="7" t="n">
        <v>327</v>
      </c>
      <c r="B328" s="7" t="n">
        <v>13</v>
      </c>
      <c r="C328" s="7" t="inlineStr">
        <is>
          <t>—</t>
        </is>
      </c>
      <c r="D328" s="7" t="inlineStr">
        <is>
          <t>DV-109</t>
        </is>
      </c>
      <c r="E328" s="7" t="inlineStr">
        <is>
          <t>DV-100[0].Page13[0].nextStep1[0].bullet2[0].dv109[0]</t>
        </is>
      </c>
      <c r="F328" s="7" t="inlineStr">
        <is>
          <t>button</t>
        </is>
      </c>
      <c r="G328" s="7" t="inlineStr"/>
      <c r="H328" s="7" t="inlineStr"/>
      <c r="I328" s="7" t="inlineStr">
        <is>
          <t>96, 480, 133, 491</t>
        </is>
      </c>
      <c r="J328" s="7" t="inlineStr">
        <is>
          <t>ignore (UI button)</t>
        </is>
      </c>
      <c r="K328" s="7" t="inlineStr"/>
      <c r="L328" s="7" t="inlineStr"/>
      <c r="M328" s="7" t="inlineStr"/>
      <c r="N328" s="7" t="inlineStr">
        <is>
          <t>Print/Save/Clear button or a link on the "Next steps" page. Do not fill.</t>
        </is>
      </c>
      <c r="O328" s="7" t="inlineStr"/>
    </row>
    <row r="329">
      <c r="A329" s="7" t="n">
        <v>328</v>
      </c>
      <c r="B329" s="7" t="n">
        <v>13</v>
      </c>
      <c r="C329" s="7" t="inlineStr">
        <is>
          <t>—</t>
        </is>
      </c>
      <c r="D329" s="7" t="inlineStr">
        <is>
          <t>CLETS-001</t>
        </is>
      </c>
      <c r="E329" s="7" t="inlineStr">
        <is>
          <t>DV-100[0].Page13[0].nextStep1[0].bullet3[0].clets001[0]</t>
        </is>
      </c>
      <c r="F329" s="7" t="inlineStr">
        <is>
          <t>button</t>
        </is>
      </c>
      <c r="G329" s="7" t="inlineStr"/>
      <c r="H329" s="7" t="inlineStr"/>
      <c r="I329" s="7" t="inlineStr">
        <is>
          <t>96, 494, 150, 505</t>
        </is>
      </c>
      <c r="J329" s="7" t="inlineStr">
        <is>
          <t>ignore (UI button)</t>
        </is>
      </c>
      <c r="K329" s="7" t="inlineStr"/>
      <c r="L329" s="7" t="inlineStr"/>
      <c r="M329" s="7" t="inlineStr"/>
      <c r="N329" s="7" t="inlineStr">
        <is>
          <t>Print/Save/Clear button or a link on the "Next steps" page. Do not fill.</t>
        </is>
      </c>
      <c r="O329" s="7" t="inlineStr"/>
    </row>
    <row r="330">
      <c r="A330" s="7" t="n">
        <v>329</v>
      </c>
      <c r="B330" s="7" t="n">
        <v>13</v>
      </c>
      <c r="C330" s="7" t="inlineStr">
        <is>
          <t>—</t>
        </is>
      </c>
      <c r="D330" s="7" t="inlineStr">
        <is>
          <t>DV-105</t>
        </is>
      </c>
      <c r="E330" s="7" t="inlineStr">
        <is>
          <t>DV-100[0].Page13[0].nextStep1[0].bullet4[0].dv105[0]</t>
        </is>
      </c>
      <c r="F330" s="7" t="inlineStr">
        <is>
          <t>button</t>
        </is>
      </c>
      <c r="G330" s="7" t="inlineStr"/>
      <c r="H330" s="7" t="inlineStr"/>
      <c r="I330" s="7" t="inlineStr">
        <is>
          <t>448, 510, 484, 521</t>
        </is>
      </c>
      <c r="J330" s="7" t="inlineStr">
        <is>
          <t>ignore (UI button)</t>
        </is>
      </c>
      <c r="K330" s="7" t="inlineStr"/>
      <c r="L330" s="7" t="inlineStr"/>
      <c r="M330" s="7" t="inlineStr"/>
      <c r="N330" s="7" t="inlineStr">
        <is>
          <t>Print/Save/Clear button or a link on the "Next steps" page. Do not fill.</t>
        </is>
      </c>
      <c r="O330" s="7" t="inlineStr"/>
    </row>
    <row r="331">
      <c r="A331" s="7" t="n">
        <v>330</v>
      </c>
      <c r="B331" s="7" t="n">
        <v>13</v>
      </c>
      <c r="C331" s="7" t="inlineStr">
        <is>
          <t>—</t>
        </is>
      </c>
      <c r="D331" s="7" t="inlineStr">
        <is>
          <t>DV-140</t>
        </is>
      </c>
      <c r="E331" s="7" t="inlineStr">
        <is>
          <t>DV-100[0].Page13[0].nextStep1[0].bullet4[0].Button1[0]</t>
        </is>
      </c>
      <c r="F331" s="7" t="inlineStr">
        <is>
          <t>button</t>
        </is>
      </c>
      <c r="G331" s="7" t="inlineStr"/>
      <c r="H331" s="7" t="inlineStr"/>
      <c r="I331" s="7" t="inlineStr">
        <is>
          <t>255, 523, 291, 534</t>
        </is>
      </c>
      <c r="J331" s="7" t="inlineStr">
        <is>
          <t>ignore (UI button)</t>
        </is>
      </c>
      <c r="K331" s="7" t="inlineStr"/>
      <c r="L331" s="7" t="inlineStr"/>
      <c r="M331" s="7" t="inlineStr"/>
      <c r="N331" s="7" t="inlineStr">
        <is>
          <t>Print/Save/Clear button or a link on the "Next steps" page. Do not fill.</t>
        </is>
      </c>
      <c r="O331" s="7" t="inlineStr"/>
    </row>
    <row r="332">
      <c r="A332" s="7" t="n">
        <v>331</v>
      </c>
      <c r="B332" s="7" t="n">
        <v>13</v>
      </c>
      <c r="C332" s="7" t="inlineStr">
        <is>
          <t>—</t>
        </is>
      </c>
      <c r="D332" s="7" t="inlineStr">
        <is>
          <t>SER-001</t>
        </is>
      </c>
      <c r="E332" s="7" t="inlineStr">
        <is>
          <t>DV-100[0].Page13[0].ListNextstep3[0].Li1[0].Button1[0]</t>
        </is>
      </c>
      <c r="F332" s="7" t="inlineStr">
        <is>
          <t>button</t>
        </is>
      </c>
      <c r="G332" s="7" t="inlineStr"/>
      <c r="H332" s="7" t="inlineStr"/>
      <c r="I332" s="7" t="inlineStr">
        <is>
          <t>275, 593, 316, 604</t>
        </is>
      </c>
      <c r="J332" s="7" t="inlineStr">
        <is>
          <t>ignore (UI button)</t>
        </is>
      </c>
      <c r="K332" s="7" t="inlineStr"/>
      <c r="L332" s="7" t="inlineStr"/>
      <c r="M332" s="7" t="inlineStr"/>
      <c r="N332" s="7" t="inlineStr">
        <is>
          <t>Print/Save/Clear button or a link on the "Next steps" page. Do not fill.</t>
        </is>
      </c>
      <c r="O332" s="7" t="inlineStr"/>
    </row>
    <row r="333">
      <c r="A333" s="7" t="n">
        <v>332</v>
      </c>
      <c r="B333" s="7" t="n">
        <v>13</v>
      </c>
      <c r="C333" s="7" t="inlineStr">
        <is>
          <t>—</t>
        </is>
      </c>
      <c r="D333" s="7" t="inlineStr">
        <is>
          <t>https://selfhelp.courts.ca.gov/sheriff-serves-your-request-restraining-order</t>
        </is>
      </c>
      <c r="E333" s="7" t="inlineStr">
        <is>
          <t>DV-100[0].Page13[0].ListNextstep3[0].Li1[0].Button1[1]</t>
        </is>
      </c>
      <c r="F333" s="7" t="inlineStr">
        <is>
          <t>button</t>
        </is>
      </c>
      <c r="G333" s="7" t="inlineStr"/>
      <c r="H333" s="7" t="inlineStr"/>
      <c r="I333" s="7" t="inlineStr">
        <is>
          <t>135, 606, 462, 617</t>
        </is>
      </c>
      <c r="J333" s="7" t="inlineStr">
        <is>
          <t>ignore (UI button)</t>
        </is>
      </c>
      <c r="K333" s="7" t="inlineStr"/>
      <c r="L333" s="7" t="inlineStr"/>
      <c r="M333" s="7" t="inlineStr"/>
      <c r="N333" s="7" t="inlineStr">
        <is>
          <t>Print/Save/Clear button or a link on the "Next steps" page. Do not fill.</t>
        </is>
      </c>
      <c r="O333" s="7" t="inlineStr"/>
    </row>
    <row r="334">
      <c r="A334" s="7" t="n">
        <v>333</v>
      </c>
      <c r="B334" s="7" t="n">
        <v>13</v>
      </c>
      <c r="C334" s="7" t="inlineStr">
        <is>
          <t>—</t>
        </is>
      </c>
      <c r="D334" s="7" t="inlineStr">
        <is>
          <t>FL-150</t>
        </is>
      </c>
      <c r="E334" s="7" t="inlineStr">
        <is>
          <t>DV-100[0].Page13[0].ListNextstep4[0].Li1[0].fl150[0]</t>
        </is>
      </c>
      <c r="F334" s="7" t="inlineStr">
        <is>
          <t>button</t>
        </is>
      </c>
      <c r="G334" s="7" t="inlineStr"/>
      <c r="H334" s="7" t="inlineStr"/>
      <c r="I334" s="7" t="inlineStr">
        <is>
          <t>430, 636, 463, 647</t>
        </is>
      </c>
      <c r="J334" s="7" t="inlineStr">
        <is>
          <t>ignore (UI button)</t>
        </is>
      </c>
      <c r="K334" s="7" t="inlineStr"/>
      <c r="L334" s="7" t="inlineStr"/>
      <c r="M334" s="7" t="inlineStr"/>
      <c r="N334" s="7" t="inlineStr">
        <is>
          <t>Print/Save/Clear button or a link on the "Next steps" page. Do not fill.</t>
        </is>
      </c>
      <c r="O334" s="7" t="inlineStr"/>
    </row>
    <row r="335">
      <c r="A335" s="7" t="n">
        <v>334</v>
      </c>
      <c r="B335" s="7" t="n">
        <v>13</v>
      </c>
      <c r="C335" s="7" t="inlineStr">
        <is>
          <t>—</t>
        </is>
      </c>
      <c r="D335" s="7" t="inlineStr">
        <is>
          <t>FL-155</t>
        </is>
      </c>
      <c r="E335" s="7" t="inlineStr">
        <is>
          <t>DV-100[0].Page13[0].ListNextstep4[0].Li1[0].fl155[0]</t>
        </is>
      </c>
      <c r="F335" s="7" t="inlineStr">
        <is>
          <t>button</t>
        </is>
      </c>
      <c r="G335" s="7" t="inlineStr"/>
      <c r="H335" s="7" t="inlineStr"/>
      <c r="I335" s="7" t="inlineStr">
        <is>
          <t>504, 649, 537, 660</t>
        </is>
      </c>
      <c r="J335" s="7" t="inlineStr">
        <is>
          <t>ignore (UI button)</t>
        </is>
      </c>
      <c r="K335" s="7" t="inlineStr"/>
      <c r="L335" s="7" t="inlineStr"/>
      <c r="M335" s="7" t="inlineStr"/>
      <c r="N335" s="7" t="inlineStr">
        <is>
          <t>Print/Save/Clear button or a link on the "Next steps" page. Do not fill.</t>
        </is>
      </c>
      <c r="O335" s="7" t="inlineStr"/>
    </row>
    <row r="336">
      <c r="A336" s="7" t="n">
        <v>335</v>
      </c>
      <c r="B336" s="7" t="n">
        <v>13</v>
      </c>
      <c r="C336" s="7" t="inlineStr">
        <is>
          <t>—</t>
        </is>
      </c>
      <c r="D336" s="7" t="inlineStr">
        <is>
          <t>DV-570</t>
        </is>
      </c>
      <c r="E336" s="7" t="inlineStr">
        <is>
          <t>DV-100[0].Page13[0].ListNextstep4[0].Li1[0].Button1[0]</t>
        </is>
      </c>
      <c r="F336" s="7" t="inlineStr">
        <is>
          <t>button</t>
        </is>
      </c>
      <c r="G336" s="7" t="inlineStr"/>
      <c r="H336" s="7" t="inlineStr"/>
      <c r="I336" s="7" t="inlineStr">
        <is>
          <t>87, 662, 123, 673</t>
        </is>
      </c>
      <c r="J336" s="7" t="inlineStr">
        <is>
          <t>ignore (UI button)</t>
        </is>
      </c>
      <c r="K336" s="7" t="inlineStr"/>
      <c r="L336" s="7" t="inlineStr"/>
      <c r="M336" s="7" t="inlineStr"/>
      <c r="N336" s="7" t="inlineStr">
        <is>
          <t>Print/Save/Clear button or a link on the "Next steps" page. Do not fill.</t>
        </is>
      </c>
      <c r="O336" s="7" t="inlineStr"/>
    </row>
  </sheetData>
  <autoFilter ref="A1:O336"/>
  <dataValidations count="1">
    <dataValidation sqref="J2:J336" showDropDown="0" showInputMessage="0" showErrorMessage="0" allowBlank="1" type="list">
      <formula1>"question,derived,court/clerk,server,ignore (UI button)"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5" t="n">
        <v>1</v>
      </c>
      <c r="B2" s="5" t="n">
        <v>1</v>
      </c>
      <c r="C2" s="5" t="inlineStr">
        <is>
          <t>Caption</t>
        </is>
      </c>
      <c r="D2" s="5" t="inlineStr">
        <is>
          <t>Case Number</t>
        </is>
      </c>
      <c r="E2" s="5" t="inlineStr">
        <is>
          <t>CLETS-001[0].Page1[0].RightCaption[0].CaseNumber_ft[0]</t>
        </is>
      </c>
      <c r="F2" s="5" t="inlineStr">
        <is>
          <t>text</t>
        </is>
      </c>
      <c r="G2" s="5" t="inlineStr"/>
      <c r="H2" s="5" t="inlineStr"/>
      <c r="I2" s="5" t="inlineStr">
        <is>
          <t>401, 159, 570, 176</t>
        </is>
      </c>
      <c r="J2" s="5" t="inlineStr">
        <is>
          <t>question</t>
        </is>
      </c>
      <c r="K2" s="5" t="inlineStr">
        <is>
          <t>S3,S4</t>
        </is>
      </c>
      <c r="L2" s="5">
        <f> S4</f>
        <v/>
      </c>
      <c r="M2" s="5" t="inlineStr">
        <is>
          <t>S3 == "update"; otherwise blank for clerk</t>
        </is>
      </c>
      <c r="N2" s="5" t="inlineStr"/>
      <c r="O2" s="5" t="inlineStr"/>
    </row>
    <row r="3">
      <c r="A3" s="8" t="n">
        <v>2</v>
      </c>
      <c r="B3" s="8" t="n">
        <v>1</v>
      </c>
      <c r="C3" s="8" t="inlineStr">
        <is>
          <t>Caption</t>
        </is>
      </c>
      <c r="D3" s="8" t="inlineStr">
        <is>
          <t>Date received by court</t>
        </is>
      </c>
      <c r="E3" s="8" t="inlineStr">
        <is>
          <t>CLETS-001[0].Page1[0].RightCaption[0].DateField1[0]</t>
        </is>
      </c>
      <c r="F3" s="8" t="inlineStr">
        <is>
          <t>text</t>
        </is>
      </c>
      <c r="G3" s="8" t="inlineStr"/>
      <c r="H3" s="8" t="inlineStr"/>
      <c r="I3" s="8" t="inlineStr">
        <is>
          <t>500, 192, 574, 205</t>
        </is>
      </c>
      <c r="J3" s="8" t="inlineStr">
        <is>
          <t>court/clerk</t>
        </is>
      </c>
      <c r="K3" s="8" t="inlineStr"/>
      <c r="L3" s="8" t="inlineStr"/>
      <c r="M3" s="8" t="inlineStr"/>
      <c r="N3" s="8" t="inlineStr">
        <is>
          <t>"Date received by court": clerk.</t>
        </is>
      </c>
      <c r="O3" s="8" t="inlineStr"/>
    </row>
    <row r="4">
      <c r="A4" s="5" t="n">
        <v>3</v>
      </c>
      <c r="B4" s="5" t="n">
        <v>1</v>
      </c>
      <c r="C4" s="5" t="inlineStr">
        <is>
          <t>1</t>
        </is>
      </c>
      <c r="D4" s="5" t="inlineStr">
        <is>
          <t>Name</t>
        </is>
      </c>
      <c r="E4" s="5" t="inlineStr">
        <is>
          <t>CLETS-001[0].Page1[0].List1[0].Li1[0].nametf[0]</t>
        </is>
      </c>
      <c r="F4" s="5" t="inlineStr">
        <is>
          <t>text</t>
        </is>
      </c>
      <c r="G4" s="5" t="inlineStr"/>
      <c r="H4" s="5" t="inlineStr"/>
      <c r="I4" s="5" t="inlineStr">
        <is>
          <t>104, 321, 576, 334</t>
        </is>
      </c>
      <c r="J4" s="5" t="inlineStr">
        <is>
          <t>question</t>
        </is>
      </c>
      <c r="K4" s="5" t="inlineStr">
        <is>
          <t>R1</t>
        </is>
      </c>
      <c r="L4" s="5">
        <f> R1</f>
        <v/>
      </c>
      <c r="M4" s="5" t="inlineStr"/>
      <c r="N4" s="5" t="inlineStr"/>
      <c r="O4" s="5" t="inlineStr"/>
    </row>
    <row r="5">
      <c r="A5" s="5" t="n">
        <v>4</v>
      </c>
      <c r="B5" s="5" t="n">
        <v>1</v>
      </c>
      <c r="C5" s="5" t="inlineStr">
        <is>
          <t>1</t>
        </is>
      </c>
      <c r="D5" s="5" t="inlineStr">
        <is>
          <t>Other names used</t>
        </is>
      </c>
      <c r="E5" s="5" t="inlineStr">
        <is>
          <t>CLETS-001[0].Page1[0].List1[0].Li1[0].othernametf[0]</t>
        </is>
      </c>
      <c r="F5" s="5" t="inlineStr">
        <is>
          <t>text</t>
        </is>
      </c>
      <c r="G5" s="5" t="inlineStr"/>
      <c r="H5" s="5" t="inlineStr"/>
      <c r="I5" s="5" t="inlineStr">
        <is>
          <t>147, 343, 575, 355</t>
        </is>
      </c>
      <c r="J5" s="5" t="inlineStr">
        <is>
          <t>question</t>
        </is>
      </c>
      <c r="K5" s="5" t="inlineStr">
        <is>
          <t>R2</t>
        </is>
      </c>
      <c r="L5" s="5">
        <f> R2</f>
        <v/>
      </c>
      <c r="M5" s="5" t="inlineStr"/>
      <c r="N5" s="5" t="inlineStr"/>
      <c r="O5" s="5" t="inlineStr"/>
    </row>
    <row r="6">
      <c r="A6" s="5" t="n">
        <v>5</v>
      </c>
      <c r="B6" s="5" t="n">
        <v>1</v>
      </c>
      <c r="C6" s="5" t="inlineStr">
        <is>
          <t>1</t>
        </is>
      </c>
      <c r="D6" s="5" t="inlineStr">
        <is>
          <t>Marks, scars, or tattoos</t>
        </is>
      </c>
      <c r="E6" s="5" t="inlineStr">
        <is>
          <t>CLETS-001[0].Page1[0].List1[0].Li1[0].marktf[0]</t>
        </is>
      </c>
      <c r="F6" s="5" t="inlineStr">
        <is>
          <t>text</t>
        </is>
      </c>
      <c r="G6" s="5" t="inlineStr"/>
      <c r="H6" s="5" t="inlineStr"/>
      <c r="I6" s="5" t="inlineStr">
        <is>
          <t>171, 365, 575, 377</t>
        </is>
      </c>
      <c r="J6" s="5" t="inlineStr">
        <is>
          <t>question</t>
        </is>
      </c>
      <c r="K6" s="5" t="inlineStr">
        <is>
          <t>R8</t>
        </is>
      </c>
      <c r="L6" s="5">
        <f> R8</f>
        <v/>
      </c>
      <c r="M6" s="5" t="inlineStr"/>
      <c r="N6" s="5" t="inlineStr"/>
      <c r="O6" s="5" t="inlineStr"/>
    </row>
    <row r="7">
      <c r="A7" s="5" t="n">
        <v>6</v>
      </c>
      <c r="B7" s="5" t="n">
        <v>1</v>
      </c>
      <c r="C7" s="5" t="inlineStr">
        <is>
          <t>1</t>
        </is>
      </c>
      <c r="D7" s="5" t="inlineStr">
        <is>
          <t>Social Security Number</t>
        </is>
      </c>
      <c r="E7" s="5" t="inlineStr">
        <is>
          <t>CLETS-001[0].Page1[0].List1[0].Li1[0].ssntf[0]</t>
        </is>
      </c>
      <c r="F7" s="5" t="inlineStr">
        <is>
          <t>text</t>
        </is>
      </c>
      <c r="G7" s="5" t="inlineStr"/>
      <c r="H7" s="5" t="inlineStr"/>
      <c r="I7" s="5" t="inlineStr">
        <is>
          <t>459, 386, 573, 399</t>
        </is>
      </c>
      <c r="J7" s="5" t="inlineStr">
        <is>
          <t>question</t>
        </is>
      </c>
      <c r="K7" s="5" t="inlineStr">
        <is>
          <t>R10</t>
        </is>
      </c>
      <c r="L7" s="5">
        <f> R10</f>
        <v/>
      </c>
      <c r="M7" s="5" t="inlineStr"/>
      <c r="N7" s="5" t="inlineStr">
        <is>
          <t>Prints only here. CLETS-001 is never filed (law-enforcement bundle).</t>
        </is>
      </c>
      <c r="O7" s="5" t="inlineStr"/>
    </row>
    <row r="8">
      <c r="A8" s="5" t="n">
        <v>7</v>
      </c>
      <c r="B8" s="5" t="n">
        <v>1</v>
      </c>
      <c r="C8" s="5" t="inlineStr">
        <is>
          <t>1</t>
        </is>
      </c>
      <c r="D8" s="5" t="inlineStr">
        <is>
          <t>Driver’s license (number and state):</t>
        </is>
      </c>
      <c r="E8" s="5" t="inlineStr">
        <is>
          <t>CLETS-001[0].Page1[0].List1[0].Li1[0].drivelicensetf[0]</t>
        </is>
      </c>
      <c r="F8" s="5" t="inlineStr">
        <is>
          <t>text</t>
        </is>
      </c>
      <c r="G8" s="5" t="inlineStr"/>
      <c r="H8" s="5" t="inlineStr"/>
      <c r="I8" s="5" t="inlineStr">
        <is>
          <t>223, 386, 428, 399</t>
        </is>
      </c>
      <c r="J8" s="5" t="inlineStr">
        <is>
          <t>question</t>
        </is>
      </c>
      <c r="K8" s="5" t="inlineStr">
        <is>
          <t>R9</t>
        </is>
      </c>
      <c r="L8" s="5">
        <f> R9.number + " " + R9.state</f>
        <v/>
      </c>
      <c r="M8" s="5" t="inlineStr"/>
      <c r="N8" s="5" t="inlineStr"/>
      <c r="O8" s="5" t="inlineStr"/>
    </row>
    <row r="9">
      <c r="A9" s="5" t="n">
        <v>8</v>
      </c>
      <c r="B9" s="5" t="n">
        <v>1</v>
      </c>
      <c r="C9" s="5" t="inlineStr">
        <is>
          <t>1</t>
        </is>
      </c>
      <c r="D9" s="5" t="inlineStr">
        <is>
          <t>Vehicle type</t>
        </is>
      </c>
      <c r="E9" s="5" t="inlineStr">
        <is>
          <t>CLETS-001[0].Page1[0].List1[0].Li1[0].cartypetf[0]</t>
        </is>
      </c>
      <c r="F9" s="5" t="inlineStr">
        <is>
          <t>text</t>
        </is>
      </c>
      <c r="G9" s="5" t="inlineStr"/>
      <c r="H9" s="5" t="inlineStr"/>
      <c r="I9" s="5" t="inlineStr">
        <is>
          <t>126, 406, 215, 419</t>
        </is>
      </c>
      <c r="J9" s="5" t="inlineStr">
        <is>
          <t>question</t>
        </is>
      </c>
      <c r="K9" s="5" t="inlineStr">
        <is>
          <t>R11</t>
        </is>
      </c>
      <c r="L9" s="5">
        <f> R11[0].type</f>
        <v/>
      </c>
      <c r="M9" s="5" t="inlineStr">
        <is>
          <t>R11.length &gt; 0</t>
        </is>
      </c>
      <c r="N9" s="5" t="inlineStr">
        <is>
          <t>One vehicle row only and no overflow box: the wizard should ask "the vehicle they drive most". Color is not printed.</t>
        </is>
      </c>
      <c r="O9" s="5" t="inlineStr"/>
    </row>
    <row r="10">
      <c r="A10" s="5" t="n">
        <v>9</v>
      </c>
      <c r="B10" s="5" t="n">
        <v>1</v>
      </c>
      <c r="C10" s="5" t="inlineStr">
        <is>
          <t>1</t>
        </is>
      </c>
      <c r="D10" s="5" t="inlineStr">
        <is>
          <t>Model</t>
        </is>
      </c>
      <c r="E10" s="5" t="inlineStr">
        <is>
          <t>CLETS-001[0].Page1[0].List1[0].Li1[0].modeltf[0]</t>
        </is>
      </c>
      <c r="F10" s="5" t="inlineStr">
        <is>
          <t>text</t>
        </is>
      </c>
      <c r="G10" s="5" t="inlineStr"/>
      <c r="H10" s="5" t="inlineStr"/>
      <c r="I10" s="5" t="inlineStr">
        <is>
          <t>255, 406, 339, 419</t>
        </is>
      </c>
      <c r="J10" s="5" t="inlineStr">
        <is>
          <t>question</t>
        </is>
      </c>
      <c r="K10" s="5" t="inlineStr">
        <is>
          <t>R11</t>
        </is>
      </c>
      <c r="L10" s="5">
        <f> R11[0].model</f>
        <v/>
      </c>
      <c r="M10" s="5" t="inlineStr">
        <is>
          <t>R11.length &gt; 0</t>
        </is>
      </c>
      <c r="N10" s="5" t="inlineStr"/>
      <c r="O10" s="5" t="inlineStr"/>
    </row>
    <row r="11">
      <c r="A11" s="5" t="n">
        <v>10</v>
      </c>
      <c r="B11" s="5" t="n">
        <v>1</v>
      </c>
      <c r="C11" s="5" t="inlineStr">
        <is>
          <t>1</t>
        </is>
      </c>
      <c r="D11" s="5" t="inlineStr">
        <is>
          <t>Year</t>
        </is>
      </c>
      <c r="E11" s="5" t="inlineStr">
        <is>
          <t>CLETS-001[0].Page1[0].List1[0].Li1[0].yeartf[0]</t>
        </is>
      </c>
      <c r="F11" s="5" t="inlineStr">
        <is>
          <t>text</t>
        </is>
      </c>
      <c r="G11" s="5" t="inlineStr"/>
      <c r="H11" s="5" t="inlineStr"/>
      <c r="I11" s="5" t="inlineStr">
        <is>
          <t>371, 406, 413, 419</t>
        </is>
      </c>
      <c r="J11" s="5" t="inlineStr">
        <is>
          <t>question</t>
        </is>
      </c>
      <c r="K11" s="5" t="inlineStr">
        <is>
          <t>R11</t>
        </is>
      </c>
      <c r="L11" s="5">
        <f> R11[0].year</f>
        <v/>
      </c>
      <c r="M11" s="5" t="inlineStr">
        <is>
          <t>R11.length &gt; 0</t>
        </is>
      </c>
      <c r="N11" s="5" t="inlineStr"/>
      <c r="O11" s="5" t="inlineStr"/>
    </row>
    <row r="12">
      <c r="A12" s="5" t="n">
        <v>11</v>
      </c>
      <c r="B12" s="5" t="n">
        <v>1</v>
      </c>
      <c r="C12" s="5" t="inlineStr">
        <is>
          <t>1</t>
        </is>
      </c>
      <c r="D12" s="5" t="inlineStr">
        <is>
          <t>Plate number</t>
        </is>
      </c>
      <c r="E12" s="5" t="inlineStr">
        <is>
          <t>CLETS-001[0].Page1[0].List1[0].Li1[0].plateno[0]</t>
        </is>
      </c>
      <c r="F12" s="5" t="inlineStr">
        <is>
          <t>text</t>
        </is>
      </c>
      <c r="G12" s="5" t="inlineStr"/>
      <c r="H12" s="5" t="inlineStr"/>
      <c r="I12" s="5" t="inlineStr">
        <is>
          <t>482, 406, 576, 419</t>
        </is>
      </c>
      <c r="J12" s="5" t="inlineStr">
        <is>
          <t>question</t>
        </is>
      </c>
      <c r="K12" s="5" t="inlineStr">
        <is>
          <t>R11</t>
        </is>
      </c>
      <c r="L12" s="5">
        <f> R11[0].plate</f>
        <v/>
      </c>
      <c r="M12" s="5" t="inlineStr">
        <is>
          <t>R11.length &gt; 0</t>
        </is>
      </c>
      <c r="N12" s="5" t="inlineStr"/>
      <c r="O12" s="5" t="inlineStr"/>
    </row>
    <row r="13">
      <c r="A13" s="5" t="n">
        <v>12</v>
      </c>
      <c r="B13" s="5" t="n">
        <v>1</v>
      </c>
      <c r="C13" s="5" t="inlineStr">
        <is>
          <t>1</t>
        </is>
      </c>
      <c r="D13" s="5" t="inlineStr">
        <is>
          <t>Name of employer and address</t>
        </is>
      </c>
      <c r="E13" s="5" t="inlineStr">
        <is>
          <t>CLETS-001[0].Page1[0].List1[0].Li1[0].employertf[0]</t>
        </is>
      </c>
      <c r="F13" s="5" t="inlineStr">
        <is>
          <t>text</t>
        </is>
      </c>
      <c r="G13" s="5" t="inlineStr"/>
      <c r="H13" s="5" t="inlineStr"/>
      <c r="I13" s="5" t="inlineStr">
        <is>
          <t>205, 447, 576, 462</t>
        </is>
      </c>
      <c r="J13" s="5" t="inlineStr">
        <is>
          <t>question</t>
        </is>
      </c>
      <c r="K13" s="5" t="inlineStr">
        <is>
          <t>R13</t>
        </is>
      </c>
      <c r="L13" s="5">
        <f> R13.name + ", " + oneLine(R13.address)</f>
        <v/>
      </c>
      <c r="M13" s="5" t="inlineStr"/>
      <c r="N13" s="5" t="inlineStr"/>
      <c r="O13" s="5" t="inlineStr"/>
    </row>
    <row r="14">
      <c r="A14" s="5" t="n">
        <v>13</v>
      </c>
      <c r="B14" s="5" t="n">
        <v>1</v>
      </c>
      <c r="C14" s="5" t="inlineStr">
        <is>
          <t>1</t>
        </is>
      </c>
      <c r="D14" s="5" t="inlineStr">
        <is>
          <t>Yes</t>
        </is>
      </c>
      <c r="E14" s="5" t="inlineStr">
        <is>
          <t>CLETS-001[0].Page1[0].List1[0].Li1[0].item1ME[0]</t>
        </is>
      </c>
      <c r="F14" s="5" t="inlineStr">
        <is>
          <t>checkbox</t>
        </is>
      </c>
      <c r="G14" s="5" t="inlineStr">
        <is>
          <t>1</t>
        </is>
      </c>
      <c r="H14" s="5" t="inlineStr"/>
      <c r="I14" s="5" t="inlineStr">
        <is>
          <t>64, 506, 73, 515</t>
        </is>
      </c>
      <c r="J14" s="5" t="inlineStr">
        <is>
          <t>question</t>
        </is>
      </c>
      <c r="K14" s="5" t="inlineStr">
        <is>
          <t>R17</t>
        </is>
      </c>
      <c r="L14" s="5" t="inlineStr">
        <is>
          <t>check if R17 == "Y"</t>
        </is>
      </c>
      <c r="M14" s="5" t="inlineStr"/>
      <c r="N14" s="5" t="inlineStr">
        <is>
          <t>Box order: Yes (export 1), I don't know (11), No (21).</t>
        </is>
      </c>
      <c r="O14" s="5" t="inlineStr"/>
    </row>
    <row r="15">
      <c r="A15" s="5" t="n">
        <v>14</v>
      </c>
      <c r="B15" s="5" t="n">
        <v>1</v>
      </c>
      <c r="C15" s="5" t="inlineStr">
        <is>
          <t>1</t>
        </is>
      </c>
      <c r="D15" s="5" t="inlineStr">
        <is>
          <t>I don’t know</t>
        </is>
      </c>
      <c r="E15" s="5" t="inlineStr">
        <is>
          <t>CLETS-001[0].Page1[0].List1[0].Li1[0].item1ME[1]</t>
        </is>
      </c>
      <c r="F15" s="5" t="inlineStr">
        <is>
          <t>checkbox</t>
        </is>
      </c>
      <c r="G15" s="5" t="inlineStr">
        <is>
          <t>11</t>
        </is>
      </c>
      <c r="H15" s="5" t="inlineStr"/>
      <c r="I15" s="5" t="inlineStr">
        <is>
          <t>64, 532, 73, 541</t>
        </is>
      </c>
      <c r="J15" s="5" t="inlineStr">
        <is>
          <t>question</t>
        </is>
      </c>
      <c r="K15" s="5" t="inlineStr">
        <is>
          <t>R17</t>
        </is>
      </c>
      <c r="L15" s="5" t="inlineStr">
        <is>
          <t>check if R17 == "DK"</t>
        </is>
      </c>
      <c r="M15" s="5" t="inlineStr"/>
      <c r="N15" s="5" t="inlineStr"/>
      <c r="O15" s="5" t="inlineStr"/>
    </row>
    <row r="16">
      <c r="A16" s="5" t="n">
        <v>15</v>
      </c>
      <c r="B16" s="5" t="n">
        <v>1</v>
      </c>
      <c r="C16" s="5" t="inlineStr">
        <is>
          <t>1</t>
        </is>
      </c>
      <c r="D16" s="5" t="inlineStr">
        <is>
          <t>No (list language):</t>
        </is>
      </c>
      <c r="E16" s="5" t="inlineStr">
        <is>
          <t>CLETS-001[0].Page1[0].List1[0].Li1[0].item1ME[2]</t>
        </is>
      </c>
      <c r="F16" s="5" t="inlineStr">
        <is>
          <t>checkbox</t>
        </is>
      </c>
      <c r="G16" s="5" t="inlineStr">
        <is>
          <t>21</t>
        </is>
      </c>
      <c r="H16" s="5" t="inlineStr"/>
      <c r="I16" s="5" t="inlineStr">
        <is>
          <t>64, 520, 73, 529</t>
        </is>
      </c>
      <c r="J16" s="5" t="inlineStr">
        <is>
          <t>question</t>
        </is>
      </c>
      <c r="K16" s="5" t="inlineStr">
        <is>
          <t>R17</t>
        </is>
      </c>
      <c r="L16" s="5" t="inlineStr">
        <is>
          <t>check if R17 == "N"</t>
        </is>
      </c>
      <c r="M16" s="5" t="inlineStr"/>
      <c r="N16" s="5" t="inlineStr"/>
      <c r="O16" s="5" t="inlineStr"/>
    </row>
    <row r="17">
      <c r="A17" s="5" t="n">
        <v>16</v>
      </c>
      <c r="B17" s="5" t="n">
        <v>1</v>
      </c>
      <c r="C17" s="5" t="inlineStr">
        <is>
          <t>1</t>
        </is>
      </c>
      <c r="D17" s="5" t="inlineStr">
        <is>
          <t>list language</t>
        </is>
      </c>
      <c r="E17" s="5" t="inlineStr">
        <is>
          <t>CLETS-001[0].Page1[0].List1[0].Li1[0].notf[0]</t>
        </is>
      </c>
      <c r="F17" s="5" t="inlineStr">
        <is>
          <t>text</t>
        </is>
      </c>
      <c r="G17" s="5" t="inlineStr"/>
      <c r="H17" s="5" t="inlineStr"/>
      <c r="I17" s="5" t="inlineStr">
        <is>
          <t>168, 520, 546, 532</t>
        </is>
      </c>
      <c r="J17" s="5" t="inlineStr">
        <is>
          <t>question</t>
        </is>
      </c>
      <c r="K17" s="5" t="inlineStr">
        <is>
          <t>R17</t>
        </is>
      </c>
      <c r="L17" s="5">
        <f> R17.language</f>
        <v/>
      </c>
      <c r="M17" s="5" t="inlineStr">
        <is>
          <t>R17 == "N"</t>
        </is>
      </c>
      <c r="N17" s="5" t="inlineStr"/>
      <c r="O17" s="5" t="inlineStr"/>
    </row>
    <row r="18">
      <c r="A18" s="6" t="n">
        <v>17</v>
      </c>
      <c r="B18" s="6" t="n">
        <v>1</v>
      </c>
      <c r="C18" s="6" t="inlineStr">
        <is>
          <t>1</t>
        </is>
      </c>
      <c r="D18" s="6" t="inlineStr">
        <is>
          <t>No</t>
        </is>
      </c>
      <c r="E18" s="6" t="inlineStr">
        <is>
          <t>CLETS-001[0].Page1[0].List1[0].Li1[0].item1firearmME[0]</t>
        </is>
      </c>
      <c r="F18" s="6" t="inlineStr">
        <is>
          <t>checkbox</t>
        </is>
      </c>
      <c r="G18" s="6" t="inlineStr">
        <is>
          <t>1</t>
        </is>
      </c>
      <c r="H18" s="6" t="inlineStr"/>
      <c r="I18" s="6" t="inlineStr">
        <is>
          <t>63, 588, 72, 597</t>
        </is>
      </c>
      <c r="J18" s="6" t="inlineStr">
        <is>
          <t>derived</t>
        </is>
      </c>
      <c r="K18" s="6" t="inlineStr">
        <is>
          <t>R18,R20</t>
        </is>
      </c>
      <c r="L18" s="6" t="inlineStr">
        <is>
          <t>check if R18 == "N" and R20 == "N"</t>
        </is>
      </c>
      <c r="M18" s="6" t="inlineStr"/>
      <c r="N18" s="6" t="inlineStr">
        <is>
          <t>One combined question on the Jan 2026 revision: firearms, parts, ammunition OR body armor. Exports 1 / 11 / 21.</t>
        </is>
      </c>
      <c r="O18" s="6" t="inlineStr"/>
    </row>
    <row r="19">
      <c r="A19" s="6" t="n">
        <v>18</v>
      </c>
      <c r="B19" s="6" t="n">
        <v>1</v>
      </c>
      <c r="C19" s="6" t="inlineStr">
        <is>
          <t>1</t>
        </is>
      </c>
      <c r="D19" s="6" t="inlineStr">
        <is>
          <t>I don’t know</t>
        </is>
      </c>
      <c r="E19" s="6" t="inlineStr">
        <is>
          <t>CLETS-001[0].Page1[0].List1[0].Li1[0].item1firearmME[1]</t>
        </is>
      </c>
      <c r="F19" s="6" t="inlineStr">
        <is>
          <t>checkbox</t>
        </is>
      </c>
      <c r="G19" s="6" t="inlineStr">
        <is>
          <t>11</t>
        </is>
      </c>
      <c r="H19" s="6" t="inlineStr"/>
      <c r="I19" s="6" t="inlineStr">
        <is>
          <t>63, 599, 72, 608</t>
        </is>
      </c>
      <c r="J19" s="6" t="inlineStr">
        <is>
          <t>derived</t>
        </is>
      </c>
      <c r="K19" s="6" t="inlineStr">
        <is>
          <t>R18,R20</t>
        </is>
      </c>
      <c r="L19" s="6" t="inlineStr">
        <is>
          <t>check if neither is "Y" and either is "DK"</t>
        </is>
      </c>
      <c r="M19" s="6" t="inlineStr"/>
      <c r="N19" s="6" t="inlineStr"/>
      <c r="O19" s="6" t="inlineStr"/>
    </row>
    <row r="20">
      <c r="A20" s="6" t="n">
        <v>19</v>
      </c>
      <c r="B20" s="6" t="n">
        <v>1</v>
      </c>
      <c r="C20" s="6" t="inlineStr">
        <is>
          <t>1</t>
        </is>
      </c>
      <c r="D20" s="6" t="inlineStr">
        <is>
          <t>Yes (Give any information you have below, like the type, amount, or location of any items, if known.)</t>
        </is>
      </c>
      <c r="E20" s="6" t="inlineStr">
        <is>
          <t>CLETS-001[0].Page1[0].List1[0].Li1[0].item1firearmME[2]</t>
        </is>
      </c>
      <c r="F20" s="6" t="inlineStr">
        <is>
          <t>checkbox</t>
        </is>
      </c>
      <c r="G20" s="6" t="inlineStr">
        <is>
          <t>21</t>
        </is>
      </c>
      <c r="H20" s="6" t="inlineStr"/>
      <c r="I20" s="6" t="inlineStr">
        <is>
          <t>63, 611, 72, 620</t>
        </is>
      </c>
      <c r="J20" s="6" t="inlineStr">
        <is>
          <t>derived</t>
        </is>
      </c>
      <c r="K20" s="6" t="inlineStr">
        <is>
          <t>R18,R20</t>
        </is>
      </c>
      <c r="L20" s="6" t="inlineStr">
        <is>
          <t>check if R18 == "Y" or R20 == "Y"</t>
        </is>
      </c>
      <c r="M20" s="6" t="inlineStr"/>
      <c r="N20" s="6" t="inlineStr"/>
      <c r="O20" s="6" t="inlineStr"/>
    </row>
    <row r="21">
      <c r="A21" s="6" t="n">
        <v>20</v>
      </c>
      <c r="B21" s="6" t="n">
        <v>1</v>
      </c>
      <c r="C21" s="6" t="inlineStr">
        <is>
          <t>1</t>
        </is>
      </c>
      <c r="D21" s="6" t="inlineStr">
        <is>
          <t>Give any information you have below, like the type, amount, or location of any items, if known.</t>
        </is>
      </c>
      <c r="E21" s="6" t="inlineStr">
        <is>
          <t>CLETS-001[0].Page1[0].List1[0].Li1[0].Yestf[0]</t>
        </is>
      </c>
      <c r="F21" s="6" t="inlineStr">
        <is>
          <t>text</t>
        </is>
      </c>
      <c r="G21" s="6" t="inlineStr"/>
      <c r="H21" s="6" t="inlineStr"/>
      <c r="I21" s="6" t="inlineStr">
        <is>
          <t>62, 625, 576, 673</t>
        </is>
      </c>
      <c r="J21" s="6" t="inlineStr">
        <is>
          <t>derived</t>
        </is>
      </c>
      <c r="K21" s="6" t="inlineStr">
        <is>
          <t>R19,R20</t>
        </is>
      </c>
      <c r="L21" s="6">
        <f> join(R19.map(r =&gt; r.count + " " + r.what + (r.where ? " (" + r.where + ")" : "")), "; ") + (R20 == "Y" ? "; body armor: " + R20.details : "")</f>
        <v/>
      </c>
      <c r="M21" s="6" t="inlineStr">
        <is>
          <t>R18 == "Y" or R20 == "Y"</t>
        </is>
      </c>
      <c r="N21" s="6" t="inlineStr"/>
      <c r="O21" s="6" t="inlineStr"/>
    </row>
    <row r="22">
      <c r="A22" s="5" t="n">
        <v>21</v>
      </c>
      <c r="B22" s="5" t="n">
        <v>1</v>
      </c>
      <c r="C22" s="5" t="inlineStr">
        <is>
          <t>1</t>
        </is>
      </c>
      <c r="D22" s="5" t="inlineStr">
        <is>
          <t>Telephone</t>
        </is>
      </c>
      <c r="E22" s="5" t="inlineStr">
        <is>
          <t>CLETS-001[0].Page1[0].List1[0].Li1[0].phonetf[0]</t>
        </is>
      </c>
      <c r="F22" s="5" t="inlineStr">
        <is>
          <t>text</t>
        </is>
      </c>
      <c r="G22" s="5" t="inlineStr"/>
      <c r="H22" s="5" t="inlineStr"/>
      <c r="I22" s="5" t="inlineStr">
        <is>
          <t>114, 427, 543, 439</t>
        </is>
      </c>
      <c r="J22" s="5" t="inlineStr">
        <is>
          <t>question</t>
        </is>
      </c>
      <c r="K22" s="5" t="inlineStr">
        <is>
          <t>R12</t>
        </is>
      </c>
      <c r="L22" s="5">
        <f> R12</f>
        <v/>
      </c>
      <c r="M22" s="5" t="inlineStr"/>
      <c r="N22" s="5" t="inlineStr"/>
      <c r="O22" s="5" t="inlineStr"/>
    </row>
    <row r="23">
      <c r="A23" s="7" t="n">
        <v>22</v>
      </c>
      <c r="B23" s="7" t="n">
        <v>2</v>
      </c>
      <c r="C23" s="7" t="inlineStr">
        <is>
          <t>—</t>
        </is>
      </c>
      <c r="D23" s="7" t="inlineStr">
        <is>
          <t>Print</t>
        </is>
      </c>
      <c r="E23" s="7" t="inlineStr">
        <is>
          <t>CLETS-001[0].#pageSet[0].Page2[0].#area[0].Print[0]</t>
        </is>
      </c>
      <c r="F23" s="7" t="inlineStr">
        <is>
          <t>button</t>
        </is>
      </c>
      <c r="G23" s="7" t="inlineStr"/>
      <c r="H23" s="7" t="inlineStr"/>
      <c r="I23" s="7" t="inlineStr">
        <is>
          <t>258, 761, 339, 778</t>
        </is>
      </c>
      <c r="J23" s="7" t="inlineStr">
        <is>
          <t>ignore (UI button)</t>
        </is>
      </c>
      <c r="K23" s="7" t="inlineStr"/>
      <c r="L23" s="7" t="inlineStr"/>
      <c r="M23" s="7" t="inlineStr"/>
      <c r="N23" s="7" t="inlineStr">
        <is>
          <t>Print/Save/Clear button. Do not fill.</t>
        </is>
      </c>
      <c r="O23" s="7" t="inlineStr"/>
    </row>
    <row r="24">
      <c r="A24" s="7" t="n">
        <v>23</v>
      </c>
      <c r="B24" s="7" t="n">
        <v>2</v>
      </c>
      <c r="C24" s="7" t="inlineStr">
        <is>
          <t>—</t>
        </is>
      </c>
      <c r="D24" s="7" t="inlineStr">
        <is>
          <t>Save</t>
        </is>
      </c>
      <c r="E24" s="7" t="inlineStr">
        <is>
          <t>CLETS-001[0].#pageSet[0].Page2[0].#area[0].Save[0]</t>
        </is>
      </c>
      <c r="F24" s="7" t="inlineStr">
        <is>
          <t>button</t>
        </is>
      </c>
      <c r="G24" s="7" t="inlineStr"/>
      <c r="H24" s="7" t="inlineStr"/>
      <c r="I24" s="7" t="inlineStr">
        <is>
          <t>345, 761, 426, 778</t>
        </is>
      </c>
      <c r="J24" s="7" t="inlineStr">
        <is>
          <t>ignore (UI button)</t>
        </is>
      </c>
      <c r="K24" s="7" t="inlineStr"/>
      <c r="L24" s="7" t="inlineStr"/>
      <c r="M24" s="7" t="inlineStr"/>
      <c r="N24" s="7" t="inlineStr">
        <is>
          <t>Print/Save/Clear button. Do not fill.</t>
        </is>
      </c>
      <c r="O24" s="7" t="inlineStr"/>
    </row>
    <row r="25">
      <c r="A25" s="7" t="n">
        <v>24</v>
      </c>
      <c r="B25" s="7" t="n">
        <v>2</v>
      </c>
      <c r="C25" s="7" t="inlineStr">
        <is>
          <t>—</t>
        </is>
      </c>
      <c r="D25" s="7" t="inlineStr">
        <is>
          <t>Clear</t>
        </is>
      </c>
      <c r="E25" s="7" t="inlineStr">
        <is>
          <t>CLETS-001[0].#pageSet[0].Page2[0].#area[0].Reset[0]</t>
        </is>
      </c>
      <c r="F25" s="7" t="inlineStr">
        <is>
          <t>button</t>
        </is>
      </c>
      <c r="G25" s="7" t="inlineStr"/>
      <c r="H25" s="7" t="inlineStr"/>
      <c r="I25" s="7" t="inlineStr">
        <is>
          <t>495, 761, 576, 778</t>
        </is>
      </c>
      <c r="J25" s="7" t="inlineStr">
        <is>
          <t>ignore (UI button)</t>
        </is>
      </c>
      <c r="K25" s="7" t="inlineStr"/>
      <c r="L25" s="7" t="inlineStr"/>
      <c r="M25" s="7" t="inlineStr"/>
      <c r="N25" s="7" t="inlineStr">
        <is>
          <t>Print/Save/Clear button. Do not fill.</t>
        </is>
      </c>
      <c r="O25" s="7" t="inlineStr"/>
    </row>
    <row r="26">
      <c r="A26" s="5" t="n">
        <v>25</v>
      </c>
      <c r="B26" s="5" t="n">
        <v>2</v>
      </c>
      <c r="C26" s="5" t="inlineStr">
        <is>
          <t>3</t>
        </is>
      </c>
      <c r="D26" s="5" t="inlineStr">
        <is>
          <t>Age</t>
        </is>
      </c>
      <c r="E26" s="5" t="inlineStr">
        <is>
          <t>CLETS-001[0].Page2[0].List3[0].Li1[0].agetf[0]</t>
        </is>
      </c>
      <c r="F26" s="5" t="inlineStr">
        <is>
          <t>text</t>
        </is>
      </c>
      <c r="G26" s="5" t="inlineStr"/>
      <c r="H26" s="5" t="inlineStr"/>
      <c r="I26" s="5" t="inlineStr">
        <is>
          <t>92, 236, 122, 249</t>
        </is>
      </c>
      <c r="J26" s="5" t="inlineStr">
        <is>
          <t>question</t>
        </is>
      </c>
      <c r="K26" s="5" t="inlineStr">
        <is>
          <t>P2,P3</t>
        </is>
      </c>
      <c r="L26" s="5">
        <f> P2 ? age(P2, G1) : P3</f>
        <v/>
      </c>
      <c r="M26" s="5" t="inlineStr"/>
      <c r="N26" s="5" t="inlineStr"/>
      <c r="O26" s="5" t="inlineStr"/>
    </row>
    <row r="27">
      <c r="A27" s="5" t="n">
        <v>26</v>
      </c>
      <c r="B27" s="5" t="n">
        <v>2</v>
      </c>
      <c r="C27" s="5" t="inlineStr">
        <is>
          <t>3</t>
        </is>
      </c>
      <c r="D27" s="5" t="inlineStr">
        <is>
          <t>Date of Birth month, day, year</t>
        </is>
      </c>
      <c r="E27" s="5" t="inlineStr">
        <is>
          <t>CLETS-001[0].Page2[0].List3[0].Li1[0].dob[0]</t>
        </is>
      </c>
      <c r="F27" s="5" t="inlineStr">
        <is>
          <t>text</t>
        </is>
      </c>
      <c r="G27" s="5" t="inlineStr"/>
      <c r="H27" s="5" t="inlineStr"/>
      <c r="I27" s="5" t="inlineStr">
        <is>
          <t>213, 262, 495, 275</t>
        </is>
      </c>
      <c r="J27" s="5" t="inlineStr">
        <is>
          <t>question</t>
        </is>
      </c>
      <c r="K27" s="5" t="inlineStr">
        <is>
          <t>P2</t>
        </is>
      </c>
      <c r="L27" s="5">
        <f> fmtDate(P2)</f>
        <v/>
      </c>
      <c r="M27" s="5" t="inlineStr">
        <is>
          <t>P2 given</t>
        </is>
      </c>
      <c r="N27" s="5" t="inlineStr"/>
      <c r="O27" s="5" t="inlineStr"/>
    </row>
    <row r="28">
      <c r="A28" s="5" t="n">
        <v>27</v>
      </c>
      <c r="B28" s="5" t="n">
        <v>2</v>
      </c>
      <c r="C28" s="5" t="inlineStr">
        <is>
          <t>4 row 1</t>
        </is>
      </c>
      <c r="D28" s="5" t="inlineStr">
        <is>
          <t>Name</t>
        </is>
      </c>
      <c r="E28" s="5" t="inlineStr">
        <is>
          <t>CLETS-001[0].Page2[0].List4[0].Li1[0].item4nametf1[0]</t>
        </is>
      </c>
      <c r="F28" s="5" t="inlineStr">
        <is>
          <t>text</t>
        </is>
      </c>
      <c r="G28" s="5" t="inlineStr"/>
      <c r="H28" s="5" t="inlineStr"/>
      <c r="I28" s="5" t="inlineStr">
        <is>
          <t>101, 498, 264, 510</t>
        </is>
      </c>
      <c r="J28" s="5" t="inlineStr">
        <is>
          <t>question</t>
        </is>
      </c>
      <c r="K28" s="5" t="inlineStr">
        <is>
          <t>PR1</t>
        </is>
      </c>
      <c r="L28" s="5">
        <f> protected[0].PR1</f>
        <v/>
      </c>
      <c r="M28" s="5" t="inlineStr">
        <is>
          <t>protected.length &gt; 0</t>
        </is>
      </c>
      <c r="N28" s="5" t="inlineStr"/>
      <c r="O28" s="5" t="inlineStr"/>
    </row>
    <row r="29">
      <c r="A29" s="5" t="n">
        <v>28</v>
      </c>
      <c r="B29" s="5" t="n">
        <v>2</v>
      </c>
      <c r="C29" s="5" t="inlineStr">
        <is>
          <t>4 row 1</t>
        </is>
      </c>
      <c r="D29" s="5" t="inlineStr">
        <is>
          <t>Gender</t>
        </is>
      </c>
      <c r="E29" s="5" t="inlineStr">
        <is>
          <t>CLETS-001[0].Page2[0].List4[0].Li1[0].item4gendertf1[0]</t>
        </is>
      </c>
      <c r="F29" s="5" t="inlineStr">
        <is>
          <t>text</t>
        </is>
      </c>
      <c r="G29" s="5" t="inlineStr"/>
      <c r="H29" s="5" t="inlineStr"/>
      <c r="I29" s="5" t="inlineStr">
        <is>
          <t>311, 497, 337, 510</t>
        </is>
      </c>
      <c r="J29" s="5" t="inlineStr">
        <is>
          <t>question</t>
        </is>
      </c>
      <c r="K29" s="5" t="inlineStr">
        <is>
          <t>PR3</t>
        </is>
      </c>
      <c r="L29" s="5">
        <f> {M:"M", F:"F", X:"X (nonbinary)"}[protected[0].PR3]</f>
        <v/>
      </c>
      <c r="M29" s="5" t="inlineStr">
        <is>
          <t>protected.length &gt; 0</t>
        </is>
      </c>
      <c r="N29" s="5" t="inlineStr"/>
      <c r="O29" s="5" t="inlineStr"/>
    </row>
    <row r="30">
      <c r="A30" s="5" t="n">
        <v>29</v>
      </c>
      <c r="B30" s="5" t="n">
        <v>2</v>
      </c>
      <c r="C30" s="5" t="inlineStr">
        <is>
          <t>4 row 1</t>
        </is>
      </c>
      <c r="D30" s="5" t="inlineStr">
        <is>
          <t>Race</t>
        </is>
      </c>
      <c r="E30" s="5" t="inlineStr">
        <is>
          <t>CLETS-001[0].Page2[0].List4[0].Li1[0].item4racetf1[0]</t>
        </is>
      </c>
      <c r="F30" s="5" t="inlineStr">
        <is>
          <t>text</t>
        </is>
      </c>
      <c r="G30" s="5" t="inlineStr"/>
      <c r="H30" s="5" t="inlineStr"/>
      <c r="I30" s="5" t="inlineStr">
        <is>
          <t>368, 497, 447, 510</t>
        </is>
      </c>
      <c r="J30" s="5" t="inlineStr">
        <is>
          <t>question</t>
        </is>
      </c>
      <c r="K30" s="5" t="inlineStr">
        <is>
          <t>PR4</t>
        </is>
      </c>
      <c r="L30" s="5">
        <f> protected[0].PR4</f>
        <v/>
      </c>
      <c r="M30" s="5" t="inlineStr">
        <is>
          <t>protected.length &gt; 0</t>
        </is>
      </c>
      <c r="N30" s="5" t="inlineStr"/>
      <c r="O30" s="5" t="inlineStr"/>
    </row>
    <row r="31">
      <c r="A31" s="5" t="n">
        <v>30</v>
      </c>
      <c r="B31" s="5" t="n">
        <v>2</v>
      </c>
      <c r="C31" s="5" t="inlineStr">
        <is>
          <t>4 row 1</t>
        </is>
      </c>
      <c r="D31" s="5" t="inlineStr">
        <is>
          <t>Date of Birth</t>
        </is>
      </c>
      <c r="E31" s="5" t="inlineStr">
        <is>
          <t>CLETS-001[0].Page2[0].List4[0].Li1[0].item4dob1[0]</t>
        </is>
      </c>
      <c r="F31" s="5" t="inlineStr">
        <is>
          <t>text</t>
        </is>
      </c>
      <c r="G31" s="5" t="inlineStr"/>
      <c r="H31" s="5" t="inlineStr"/>
      <c r="I31" s="5" t="inlineStr">
        <is>
          <t>511, 497, 576, 510</t>
        </is>
      </c>
      <c r="J31" s="5" t="inlineStr">
        <is>
          <t>question</t>
        </is>
      </c>
      <c r="K31" s="5" t="inlineStr">
        <is>
          <t>PR2</t>
        </is>
      </c>
      <c r="L31" s="5">
        <f> fmtDate(protected[0].PR2)</f>
        <v/>
      </c>
      <c r="M31" s="5" t="inlineStr">
        <is>
          <t>protected.length &gt; 0</t>
        </is>
      </c>
      <c r="N31" s="5" t="inlineStr"/>
      <c r="O31" s="5" t="inlineStr"/>
    </row>
    <row r="32">
      <c r="A32" s="5" t="n">
        <v>31</v>
      </c>
      <c r="B32" s="5" t="n">
        <v>2</v>
      </c>
      <c r="C32" s="5" t="inlineStr">
        <is>
          <t>4 row 2</t>
        </is>
      </c>
      <c r="D32" s="5" t="inlineStr">
        <is>
          <t>Name</t>
        </is>
      </c>
      <c r="E32" s="5" t="inlineStr">
        <is>
          <t>CLETS-001[0].Page2[0].List4[0].Li1[0].item4nametf2[0]</t>
        </is>
      </c>
      <c r="F32" s="5" t="inlineStr">
        <is>
          <t>text</t>
        </is>
      </c>
      <c r="G32" s="5" t="inlineStr"/>
      <c r="H32" s="5" t="inlineStr"/>
      <c r="I32" s="5" t="inlineStr">
        <is>
          <t>101, 516, 264, 528</t>
        </is>
      </c>
      <c r="J32" s="5" t="inlineStr">
        <is>
          <t>question</t>
        </is>
      </c>
      <c r="K32" s="5" t="inlineStr">
        <is>
          <t>PR1</t>
        </is>
      </c>
      <c r="L32" s="5">
        <f> protected[1].PR1</f>
        <v/>
      </c>
      <c r="M32" s="5" t="inlineStr">
        <is>
          <t>protected.length &gt; 1</t>
        </is>
      </c>
      <c r="N32" s="5" t="inlineStr"/>
      <c r="O32" s="5" t="inlineStr"/>
    </row>
    <row r="33">
      <c r="A33" s="5" t="n">
        <v>32</v>
      </c>
      <c r="B33" s="5" t="n">
        <v>2</v>
      </c>
      <c r="C33" s="5" t="inlineStr">
        <is>
          <t>4 row 2</t>
        </is>
      </c>
      <c r="D33" s="5" t="inlineStr">
        <is>
          <t>Gender</t>
        </is>
      </c>
      <c r="E33" s="5" t="inlineStr">
        <is>
          <t>CLETS-001[0].Page2[0].List4[0].Li1[0].item4gendertf2[0]</t>
        </is>
      </c>
      <c r="F33" s="5" t="inlineStr">
        <is>
          <t>text</t>
        </is>
      </c>
      <c r="G33" s="5" t="inlineStr"/>
      <c r="H33" s="5" t="inlineStr"/>
      <c r="I33" s="5" t="inlineStr">
        <is>
          <t>311, 516, 337, 528</t>
        </is>
      </c>
      <c r="J33" s="5" t="inlineStr">
        <is>
          <t>question</t>
        </is>
      </c>
      <c r="K33" s="5" t="inlineStr">
        <is>
          <t>PR3</t>
        </is>
      </c>
      <c r="L33" s="5">
        <f> {M:"M", F:"F", X:"X (nonbinary)"}[protected[1].PR3]</f>
        <v/>
      </c>
      <c r="M33" s="5" t="inlineStr">
        <is>
          <t>protected.length &gt; 1</t>
        </is>
      </c>
      <c r="N33" s="5" t="inlineStr"/>
      <c r="O33" s="5" t="inlineStr"/>
    </row>
    <row r="34">
      <c r="A34" s="5" t="n">
        <v>33</v>
      </c>
      <c r="B34" s="5" t="n">
        <v>2</v>
      </c>
      <c r="C34" s="5" t="inlineStr">
        <is>
          <t>4 row 2</t>
        </is>
      </c>
      <c r="D34" s="5" t="inlineStr">
        <is>
          <t>Race</t>
        </is>
      </c>
      <c r="E34" s="5" t="inlineStr">
        <is>
          <t>CLETS-001[0].Page2[0].List4[0].Li1[0].item4racetf2[0]</t>
        </is>
      </c>
      <c r="F34" s="5" t="inlineStr">
        <is>
          <t>text</t>
        </is>
      </c>
      <c r="G34" s="5" t="inlineStr"/>
      <c r="H34" s="5" t="inlineStr"/>
      <c r="I34" s="5" t="inlineStr">
        <is>
          <t>368, 515, 447, 528</t>
        </is>
      </c>
      <c r="J34" s="5" t="inlineStr">
        <is>
          <t>question</t>
        </is>
      </c>
      <c r="K34" s="5" t="inlineStr">
        <is>
          <t>PR4</t>
        </is>
      </c>
      <c r="L34" s="5">
        <f> protected[1].PR4</f>
        <v/>
      </c>
      <c r="M34" s="5" t="inlineStr">
        <is>
          <t>protected.length &gt; 1</t>
        </is>
      </c>
      <c r="N34" s="5" t="inlineStr"/>
      <c r="O34" s="5" t="inlineStr"/>
    </row>
    <row r="35">
      <c r="A35" s="5" t="n">
        <v>34</v>
      </c>
      <c r="B35" s="5" t="n">
        <v>2</v>
      </c>
      <c r="C35" s="5" t="inlineStr">
        <is>
          <t>4 row 2</t>
        </is>
      </c>
      <c r="D35" s="5" t="inlineStr">
        <is>
          <t>Date of Birth</t>
        </is>
      </c>
      <c r="E35" s="5" t="inlineStr">
        <is>
          <t>CLETS-001[0].Page2[0].List4[0].Li1[0].item4dob2[0]</t>
        </is>
      </c>
      <c r="F35" s="5" t="inlineStr">
        <is>
          <t>text</t>
        </is>
      </c>
      <c r="G35" s="5" t="inlineStr"/>
      <c r="H35" s="5" t="inlineStr"/>
      <c r="I35" s="5" t="inlineStr">
        <is>
          <t>511, 516, 576, 528</t>
        </is>
      </c>
      <c r="J35" s="5" t="inlineStr">
        <is>
          <t>question</t>
        </is>
      </c>
      <c r="K35" s="5" t="inlineStr">
        <is>
          <t>PR2</t>
        </is>
      </c>
      <c r="L35" s="5">
        <f> fmtDate(protected[1].PR2)</f>
        <v/>
      </c>
      <c r="M35" s="5" t="inlineStr">
        <is>
          <t>protected.length &gt; 1</t>
        </is>
      </c>
      <c r="N35" s="5" t="inlineStr"/>
      <c r="O35" s="5" t="inlineStr"/>
    </row>
    <row r="36">
      <c r="A36" s="5" t="n">
        <v>35</v>
      </c>
      <c r="B36" s="5" t="n">
        <v>2</v>
      </c>
      <c r="C36" s="5" t="inlineStr">
        <is>
          <t>4 row 3</t>
        </is>
      </c>
      <c r="D36" s="5" t="inlineStr">
        <is>
          <t>Name</t>
        </is>
      </c>
      <c r="E36" s="5" t="inlineStr">
        <is>
          <t>CLETS-001[0].Page2[0].List4[0].Li1[0].item4nametf3[0]</t>
        </is>
      </c>
      <c r="F36" s="5" t="inlineStr">
        <is>
          <t>text</t>
        </is>
      </c>
      <c r="G36" s="5" t="inlineStr"/>
      <c r="H36" s="5" t="inlineStr"/>
      <c r="I36" s="5" t="inlineStr">
        <is>
          <t>101, 535, 264, 547</t>
        </is>
      </c>
      <c r="J36" s="5" t="inlineStr">
        <is>
          <t>question</t>
        </is>
      </c>
      <c r="K36" s="5" t="inlineStr">
        <is>
          <t>PR1</t>
        </is>
      </c>
      <c r="L36" s="5">
        <f> protected[2].PR1</f>
        <v/>
      </c>
      <c r="M36" s="5" t="inlineStr">
        <is>
          <t>protected.length &gt; 2</t>
        </is>
      </c>
      <c r="N36" s="5" t="inlineStr"/>
      <c r="O36" s="5" t="inlineStr"/>
    </row>
    <row r="37">
      <c r="A37" s="5" t="n">
        <v>36</v>
      </c>
      <c r="B37" s="5" t="n">
        <v>2</v>
      </c>
      <c r="C37" s="5" t="inlineStr">
        <is>
          <t>4 row 3</t>
        </is>
      </c>
      <c r="D37" s="5" t="inlineStr">
        <is>
          <t>Gender</t>
        </is>
      </c>
      <c r="E37" s="5" t="inlineStr">
        <is>
          <t>CLETS-001[0].Page2[0].List4[0].Li1[0].item4gendertf3[0]</t>
        </is>
      </c>
      <c r="F37" s="5" t="inlineStr">
        <is>
          <t>text</t>
        </is>
      </c>
      <c r="G37" s="5" t="inlineStr"/>
      <c r="H37" s="5" t="inlineStr"/>
      <c r="I37" s="5" t="inlineStr">
        <is>
          <t>311, 534, 337, 547</t>
        </is>
      </c>
      <c r="J37" s="5" t="inlineStr">
        <is>
          <t>question</t>
        </is>
      </c>
      <c r="K37" s="5" t="inlineStr">
        <is>
          <t>PR3</t>
        </is>
      </c>
      <c r="L37" s="5">
        <f> {M:"M", F:"F", X:"X (nonbinary)"}[protected[2].PR3]</f>
        <v/>
      </c>
      <c r="M37" s="5" t="inlineStr">
        <is>
          <t>protected.length &gt; 2</t>
        </is>
      </c>
      <c r="N37" s="5" t="inlineStr"/>
      <c r="O37" s="5" t="inlineStr"/>
    </row>
    <row r="38">
      <c r="A38" s="5" t="n">
        <v>37</v>
      </c>
      <c r="B38" s="5" t="n">
        <v>2</v>
      </c>
      <c r="C38" s="5" t="inlineStr">
        <is>
          <t>4 row 3</t>
        </is>
      </c>
      <c r="D38" s="5" t="inlineStr">
        <is>
          <t>Race</t>
        </is>
      </c>
      <c r="E38" s="5" t="inlineStr">
        <is>
          <t>CLETS-001[0].Page2[0].List4[0].Li1[0].item4racetf3[0]</t>
        </is>
      </c>
      <c r="F38" s="5" t="inlineStr">
        <is>
          <t>text</t>
        </is>
      </c>
      <c r="G38" s="5" t="inlineStr"/>
      <c r="H38" s="5" t="inlineStr"/>
      <c r="I38" s="5" t="inlineStr">
        <is>
          <t>368, 534, 447, 547</t>
        </is>
      </c>
      <c r="J38" s="5" t="inlineStr">
        <is>
          <t>question</t>
        </is>
      </c>
      <c r="K38" s="5" t="inlineStr">
        <is>
          <t>PR4</t>
        </is>
      </c>
      <c r="L38" s="5">
        <f> protected[2].PR4</f>
        <v/>
      </c>
      <c r="M38" s="5" t="inlineStr">
        <is>
          <t>protected.length &gt; 2</t>
        </is>
      </c>
      <c r="N38" s="5" t="inlineStr"/>
      <c r="O38" s="5" t="inlineStr"/>
    </row>
    <row r="39">
      <c r="A39" s="5" t="n">
        <v>38</v>
      </c>
      <c r="B39" s="5" t="n">
        <v>2</v>
      </c>
      <c r="C39" s="5" t="inlineStr">
        <is>
          <t>4 row 3</t>
        </is>
      </c>
      <c r="D39" s="5" t="inlineStr">
        <is>
          <t>Date of Birth</t>
        </is>
      </c>
      <c r="E39" s="5" t="inlineStr">
        <is>
          <t>CLETS-001[0].Page2[0].List4[0].Li1[0].item4dob3[0]</t>
        </is>
      </c>
      <c r="F39" s="5" t="inlineStr">
        <is>
          <t>text</t>
        </is>
      </c>
      <c r="G39" s="5" t="inlineStr"/>
      <c r="H39" s="5" t="inlineStr"/>
      <c r="I39" s="5" t="inlineStr">
        <is>
          <t>511, 534, 576, 547</t>
        </is>
      </c>
      <c r="J39" s="5" t="inlineStr">
        <is>
          <t>question</t>
        </is>
      </c>
      <c r="K39" s="5" t="inlineStr">
        <is>
          <t>PR2</t>
        </is>
      </c>
      <c r="L39" s="5">
        <f> fmtDate(protected[2].PR2)</f>
        <v/>
      </c>
      <c r="M39" s="5" t="inlineStr">
        <is>
          <t>protected.length &gt; 2</t>
        </is>
      </c>
      <c r="N39" s="5" t="inlineStr"/>
      <c r="O39" s="5" t="inlineStr"/>
    </row>
    <row r="40">
      <c r="A40" s="5" t="n">
        <v>39</v>
      </c>
      <c r="B40" s="5" t="n">
        <v>2</v>
      </c>
      <c r="C40" s="5" t="inlineStr">
        <is>
          <t>4 row 4</t>
        </is>
      </c>
      <c r="D40" s="5" t="inlineStr">
        <is>
          <t>Name</t>
        </is>
      </c>
      <c r="E40" s="5" t="inlineStr">
        <is>
          <t>CLETS-001[0].Page2[0].List4[0].Li1[0].item4nametf4[0]</t>
        </is>
      </c>
      <c r="F40" s="5" t="inlineStr">
        <is>
          <t>text</t>
        </is>
      </c>
      <c r="G40" s="5" t="inlineStr"/>
      <c r="H40" s="5" t="inlineStr"/>
      <c r="I40" s="5" t="inlineStr">
        <is>
          <t>101, 554, 264, 566</t>
        </is>
      </c>
      <c r="J40" s="5" t="inlineStr">
        <is>
          <t>question</t>
        </is>
      </c>
      <c r="K40" s="5" t="inlineStr">
        <is>
          <t>PR1</t>
        </is>
      </c>
      <c r="L40" s="5">
        <f> protected[3].PR1</f>
        <v/>
      </c>
      <c r="M40" s="5" t="inlineStr">
        <is>
          <t>protected.length &gt; 3</t>
        </is>
      </c>
      <c r="N40" s="5" t="inlineStr"/>
      <c r="O40" s="5" t="inlineStr"/>
    </row>
    <row r="41">
      <c r="A41" s="5" t="n">
        <v>40</v>
      </c>
      <c r="B41" s="5" t="n">
        <v>2</v>
      </c>
      <c r="C41" s="5" t="inlineStr">
        <is>
          <t>4 row 4</t>
        </is>
      </c>
      <c r="D41" s="5" t="inlineStr">
        <is>
          <t>Gender</t>
        </is>
      </c>
      <c r="E41" s="5" t="inlineStr">
        <is>
          <t>CLETS-001[0].Page2[0].List4[0].Li1[0].item4gendertf4[0]</t>
        </is>
      </c>
      <c r="F41" s="5" t="inlineStr">
        <is>
          <t>text</t>
        </is>
      </c>
      <c r="G41" s="5" t="inlineStr"/>
      <c r="H41" s="5" t="inlineStr"/>
      <c r="I41" s="5" t="inlineStr">
        <is>
          <t>311, 554, 337, 566</t>
        </is>
      </c>
      <c r="J41" s="5" t="inlineStr">
        <is>
          <t>question</t>
        </is>
      </c>
      <c r="K41" s="5" t="inlineStr">
        <is>
          <t>PR3</t>
        </is>
      </c>
      <c r="L41" s="5">
        <f> {M:"M", F:"F", X:"X (nonbinary)"}[protected[3].PR3]</f>
        <v/>
      </c>
      <c r="M41" s="5" t="inlineStr">
        <is>
          <t>protected.length &gt; 3</t>
        </is>
      </c>
      <c r="N41" s="5" t="inlineStr"/>
      <c r="O41" s="5" t="inlineStr"/>
    </row>
    <row r="42">
      <c r="A42" s="5" t="n">
        <v>41</v>
      </c>
      <c r="B42" s="5" t="n">
        <v>2</v>
      </c>
      <c r="C42" s="5" t="inlineStr">
        <is>
          <t>4 row 4</t>
        </is>
      </c>
      <c r="D42" s="5" t="inlineStr">
        <is>
          <t>Race</t>
        </is>
      </c>
      <c r="E42" s="5" t="inlineStr">
        <is>
          <t>CLETS-001[0].Page2[0].List4[0].Li1[0].item4racetf4[0]</t>
        </is>
      </c>
      <c r="F42" s="5" t="inlineStr">
        <is>
          <t>text</t>
        </is>
      </c>
      <c r="G42" s="5" t="inlineStr"/>
      <c r="H42" s="5" t="inlineStr"/>
      <c r="I42" s="5" t="inlineStr">
        <is>
          <t>368, 553, 447, 566</t>
        </is>
      </c>
      <c r="J42" s="5" t="inlineStr">
        <is>
          <t>question</t>
        </is>
      </c>
      <c r="K42" s="5" t="inlineStr">
        <is>
          <t>PR4</t>
        </is>
      </c>
      <c r="L42" s="5">
        <f> protected[3].PR4</f>
        <v/>
      </c>
      <c r="M42" s="5" t="inlineStr">
        <is>
          <t>protected.length &gt; 3</t>
        </is>
      </c>
      <c r="N42" s="5" t="inlineStr"/>
      <c r="O42" s="5" t="inlineStr"/>
    </row>
    <row r="43">
      <c r="A43" s="5" t="n">
        <v>42</v>
      </c>
      <c r="B43" s="5" t="n">
        <v>2</v>
      </c>
      <c r="C43" s="5" t="inlineStr">
        <is>
          <t>4 row 4</t>
        </is>
      </c>
      <c r="D43" s="5" t="inlineStr">
        <is>
          <t>Date of Birth</t>
        </is>
      </c>
      <c r="E43" s="5" t="inlineStr">
        <is>
          <t>CLETS-001[0].Page2[0].List4[0].Li1[0].item4dob4[0]</t>
        </is>
      </c>
      <c r="F43" s="5" t="inlineStr">
        <is>
          <t>text</t>
        </is>
      </c>
      <c r="G43" s="5" t="inlineStr"/>
      <c r="H43" s="5" t="inlineStr"/>
      <c r="I43" s="5" t="inlineStr">
        <is>
          <t>511, 554, 576, 566</t>
        </is>
      </c>
      <c r="J43" s="5" t="inlineStr">
        <is>
          <t>question</t>
        </is>
      </c>
      <c r="K43" s="5" t="inlineStr">
        <is>
          <t>PR2</t>
        </is>
      </c>
      <c r="L43" s="5">
        <f> fmtDate(protected[3].PR2)</f>
        <v/>
      </c>
      <c r="M43" s="5" t="inlineStr">
        <is>
          <t>protected.length &gt; 3</t>
        </is>
      </c>
      <c r="N43" s="5" t="inlineStr"/>
      <c r="O43" s="5" t="inlineStr"/>
    </row>
    <row r="44">
      <c r="A44" s="6" t="n">
        <v>43</v>
      </c>
      <c r="B44" s="6" t="n">
        <v>2</v>
      </c>
      <c r="C44" s="6" t="inlineStr">
        <is>
          <t>4 more</t>
        </is>
      </c>
      <c r="D44" s="6" t="inlineStr">
        <is>
          <t>Check here if you have more people to list. Write them on a separate piece of paper write Item 4 at the top and attach it to this form</t>
        </is>
      </c>
      <c r="E44" s="6" t="inlineStr">
        <is>
          <t>CLETS-001[0].Page2[0].List4[0].Li1[0].item4cb[0]</t>
        </is>
      </c>
      <c r="F44" s="6" t="inlineStr">
        <is>
          <t>checkbox</t>
        </is>
      </c>
      <c r="G44" s="6" t="inlineStr">
        <is>
          <t>1</t>
        </is>
      </c>
      <c r="H44" s="6" t="inlineStr"/>
      <c r="I44" s="6" t="inlineStr">
        <is>
          <t>62, 580, 71, 589</t>
        </is>
      </c>
      <c r="J44" s="6" t="inlineStr">
        <is>
          <t>derived</t>
        </is>
      </c>
      <c r="K44" s="6" t="inlineStr">
        <is>
          <t>PR8</t>
        </is>
      </c>
      <c r="L44" s="6" t="inlineStr">
        <is>
          <t>check if protected.length &gt; 4</t>
        </is>
      </c>
      <c r="M44" s="6" t="inlineStr"/>
      <c r="N44" s="6" t="inlineStr">
        <is>
          <t>Attach a sheet titled "Item 4".</t>
        </is>
      </c>
      <c r="O44" s="6" t="inlineStr"/>
    </row>
    <row r="45">
      <c r="A45" s="5" t="n">
        <v>44</v>
      </c>
      <c r="B45" s="5" t="n">
        <v>2</v>
      </c>
      <c r="C45" s="5" t="inlineStr">
        <is>
          <t>3</t>
        </is>
      </c>
      <c r="D45" s="5" t="inlineStr">
        <is>
          <t>Telephone</t>
        </is>
      </c>
      <c r="E45" s="5" t="inlineStr">
        <is>
          <t>CLETS-001[0].Page2[0].item3phonetf[0]</t>
        </is>
      </c>
      <c r="F45" s="5" t="inlineStr">
        <is>
          <t>text</t>
        </is>
      </c>
      <c r="G45" s="5" t="inlineStr"/>
      <c r="H45" s="5" t="inlineStr"/>
      <c r="I45" s="5" t="inlineStr">
        <is>
          <t>116, 346, 298, 358</t>
        </is>
      </c>
      <c r="J45" s="5" t="inlineStr">
        <is>
          <t>question</t>
        </is>
      </c>
      <c r="K45" s="5" t="inlineStr">
        <is>
          <t>P7</t>
        </is>
      </c>
      <c r="L45" s="5">
        <f> P7</f>
        <v/>
      </c>
      <c r="M45" s="5" t="inlineStr"/>
      <c r="N45" s="5" t="inlineStr"/>
      <c r="O45" s="5" t="inlineStr"/>
    </row>
    <row r="46">
      <c r="A46" s="5" t="n">
        <v>45</v>
      </c>
      <c r="B46" s="5" t="n">
        <v>2</v>
      </c>
      <c r="C46" s="5" t="inlineStr">
        <is>
          <t>3</t>
        </is>
      </c>
      <c r="D46" s="5" t="inlineStr">
        <is>
          <t>No (list language):</t>
        </is>
      </c>
      <c r="E46" s="5" t="inlineStr">
        <is>
          <t>CLETS-001[0].Page2[0].item3EnglishME[0]</t>
        </is>
      </c>
      <c r="F46" s="5" t="inlineStr">
        <is>
          <t>checkbox</t>
        </is>
      </c>
      <c r="G46" s="5" t="inlineStr">
        <is>
          <t>11</t>
        </is>
      </c>
      <c r="H46" s="5" t="inlineStr"/>
      <c r="I46" s="5" t="inlineStr">
        <is>
          <t>63, 417, 72, 426</t>
        </is>
      </c>
      <c r="J46" s="5" t="inlineStr">
        <is>
          <t>question</t>
        </is>
      </c>
      <c r="K46" s="5" t="inlineStr">
        <is>
          <t>P9</t>
        </is>
      </c>
      <c r="L46" s="5" t="inlineStr">
        <is>
          <t>check if P9 == "N"</t>
        </is>
      </c>
      <c r="M46" s="5" t="inlineStr"/>
      <c r="N46" s="5" t="inlineStr"/>
      <c r="O46" s="5" t="inlineStr"/>
    </row>
    <row r="47">
      <c r="A47" s="5" t="n">
        <v>46</v>
      </c>
      <c r="B47" s="5" t="n">
        <v>2</v>
      </c>
      <c r="C47" s="5" t="inlineStr">
        <is>
          <t>3</t>
        </is>
      </c>
      <c r="D47" s="5" t="inlineStr">
        <is>
          <t>Yes</t>
        </is>
      </c>
      <c r="E47" s="5" t="inlineStr">
        <is>
          <t>CLETS-001[0].Page2[0].item3EnglishME[1]</t>
        </is>
      </c>
      <c r="F47" s="5" t="inlineStr">
        <is>
          <t>checkbox</t>
        </is>
      </c>
      <c r="G47" s="5" t="inlineStr">
        <is>
          <t>1</t>
        </is>
      </c>
      <c r="H47" s="5" t="inlineStr"/>
      <c r="I47" s="5" t="inlineStr">
        <is>
          <t>63, 398, 72, 407</t>
        </is>
      </c>
      <c r="J47" s="5" t="inlineStr">
        <is>
          <t>question</t>
        </is>
      </c>
      <c r="K47" s="5" t="inlineStr">
        <is>
          <t>P9</t>
        </is>
      </c>
      <c r="L47" s="5" t="inlineStr">
        <is>
          <t>check if P9 == "Y"</t>
        </is>
      </c>
      <c r="M47" s="5" t="inlineStr"/>
      <c r="N47" s="5" t="inlineStr">
        <is>
          <t>Yes is the second widget (export 1); No is the first (export 11).</t>
        </is>
      </c>
      <c r="O47" s="5" t="inlineStr"/>
    </row>
    <row r="48">
      <c r="A48" s="5" t="n">
        <v>47</v>
      </c>
      <c r="B48" s="5" t="n">
        <v>2</v>
      </c>
      <c r="C48" s="5" t="inlineStr">
        <is>
          <t>3</t>
        </is>
      </c>
      <c r="D48" s="5" t="inlineStr">
        <is>
          <t>list language</t>
        </is>
      </c>
      <c r="E48" s="5" t="inlineStr">
        <is>
          <t>CLETS-001[0].Page2[0].item3englishtf[0]</t>
        </is>
      </c>
      <c r="F48" s="5" t="inlineStr">
        <is>
          <t>text</t>
        </is>
      </c>
      <c r="G48" s="5" t="inlineStr"/>
      <c r="H48" s="5" t="inlineStr"/>
      <c r="I48" s="5" t="inlineStr">
        <is>
          <t>162, 417, 552, 429</t>
        </is>
      </c>
      <c r="J48" s="5" t="inlineStr">
        <is>
          <t>question</t>
        </is>
      </c>
      <c r="K48" s="5" t="inlineStr">
        <is>
          <t>P9</t>
        </is>
      </c>
      <c r="L48" s="5">
        <f> P9.language</f>
        <v/>
      </c>
      <c r="M48" s="5" t="inlineStr">
        <is>
          <t>P9 == "N"</t>
        </is>
      </c>
      <c r="N48" s="5" t="inlineStr"/>
      <c r="O48" s="5" t="inlineStr"/>
    </row>
    <row r="49">
      <c r="A49" s="5" t="n">
        <v>48</v>
      </c>
      <c r="B49" s="5" t="n">
        <v>2</v>
      </c>
      <c r="C49" s="5" t="inlineStr">
        <is>
          <t>3</t>
        </is>
      </c>
      <c r="D49" s="5" t="inlineStr">
        <is>
          <t>X (nonbinary)</t>
        </is>
      </c>
      <c r="E49" s="5" t="inlineStr">
        <is>
          <t>CLETS-001[0].Page2[0].Item3genderME[0]</t>
        </is>
      </c>
      <c r="F49" s="5" t="inlineStr">
        <is>
          <t>checkbox</t>
        </is>
      </c>
      <c r="G49" s="5" t="inlineStr">
        <is>
          <t>21</t>
        </is>
      </c>
      <c r="H49" s="5" t="inlineStr"/>
      <c r="I49" s="5" t="inlineStr">
        <is>
          <t>182, 215, 191, 224</t>
        </is>
      </c>
      <c r="J49" s="5" t="inlineStr">
        <is>
          <t>question</t>
        </is>
      </c>
      <c r="K49" s="5" t="inlineStr">
        <is>
          <t>P4</t>
        </is>
      </c>
      <c r="L49" s="5" t="inlineStr">
        <is>
          <t>check if P4 == "X"</t>
        </is>
      </c>
      <c r="M49" s="5" t="inlineStr"/>
      <c r="N49" s="5" t="inlineStr">
        <is>
          <t>Widget order is X (nonbinary), Male, Female; exports 21 / 1 / 11.</t>
        </is>
      </c>
      <c r="O49" s="5" t="inlineStr"/>
    </row>
    <row r="50">
      <c r="A50" s="5" t="n">
        <v>49</v>
      </c>
      <c r="B50" s="5" t="n">
        <v>2</v>
      </c>
      <c r="C50" s="5" t="inlineStr">
        <is>
          <t>3</t>
        </is>
      </c>
      <c r="D50" s="5" t="inlineStr">
        <is>
          <t>Male</t>
        </is>
      </c>
      <c r="E50" s="5" t="inlineStr">
        <is>
          <t>CLETS-001[0].Page2[0].Item3genderME[1]</t>
        </is>
      </c>
      <c r="F50" s="5" t="inlineStr">
        <is>
          <t>checkbox</t>
        </is>
      </c>
      <c r="G50" s="5" t="inlineStr">
        <is>
          <t>1</t>
        </is>
      </c>
      <c r="H50" s="5" t="inlineStr"/>
      <c r="I50" s="5" t="inlineStr">
        <is>
          <t>114, 214, 123, 223</t>
        </is>
      </c>
      <c r="J50" s="5" t="inlineStr">
        <is>
          <t>question</t>
        </is>
      </c>
      <c r="K50" s="5" t="inlineStr">
        <is>
          <t>P4</t>
        </is>
      </c>
      <c r="L50" s="5" t="inlineStr">
        <is>
          <t>check if P4 == "M"</t>
        </is>
      </c>
      <c r="M50" s="5" t="inlineStr"/>
      <c r="N50" s="5" t="inlineStr"/>
      <c r="O50" s="5" t="inlineStr"/>
    </row>
    <row r="51">
      <c r="A51" s="5" t="n">
        <v>50</v>
      </c>
      <c r="B51" s="5" t="n">
        <v>2</v>
      </c>
      <c r="C51" s="5" t="inlineStr">
        <is>
          <t>3</t>
        </is>
      </c>
      <c r="D51" s="5" t="inlineStr">
        <is>
          <t>Female</t>
        </is>
      </c>
      <c r="E51" s="5" t="inlineStr">
        <is>
          <t>CLETS-001[0].Page2[0].Item3genderME[2]</t>
        </is>
      </c>
      <c r="F51" s="5" t="inlineStr">
        <is>
          <t>checkbox</t>
        </is>
      </c>
      <c r="G51" s="5" t="inlineStr">
        <is>
          <t>11</t>
        </is>
      </c>
      <c r="H51" s="5" t="inlineStr"/>
      <c r="I51" s="5" t="inlineStr">
        <is>
          <t>149, 214, 158, 223</t>
        </is>
      </c>
      <c r="J51" s="5" t="inlineStr">
        <is>
          <t>question</t>
        </is>
      </c>
      <c r="K51" s="5" t="inlineStr">
        <is>
          <t>P4</t>
        </is>
      </c>
      <c r="L51" s="5" t="inlineStr">
        <is>
          <t>check if P4 == "F"</t>
        </is>
      </c>
      <c r="M51" s="5" t="inlineStr"/>
      <c r="N51" s="5" t="inlineStr"/>
      <c r="O51" s="5" t="inlineStr"/>
    </row>
    <row r="52">
      <c r="A52" s="5" t="n">
        <v>51</v>
      </c>
      <c r="B52" s="5" t="n">
        <v>2</v>
      </c>
      <c r="C52" s="5" t="inlineStr">
        <is>
          <t>3</t>
        </is>
      </c>
      <c r="D52" s="5" t="inlineStr">
        <is>
          <t>Race</t>
        </is>
      </c>
      <c r="E52" s="5" t="inlineStr">
        <is>
          <t>CLETS-001[0].Page2[0].racetf[0]</t>
        </is>
      </c>
      <c r="F52" s="5" t="inlineStr">
        <is>
          <t>text</t>
        </is>
      </c>
      <c r="G52" s="5" t="inlineStr"/>
      <c r="H52" s="5" t="inlineStr"/>
      <c r="I52" s="5" t="inlineStr">
        <is>
          <t>316, 214, 574, 226</t>
        </is>
      </c>
      <c r="J52" s="5" t="inlineStr">
        <is>
          <t>question</t>
        </is>
      </c>
      <c r="K52" s="5" t="inlineStr">
        <is>
          <t>P5</t>
        </is>
      </c>
      <c r="L52" s="5">
        <f> P5</f>
        <v/>
      </c>
      <c r="M52" s="5" t="inlineStr">
        <is>
          <t>optional</t>
        </is>
      </c>
      <c r="N52" s="5" t="inlineStr"/>
      <c r="O52" s="5" t="inlineStr"/>
    </row>
    <row r="53">
      <c r="A53" s="5" t="n">
        <v>52</v>
      </c>
      <c r="B53" s="5" t="n">
        <v>2</v>
      </c>
      <c r="C53" s="5" t="inlineStr">
        <is>
          <t>Caption</t>
        </is>
      </c>
      <c r="D53" s="5" t="inlineStr">
        <is>
          <t>Case Number:</t>
        </is>
      </c>
      <c r="E53" s="5" t="inlineStr">
        <is>
          <t>CLETS-001[0].Page2[0].CaseNumber_ft[0]</t>
        </is>
      </c>
      <c r="F53" s="5" t="inlineStr">
        <is>
          <t>text</t>
        </is>
      </c>
      <c r="G53" s="5" t="inlineStr"/>
      <c r="H53" s="5" t="inlineStr"/>
      <c r="I53" s="5" t="inlineStr">
        <is>
          <t>402, 47, 576, 63</t>
        </is>
      </c>
      <c r="J53" s="5" t="inlineStr">
        <is>
          <t>question</t>
        </is>
      </c>
      <c r="K53" s="5" t="inlineStr">
        <is>
          <t>S3,S4</t>
        </is>
      </c>
      <c r="L53" s="5">
        <f> S4</f>
        <v/>
      </c>
      <c r="M53" s="5" t="inlineStr">
        <is>
          <t>S3 == "update"; otherwise blank for clerk</t>
        </is>
      </c>
      <c r="N53" s="5" t="inlineStr"/>
      <c r="O53" s="5" t="inlineStr"/>
    </row>
    <row r="54">
      <c r="A54" s="5" t="n">
        <v>53</v>
      </c>
      <c r="B54" s="5" t="n">
        <v>2</v>
      </c>
      <c r="C54" s="5" t="inlineStr">
        <is>
          <t>2</t>
        </is>
      </c>
      <c r="D54" s="5" t="inlineStr">
        <is>
          <t>Your Name</t>
        </is>
      </c>
      <c r="E54" s="5" t="inlineStr">
        <is>
          <t>CLETS-001[0].Page2[0].List2[0].Li1[0].yournametf[0]</t>
        </is>
      </c>
      <c r="F54" s="5" t="inlineStr">
        <is>
          <t>text</t>
        </is>
      </c>
      <c r="G54" s="5" t="inlineStr"/>
      <c r="H54" s="5" t="inlineStr"/>
      <c r="I54" s="5" t="inlineStr">
        <is>
          <t>142, 94, 576, 109</t>
        </is>
      </c>
      <c r="J54" s="5" t="inlineStr">
        <is>
          <t>question</t>
        </is>
      </c>
      <c r="K54" s="5" t="inlineStr">
        <is>
          <t>P1</t>
        </is>
      </c>
      <c r="L54" s="5">
        <f> P1</f>
        <v/>
      </c>
      <c r="M54" s="5" t="inlineStr"/>
      <c r="N54" s="5" t="inlineStr"/>
      <c r="O54" s="5" t="inlineStr"/>
    </row>
  </sheetData>
  <autoFilter ref="A1:O54"/>
  <dataValidations count="1">
    <dataValidation sqref="J2:J54" showDropDown="0" showInputMessage="0" showErrorMessage="0" allowBlank="1" type="list">
      <formula1>"question,derived,court/clerk,server,ignore (UI button)"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4"/>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7" t="n">
        <v>1</v>
      </c>
      <c r="B2" s="7" t="n">
        <v>1</v>
      </c>
      <c r="C2" s="7" t="inlineStr">
        <is>
          <t>—</t>
        </is>
      </c>
      <c r="D2" s="7" t="inlineStr">
        <is>
          <t>www.courts.ca.gov</t>
        </is>
      </c>
      <c r="E2" s="7" t="inlineStr">
        <is>
          <t>DV-109[0].#pageSet[0].Page1[0].FooterSub[0].FooterP1_grp[0].CourtLink[0]</t>
        </is>
      </c>
      <c r="F2" s="7" t="inlineStr">
        <is>
          <t>button</t>
        </is>
      </c>
      <c r="G2" s="7" t="inlineStr"/>
      <c r="H2" s="7" t="inlineStr"/>
      <c r="I2" s="7" t="inlineStr">
        <is>
          <t>115, 724, 165, 730</t>
        </is>
      </c>
      <c r="J2" s="7" t="inlineStr">
        <is>
          <t>ignore (UI button)</t>
        </is>
      </c>
      <c r="K2" s="7" t="inlineStr"/>
      <c r="L2" s="7" t="inlineStr"/>
      <c r="M2" s="7" t="inlineStr"/>
      <c r="N2" s="7" t="inlineStr">
        <is>
          <t>Print/Save/Clear button. Do not fill.</t>
        </is>
      </c>
      <c r="O2" s="7" t="inlineStr"/>
    </row>
    <row r="3">
      <c r="A3" s="6" t="n">
        <v>2</v>
      </c>
      <c r="B3" s="6" t="n">
        <v>1</v>
      </c>
      <c r="C3" s="6" t="inlineStr">
        <is>
          <t>Caption</t>
        </is>
      </c>
      <c r="D3" s="6" t="inlineStr">
        <is>
          <t>Superior Court of California, County of</t>
        </is>
      </c>
      <c r="E3" s="6" t="inlineStr">
        <is>
          <t>DV-109[0].Page1[0].P1RightCaption[0].CrtInfo[0].CourtInfo_ft[0]</t>
        </is>
      </c>
      <c r="F3" s="6" t="inlineStr">
        <is>
          <t>text</t>
        </is>
      </c>
      <c r="G3" s="6" t="inlineStr"/>
      <c r="H3" s="6" t="inlineStr"/>
      <c r="I3" s="6" t="inlineStr">
        <is>
          <t>398, 214, 573, 284</t>
        </is>
      </c>
      <c r="J3" s="6" t="inlineStr">
        <is>
          <t>derived</t>
        </is>
      </c>
      <c r="K3" s="6" t="inlineStr">
        <is>
          <t>S1,S2</t>
        </is>
      </c>
      <c r="L3" s="6">
        <f> S1.countyName + "\n" + courthouse(S1,S2).streetAddress + ", " + courthouse(S1,S2).cityZip</f>
        <v/>
      </c>
      <c r="M3" s="6" t="inlineStr"/>
      <c r="N3" s="6" t="inlineStr"/>
      <c r="O3" s="6" t="inlineStr"/>
    </row>
    <row r="4">
      <c r="A4" s="5" t="n">
        <v>3</v>
      </c>
      <c r="B4" s="5" t="n">
        <v>1</v>
      </c>
      <c r="C4" s="5" t="inlineStr">
        <is>
          <t>Caption</t>
        </is>
      </c>
      <c r="D4" s="5" t="inlineStr">
        <is>
          <t>Case Number</t>
        </is>
      </c>
      <c r="E4" s="5" t="inlineStr">
        <is>
          <t>DV-109[0].Page1[0].P1RightCaption[0].CaseNo[0].CaseNumber_ft[0]</t>
        </is>
      </c>
      <c r="F4" s="5" t="inlineStr">
        <is>
          <t>text</t>
        </is>
      </c>
      <c r="G4" s="5" t="inlineStr"/>
      <c r="H4" s="5" t="inlineStr"/>
      <c r="I4" s="5" t="inlineStr">
        <is>
          <t>398, 314, 573, 332</t>
        </is>
      </c>
      <c r="J4" s="5" t="inlineStr">
        <is>
          <t>question</t>
        </is>
      </c>
      <c r="K4" s="5" t="inlineStr">
        <is>
          <t>S3,S4</t>
        </is>
      </c>
      <c r="L4" s="5">
        <f> S4</f>
        <v/>
      </c>
      <c r="M4" s="5" t="inlineStr">
        <is>
          <t>S3 == "update"; otherwise blank for clerk</t>
        </is>
      </c>
      <c r="N4" s="5" t="inlineStr"/>
      <c r="O4" s="5" t="inlineStr"/>
    </row>
    <row r="5">
      <c r="A5" s="5" t="n">
        <v>4</v>
      </c>
      <c r="B5" s="5" t="n">
        <v>1</v>
      </c>
      <c r="C5" s="5" t="inlineStr">
        <is>
          <t>1</t>
        </is>
      </c>
      <c r="D5" s="5" t="inlineStr">
        <is>
          <t>Name</t>
        </is>
      </c>
      <c r="E5" s="5" t="inlineStr">
        <is>
          <t>DV-109[0].Page1[0].List1[0].Li1[0].YourName_tf[0]</t>
        </is>
      </c>
      <c r="F5" s="5" t="inlineStr">
        <is>
          <t>text</t>
        </is>
      </c>
      <c r="G5" s="5" t="inlineStr"/>
      <c r="H5" s="5" t="inlineStr"/>
      <c r="I5" s="5" t="inlineStr">
        <is>
          <t>96, 159, 392, 170</t>
        </is>
      </c>
      <c r="J5" s="5" t="inlineStr">
        <is>
          <t>question</t>
        </is>
      </c>
      <c r="K5" s="5" t="inlineStr">
        <is>
          <t>P1</t>
        </is>
      </c>
      <c r="L5" s="5">
        <f> P1</f>
        <v/>
      </c>
      <c r="M5" s="5" t="inlineStr"/>
      <c r="N5" s="5" t="inlineStr"/>
      <c r="O5" s="5" t="inlineStr"/>
    </row>
    <row r="6">
      <c r="A6" s="5" t="n">
        <v>5</v>
      </c>
      <c r="B6" s="5" t="n">
        <v>1</v>
      </c>
      <c r="C6" s="5" t="inlineStr">
        <is>
          <t>2</t>
        </is>
      </c>
      <c r="D6" s="5" t="inlineStr">
        <is>
          <t>Name</t>
        </is>
      </c>
      <c r="E6" s="5" t="inlineStr">
        <is>
          <t>DV-109[0].Page1[0].List2[0].Li1[0].YourName_tf[0]</t>
        </is>
      </c>
      <c r="F6" s="5" t="inlineStr">
        <is>
          <t>text</t>
        </is>
      </c>
      <c r="G6" s="5" t="inlineStr"/>
      <c r="H6" s="5" t="inlineStr"/>
      <c r="I6" s="5" t="inlineStr">
        <is>
          <t>95, 232, 392, 243</t>
        </is>
      </c>
      <c r="J6" s="5" t="inlineStr">
        <is>
          <t>question</t>
        </is>
      </c>
      <c r="K6" s="5" t="inlineStr">
        <is>
          <t>R1</t>
        </is>
      </c>
      <c r="L6" s="5">
        <f> R1</f>
        <v/>
      </c>
      <c r="M6" s="5" t="inlineStr"/>
      <c r="N6" s="5" t="inlineStr"/>
      <c r="O6" s="5" t="inlineStr"/>
    </row>
    <row r="7">
      <c r="A7" s="8" t="n">
        <v>6</v>
      </c>
      <c r="B7" s="8" t="n">
        <v>1</v>
      </c>
      <c r="C7" s="8" t="inlineStr">
        <is>
          <t>3 (court)</t>
        </is>
      </c>
      <c r="D7" s="8" t="inlineStr">
        <is>
          <t>Date</t>
        </is>
      </c>
      <c r="E7" s="8" t="inlineStr">
        <is>
          <t>DV-109[0].Page1[0].List3[0].Li1[0].HearingDate_dt[0]</t>
        </is>
      </c>
      <c r="F7" s="8" t="inlineStr">
        <is>
          <t>text</t>
        </is>
      </c>
      <c r="G7" s="8" t="inlineStr"/>
      <c r="H7" s="8" t="inlineStr"/>
      <c r="I7" s="8" t="inlineStr">
        <is>
          <t>145, 387, 227, 400</t>
        </is>
      </c>
      <c r="J7" s="8" t="inlineStr">
        <is>
          <t>court/clerk</t>
        </is>
      </c>
      <c r="K7" s="8" t="inlineStr"/>
      <c r="L7" s="8" t="inlineStr"/>
      <c r="M7" s="8" t="inlineStr"/>
      <c r="N7" s="8" t="inlineStr">
        <is>
          <t>Court completes.</t>
        </is>
      </c>
      <c r="O7" s="8" t="inlineStr"/>
    </row>
    <row r="8">
      <c r="A8" s="8" t="n">
        <v>7</v>
      </c>
      <c r="B8" s="8" t="n">
        <v>1</v>
      </c>
      <c r="C8" s="8" t="inlineStr">
        <is>
          <t>3 (court)</t>
        </is>
      </c>
      <c r="D8" s="8" t="inlineStr">
        <is>
          <t>Time</t>
        </is>
      </c>
      <c r="E8" s="8" t="inlineStr">
        <is>
          <t>DV-109[0].Page1[0].List3[0].Li1[0].HearingTime_dt[0]</t>
        </is>
      </c>
      <c r="F8" s="8" t="inlineStr">
        <is>
          <t>text</t>
        </is>
      </c>
      <c r="G8" s="8" t="inlineStr"/>
      <c r="H8" s="8" t="inlineStr"/>
      <c r="I8" s="8" t="inlineStr">
        <is>
          <t>261, 387, 328, 400</t>
        </is>
      </c>
      <c r="J8" s="8" t="inlineStr">
        <is>
          <t>court/clerk</t>
        </is>
      </c>
      <c r="K8" s="8" t="inlineStr"/>
      <c r="L8" s="8" t="inlineStr"/>
      <c r="M8" s="8" t="inlineStr"/>
      <c r="N8" s="8" t="inlineStr">
        <is>
          <t>Court completes.</t>
        </is>
      </c>
      <c r="O8" s="8" t="inlineStr"/>
    </row>
    <row r="9">
      <c r="A9" s="8" t="n">
        <v>8</v>
      </c>
      <c r="B9" s="8" t="n">
        <v>1</v>
      </c>
      <c r="C9" s="8" t="inlineStr">
        <is>
          <t>3 (court)</t>
        </is>
      </c>
      <c r="D9" s="8" t="inlineStr">
        <is>
          <t>Department</t>
        </is>
      </c>
      <c r="E9" s="8" t="inlineStr">
        <is>
          <t>DV-109[0].Page1[0].List3[0].Li1[0].HearingDept_ft[0]</t>
        </is>
      </c>
      <c r="F9" s="8" t="inlineStr">
        <is>
          <t>text</t>
        </is>
      </c>
      <c r="G9" s="8" t="inlineStr"/>
      <c r="H9" s="8" t="inlineStr"/>
      <c r="I9" s="8" t="inlineStr">
        <is>
          <t>145, 402, 228, 415</t>
        </is>
      </c>
      <c r="J9" s="8" t="inlineStr">
        <is>
          <t>court/clerk</t>
        </is>
      </c>
      <c r="K9" s="8" t="inlineStr"/>
      <c r="L9" s="8" t="inlineStr"/>
      <c r="M9" s="8" t="inlineStr"/>
      <c r="N9" s="8" t="inlineStr">
        <is>
          <t>Court completes.</t>
        </is>
      </c>
      <c r="O9" s="8" t="inlineStr"/>
    </row>
    <row r="10">
      <c r="A10" s="8" t="n">
        <v>9</v>
      </c>
      <c r="B10" s="8" t="n">
        <v>1</v>
      </c>
      <c r="C10" s="8" t="inlineStr">
        <is>
          <t>3 (court)</t>
        </is>
      </c>
      <c r="D10" s="8" t="inlineStr">
        <is>
          <t>Room</t>
        </is>
      </c>
      <c r="E10" s="8" t="inlineStr">
        <is>
          <t>DV-109[0].Page1[0].List3[0].Li1[0].HearingRm_ft[0]</t>
        </is>
      </c>
      <c r="F10" s="8" t="inlineStr">
        <is>
          <t>text</t>
        </is>
      </c>
      <c r="G10" s="8" t="inlineStr"/>
      <c r="H10" s="8" t="inlineStr"/>
      <c r="I10" s="8" t="inlineStr">
        <is>
          <t>263, 402, 328, 415</t>
        </is>
      </c>
      <c r="J10" s="8" t="inlineStr">
        <is>
          <t>court/clerk</t>
        </is>
      </c>
      <c r="K10" s="8" t="inlineStr"/>
      <c r="L10" s="8" t="inlineStr"/>
      <c r="M10" s="8" t="inlineStr"/>
      <c r="N10" s="8" t="inlineStr">
        <is>
          <t>Court completes.</t>
        </is>
      </c>
      <c r="O10" s="8" t="inlineStr"/>
    </row>
    <row r="11">
      <c r="A11" s="8" t="n">
        <v>10</v>
      </c>
      <c r="B11" s="8" t="n">
        <v>1</v>
      </c>
      <c r="C11" s="8" t="inlineStr">
        <is>
          <t>3 (court)</t>
        </is>
      </c>
      <c r="D11" s="8" t="inlineStr">
        <is>
          <t>Name and address of court if different from above</t>
        </is>
      </c>
      <c r="E11" s="8" t="inlineStr">
        <is>
          <t>DV-109[0].Page1[0].List3[0].Li1[0].HearingCourt_ft[0]</t>
        </is>
      </c>
      <c r="F11" s="8" t="inlineStr">
        <is>
          <t>text</t>
        </is>
      </c>
      <c r="G11" s="8" t="inlineStr"/>
      <c r="H11" s="8" t="inlineStr"/>
      <c r="I11" s="8" t="inlineStr">
        <is>
          <t>333, 371, 573, 414</t>
        </is>
      </c>
      <c r="J11" s="8" t="inlineStr">
        <is>
          <t>court/clerk</t>
        </is>
      </c>
      <c r="K11" s="8" t="inlineStr"/>
      <c r="L11" s="8" t="inlineStr"/>
      <c r="M11" s="8" t="inlineStr"/>
      <c r="N11" s="8" t="inlineStr">
        <is>
          <t>Court completes.</t>
        </is>
      </c>
      <c r="O11" s="8" t="inlineStr"/>
    </row>
    <row r="12">
      <c r="A12" s="7" t="n">
        <v>11</v>
      </c>
      <c r="B12" s="7" t="n">
        <v>1</v>
      </c>
      <c r="C12" s="7" t="inlineStr">
        <is>
          <t>—</t>
        </is>
      </c>
      <c r="D12" s="7" t="inlineStr">
        <is>
          <t>www.courts.ca.gov/find-my-court.htm.</t>
        </is>
      </c>
      <c r="E12" s="7" t="inlineStr">
        <is>
          <t>DV-109[0].Page1[0].List3[0].Li1[0].Button1[0]</t>
        </is>
      </c>
      <c r="F12" s="7" t="inlineStr">
        <is>
          <t>button</t>
        </is>
      </c>
      <c r="G12" s="7" t="inlineStr"/>
      <c r="H12" s="7" t="inlineStr"/>
      <c r="I12" s="7" t="inlineStr">
        <is>
          <t>400, 446, 576, 457</t>
        </is>
      </c>
      <c r="J12" s="7" t="inlineStr">
        <is>
          <t>ignore (UI button)</t>
        </is>
      </c>
      <c r="K12" s="7" t="inlineStr"/>
      <c r="L12" s="7" t="inlineStr"/>
      <c r="M12" s="7" t="inlineStr"/>
      <c r="N12" s="7" t="inlineStr">
        <is>
          <t>Print/Save/Clear button. Do not fill.</t>
        </is>
      </c>
      <c r="O12" s="7" t="inlineStr"/>
    </row>
    <row r="13">
      <c r="A13" s="5" t="n">
        <v>12</v>
      </c>
      <c r="B13" s="5" t="n">
        <v>2</v>
      </c>
      <c r="C13" s="5" t="inlineStr">
        <is>
          <t>Caption</t>
        </is>
      </c>
      <c r="D13" s="5" t="inlineStr">
        <is>
          <t>Case Number:</t>
        </is>
      </c>
      <c r="E13" s="5" t="inlineStr">
        <is>
          <t>DV-109[0].Page2[0].P2Header[0].CaseNumber_ft[0]</t>
        </is>
      </c>
      <c r="F13" s="5" t="inlineStr">
        <is>
          <t>text</t>
        </is>
      </c>
      <c r="G13" s="5" t="inlineStr"/>
      <c r="H13" s="5" t="inlineStr"/>
      <c r="I13" s="5" t="inlineStr">
        <is>
          <t>401, 47, 576, 65</t>
        </is>
      </c>
      <c r="J13" s="5" t="inlineStr">
        <is>
          <t>question</t>
        </is>
      </c>
      <c r="K13" s="5" t="inlineStr">
        <is>
          <t>S3,S4</t>
        </is>
      </c>
      <c r="L13" s="5">
        <f> S4</f>
        <v/>
      </c>
      <c r="M13" s="5" t="inlineStr">
        <is>
          <t>S3 == "update"; otherwise blank for clerk</t>
        </is>
      </c>
      <c r="N13" s="5" t="inlineStr"/>
      <c r="O13" s="5" t="inlineStr"/>
    </row>
    <row r="14">
      <c r="A14" s="8" t="n">
        <v>13</v>
      </c>
      <c r="B14" s="8" t="n">
        <v>2</v>
      </c>
      <c r="C14" s="8" t="inlineStr">
        <is>
          <t>4 (court)</t>
        </is>
      </c>
      <c r="D14" s="8" t="inlineStr">
        <is>
          <t>All granted until the court hearing.</t>
        </is>
      </c>
      <c r="E14" s="8" t="inlineStr">
        <is>
          <t>DV-109[0].Page2[0].List4[0].Li1[0].List[0].Li1[0].TRO_cb[0]</t>
        </is>
      </c>
      <c r="F14" s="8" t="inlineStr">
        <is>
          <t>checkbox</t>
        </is>
      </c>
      <c r="G14" s="8" t="inlineStr">
        <is>
          <t>1</t>
        </is>
      </c>
      <c r="H14" s="8" t="inlineStr"/>
      <c r="I14" s="8" t="inlineStr">
        <is>
          <t>98, 123, 107, 132</t>
        </is>
      </c>
      <c r="J14" s="8" t="inlineStr">
        <is>
          <t>court/clerk</t>
        </is>
      </c>
      <c r="K14" s="8" t="inlineStr"/>
      <c r="L14" s="8" t="inlineStr"/>
      <c r="M14" s="8" t="inlineStr"/>
      <c r="N14" s="8" t="inlineStr">
        <is>
          <t>Court completes.</t>
        </is>
      </c>
      <c r="O14" s="8" t="inlineStr"/>
    </row>
    <row r="15">
      <c r="A15" s="8" t="n">
        <v>14</v>
      </c>
      <c r="B15" s="8" t="n">
        <v>2</v>
      </c>
      <c r="C15" s="8" t="inlineStr">
        <is>
          <t>4 (court)</t>
        </is>
      </c>
      <c r="D15" s="8" t="inlineStr">
        <is>
          <t>All denied until the court hearing. (Reasons for denial are given below in b.)</t>
        </is>
      </c>
      <c r="E15" s="8" t="inlineStr">
        <is>
          <t>DV-109[0].Page2[0].List4[0].Li1[0].List[0].Li2[0].TRO_cb[0]</t>
        </is>
      </c>
      <c r="F15" s="8" t="inlineStr">
        <is>
          <t>checkbox</t>
        </is>
      </c>
      <c r="G15" s="8" t="inlineStr">
        <is>
          <t>2</t>
        </is>
      </c>
      <c r="H15" s="8" t="inlineStr"/>
      <c r="I15" s="8" t="inlineStr">
        <is>
          <t>98, 137, 107, 146</t>
        </is>
      </c>
      <c r="J15" s="8" t="inlineStr">
        <is>
          <t>court/clerk</t>
        </is>
      </c>
      <c r="K15" s="8" t="inlineStr"/>
      <c r="L15" s="8" t="inlineStr"/>
      <c r="M15" s="8" t="inlineStr"/>
      <c r="N15" s="8" t="inlineStr">
        <is>
          <t>Court completes.</t>
        </is>
      </c>
      <c r="O15" s="8" t="inlineStr"/>
    </row>
    <row r="16">
      <c r="A16" s="8" t="n">
        <v>15</v>
      </c>
      <c r="B16" s="8" t="n">
        <v>2</v>
      </c>
      <c r="C16" s="8" t="inlineStr">
        <is>
          <t>4 (court)</t>
        </is>
      </c>
      <c r="D16" s="8" t="inlineStr">
        <is>
          <t>Partly granted and partly denied until the court hearing. (Reasons for denial are given in b.)</t>
        </is>
      </c>
      <c r="E16" s="8" t="inlineStr">
        <is>
          <t>DV-109[0].Page2[0].List4[0].Li1[0].List[0].Li3[0].TRO_cb[0]</t>
        </is>
      </c>
      <c r="F16" s="8" t="inlineStr">
        <is>
          <t>checkbox</t>
        </is>
      </c>
      <c r="G16" s="8" t="inlineStr">
        <is>
          <t>3</t>
        </is>
      </c>
      <c r="H16" s="8" t="inlineStr"/>
      <c r="I16" s="8" t="inlineStr">
        <is>
          <t>98, 150, 107, 159</t>
        </is>
      </c>
      <c r="J16" s="8" t="inlineStr">
        <is>
          <t>court/clerk</t>
        </is>
      </c>
      <c r="K16" s="8" t="inlineStr"/>
      <c r="L16" s="8" t="inlineStr"/>
      <c r="M16" s="8" t="inlineStr"/>
      <c r="N16" s="8" t="inlineStr">
        <is>
          <t>Court completes.</t>
        </is>
      </c>
      <c r="O16" s="8" t="inlineStr"/>
    </row>
    <row r="17">
      <c r="A17" s="8" t="n">
        <v>16</v>
      </c>
      <c r="B17" s="8" t="n">
        <v>2</v>
      </c>
      <c r="C17" s="8" t="inlineStr">
        <is>
          <t>4 (court)</t>
        </is>
      </c>
      <c r="D17" s="8" t="inlineStr">
        <is>
          <t>Reasons for denial of some or all of the orders requested on form DV-100.</t>
        </is>
      </c>
      <c r="E17" s="8" t="inlineStr">
        <is>
          <t>DV-109[0].Page2[0].List4[0].Li2[0].CheckBoxRightCaption[0]</t>
        </is>
      </c>
      <c r="F17" s="8" t="inlineStr">
        <is>
          <t>checkbox</t>
        </is>
      </c>
      <c r="G17" s="8" t="inlineStr">
        <is>
          <t>1</t>
        </is>
      </c>
      <c r="H17" s="8" t="inlineStr"/>
      <c r="I17" s="8" t="inlineStr">
        <is>
          <t>78, 175, 87, 184</t>
        </is>
      </c>
      <c r="J17" s="8" t="inlineStr">
        <is>
          <t>court/clerk</t>
        </is>
      </c>
      <c r="K17" s="8" t="inlineStr"/>
      <c r="L17" s="8" t="inlineStr"/>
      <c r="M17" s="8" t="inlineStr"/>
      <c r="N17" s="8" t="inlineStr">
        <is>
          <t>Court completes.</t>
        </is>
      </c>
      <c r="O17" s="8" t="inlineStr"/>
    </row>
    <row r="18">
      <c r="A18" s="8" t="n">
        <v>17</v>
      </c>
      <c r="B18" s="8" t="n">
        <v>2</v>
      </c>
      <c r="C18" s="8" t="inlineStr">
        <is>
          <t>4 (court)</t>
        </is>
      </c>
      <c r="D18" s="8" t="inlineStr">
        <is>
          <t>The facts given in the request (form DV-100) do not show reasonable proof of a past act or acts of abuse. (Family Code sections 6300, 6320, and 6320.5.)</t>
        </is>
      </c>
      <c r="E18" s="8" t="inlineStr">
        <is>
          <t>DV-109[0].Page2[0].List4[0].Li2[0].List[0].Li1[0].TRONoFacts_cb[0]</t>
        </is>
      </c>
      <c r="F18" s="8" t="inlineStr">
        <is>
          <t>checkbox</t>
        </is>
      </c>
      <c r="G18" s="8" t="inlineStr">
        <is>
          <t>1</t>
        </is>
      </c>
      <c r="H18" s="8" t="inlineStr"/>
      <c r="I18" s="8" t="inlineStr">
        <is>
          <t>98, 191, 107, 200</t>
        </is>
      </c>
      <c r="J18" s="8" t="inlineStr">
        <is>
          <t>court/clerk</t>
        </is>
      </c>
      <c r="K18" s="8" t="inlineStr"/>
      <c r="L18" s="8" t="inlineStr"/>
      <c r="M18" s="8" t="inlineStr"/>
      <c r="N18" s="8" t="inlineStr">
        <is>
          <t>Court completes.</t>
        </is>
      </c>
      <c r="O18" s="8" t="inlineStr"/>
    </row>
    <row r="19">
      <c r="A19" s="8" t="n">
        <v>18</v>
      </c>
      <c r="B19" s="8" t="n">
        <v>2</v>
      </c>
      <c r="C19" s="8" t="inlineStr">
        <is>
          <t>4 (court)</t>
        </is>
      </c>
      <c r="D19" s="8" t="inlineStr">
        <is>
          <t>The facts given in the request do not give enough detail about the most recent incidents of abuse, including what happened, the dates, who did what to whom, or any injuries or history of abuse.</t>
        </is>
      </c>
      <c r="E19" s="8" t="inlineStr">
        <is>
          <t>DV-109[0].Page2[0].List4[0].Li2[0].List[0].Li2[0].TRONoFacts_cb[0]</t>
        </is>
      </c>
      <c r="F19" s="8" t="inlineStr">
        <is>
          <t>checkbox</t>
        </is>
      </c>
      <c r="G19" s="8" t="inlineStr">
        <is>
          <t>1</t>
        </is>
      </c>
      <c r="H19" s="8" t="inlineStr"/>
      <c r="I19" s="8" t="inlineStr">
        <is>
          <t>98, 219, 107, 228</t>
        </is>
      </c>
      <c r="J19" s="8" t="inlineStr">
        <is>
          <t>court/clerk</t>
        </is>
      </c>
      <c r="K19" s="8" t="inlineStr"/>
      <c r="L19" s="8" t="inlineStr"/>
      <c r="M19" s="8" t="inlineStr"/>
      <c r="N19" s="8" t="inlineStr">
        <is>
          <t>Court completes.</t>
        </is>
      </c>
      <c r="O19" s="8" t="inlineStr"/>
    </row>
    <row r="20">
      <c r="A20" s="8" t="n">
        <v>19</v>
      </c>
      <c r="B20" s="8" t="n">
        <v>2</v>
      </c>
      <c r="C20" s="8" t="inlineStr">
        <is>
          <t>4 (court)</t>
        </is>
      </c>
      <c r="D20" s="8" t="inlineStr">
        <is>
          <t>Other reasons for denial</t>
        </is>
      </c>
      <c r="E20" s="8" t="inlineStr">
        <is>
          <t>DV-109[0].Page2[0].List4[0].Li2[0].List[0].Li3[0].TROOther_cb[0]</t>
        </is>
      </c>
      <c r="F20" s="8" t="inlineStr">
        <is>
          <t>checkbox</t>
        </is>
      </c>
      <c r="G20" s="8" t="inlineStr">
        <is>
          <t>1</t>
        </is>
      </c>
      <c r="H20" s="8" t="inlineStr"/>
      <c r="I20" s="8" t="inlineStr">
        <is>
          <t>98, 249, 107, 258</t>
        </is>
      </c>
      <c r="J20" s="8" t="inlineStr">
        <is>
          <t>court/clerk</t>
        </is>
      </c>
      <c r="K20" s="8" t="inlineStr"/>
      <c r="L20" s="8" t="inlineStr"/>
      <c r="M20" s="8" t="inlineStr"/>
      <c r="N20" s="8" t="inlineStr">
        <is>
          <t>Court completes.</t>
        </is>
      </c>
      <c r="O20" s="8" t="inlineStr"/>
    </row>
    <row r="21">
      <c r="A21" s="8" t="n">
        <v>20</v>
      </c>
      <c r="B21" s="8" t="n">
        <v>2</v>
      </c>
      <c r="C21" s="8" t="inlineStr">
        <is>
          <t>4 (court)</t>
        </is>
      </c>
      <c r="D21" s="8" t="inlineStr">
        <is>
          <t>Other reasons for denial</t>
        </is>
      </c>
      <c r="E21" s="8" t="inlineStr">
        <is>
          <t>DV-109[0].Page2[0].List4[0].Li2[0].List[0].Li3[0].TRODeniedFacts_ft[0]</t>
        </is>
      </c>
      <c r="F21" s="8" t="inlineStr">
        <is>
          <t>text</t>
        </is>
      </c>
      <c r="G21" s="8" t="inlineStr"/>
      <c r="H21" s="8" t="inlineStr"/>
      <c r="I21" s="8" t="inlineStr">
        <is>
          <t>113, 261, 576, 289</t>
        </is>
      </c>
      <c r="J21" s="8" t="inlineStr">
        <is>
          <t>court/clerk</t>
        </is>
      </c>
      <c r="K21" s="8" t="inlineStr"/>
      <c r="L21" s="8" t="inlineStr"/>
      <c r="M21" s="8" t="inlineStr"/>
      <c r="N21" s="8" t="inlineStr">
        <is>
          <t>Court completes.</t>
        </is>
      </c>
      <c r="O21" s="8" t="inlineStr"/>
    </row>
    <row r="22">
      <c r="A22" s="8" t="n">
        <v>21</v>
      </c>
      <c r="B22" s="8" t="n">
        <v>2</v>
      </c>
      <c r="C22" s="8" t="inlineStr">
        <is>
          <t>5 (court)</t>
        </is>
      </c>
      <c r="D22" s="8" t="inlineStr">
        <is>
          <t>A request to keep minor's information confidential was made (see form DV-160) and granted. (See form DV-165, Order on Request to Keep Minor's Information Confidential, served with this form.)</t>
        </is>
      </c>
      <c r="E22" s="8" t="inlineStr">
        <is>
          <t>DV-109[0].Page2[0].List5[0].Li1[0].Service110_cb[0]</t>
        </is>
      </c>
      <c r="F22" s="8" t="inlineStr">
        <is>
          <t>checkbox</t>
        </is>
      </c>
      <c r="G22" s="8" t="inlineStr">
        <is>
          <t>1</t>
        </is>
      </c>
      <c r="H22" s="8" t="inlineStr"/>
      <c r="I22" s="8" t="inlineStr">
        <is>
          <t>78, 336, 87, 345</t>
        </is>
      </c>
      <c r="J22" s="8" t="inlineStr">
        <is>
          <t>court/clerk</t>
        </is>
      </c>
      <c r="K22" s="8" t="inlineStr"/>
      <c r="L22" s="8" t="inlineStr"/>
      <c r="M22" s="8" t="inlineStr"/>
      <c r="N22" s="8" t="inlineStr">
        <is>
          <t>Court completes.</t>
        </is>
      </c>
      <c r="O22" s="8" t="inlineStr"/>
    </row>
    <row r="23">
      <c r="A23" s="8" t="n">
        <v>22</v>
      </c>
      <c r="B23" s="8" t="n">
        <v>2</v>
      </c>
      <c r="C23" s="8" t="inlineStr">
        <is>
          <t>6 (court)</t>
        </is>
      </c>
      <c r="D23" s="8" t="inlineStr">
        <is>
          <t>five</t>
        </is>
      </c>
      <c r="E23" s="8" t="inlineStr">
        <is>
          <t>DV-109[0].Page2[0].List6[0].Five_cb[0]</t>
        </is>
      </c>
      <c r="F23" s="8" t="inlineStr">
        <is>
          <t>checkbox</t>
        </is>
      </c>
      <c r="G23" s="8" t="inlineStr">
        <is>
          <t>1</t>
        </is>
      </c>
      <c r="H23" s="8" t="inlineStr"/>
      <c r="I23" s="8" t="inlineStr">
        <is>
          <t>105, 466, 114, 475</t>
        </is>
      </c>
      <c r="J23" s="8" t="inlineStr">
        <is>
          <t>court/clerk</t>
        </is>
      </c>
      <c r="K23" s="8" t="inlineStr"/>
      <c r="L23" s="8" t="inlineStr"/>
      <c r="M23" s="8" t="inlineStr"/>
      <c r="N23" s="8" t="inlineStr">
        <is>
          <t>Court completes.</t>
        </is>
      </c>
      <c r="O23" s="8" t="inlineStr"/>
    </row>
    <row r="24">
      <c r="A24" s="8" t="n">
        <v>23</v>
      </c>
      <c r="B24" s="8" t="n">
        <v>2</v>
      </c>
      <c r="C24" s="8" t="inlineStr">
        <is>
          <t>6 (court)</t>
        </is>
      </c>
      <c r="D24" s="8" t="inlineStr">
        <is>
          <t>number of</t>
        </is>
      </c>
      <c r="E24" s="8" t="inlineStr">
        <is>
          <t>DV-109[0].Page2[0].List6[0].Five_cb[1]</t>
        </is>
      </c>
      <c r="F24" s="8" t="inlineStr">
        <is>
          <t>checkbox</t>
        </is>
      </c>
      <c r="G24" s="8" t="inlineStr">
        <is>
          <t>2</t>
        </is>
      </c>
      <c r="H24" s="8" t="inlineStr"/>
      <c r="I24" s="8" t="inlineStr">
        <is>
          <t>148, 466, 157, 475</t>
        </is>
      </c>
      <c r="J24" s="8" t="inlineStr">
        <is>
          <t>court/clerk</t>
        </is>
      </c>
      <c r="K24" s="8" t="inlineStr"/>
      <c r="L24" s="8" t="inlineStr"/>
      <c r="M24" s="8" t="inlineStr"/>
      <c r="N24" s="8" t="inlineStr">
        <is>
          <t>Court completes.</t>
        </is>
      </c>
      <c r="O24" s="8" t="inlineStr"/>
    </row>
    <row r="25">
      <c r="A25" s="8" t="n">
        <v>24</v>
      </c>
      <c r="B25" s="8" t="n">
        <v>2</v>
      </c>
      <c r="C25" s="8" t="inlineStr">
        <is>
          <t>6 (court)</t>
        </is>
      </c>
      <c r="D25" s="8" t="inlineStr">
        <is>
          <t>number of</t>
        </is>
      </c>
      <c r="E25" s="8" t="inlineStr">
        <is>
          <t>DV-109[0].Page2[0].List6[0].ServiceOtherDays_nu[0]</t>
        </is>
      </c>
      <c r="F25" s="8" t="inlineStr">
        <is>
          <t>text</t>
        </is>
      </c>
      <c r="G25" s="8" t="inlineStr"/>
      <c r="H25" s="8" t="inlineStr"/>
      <c r="I25" s="8" t="inlineStr">
        <is>
          <t>162, 464, 202, 477</t>
        </is>
      </c>
      <c r="J25" s="8" t="inlineStr">
        <is>
          <t>court/clerk</t>
        </is>
      </c>
      <c r="K25" s="8" t="inlineStr"/>
      <c r="L25" s="8" t="inlineStr"/>
      <c r="M25" s="8" t="inlineStr"/>
      <c r="N25" s="8" t="inlineStr">
        <is>
          <t>Court completes.</t>
        </is>
      </c>
      <c r="O25" s="8" t="inlineStr"/>
    </row>
    <row r="26">
      <c r="A26" s="8" t="n">
        <v>25</v>
      </c>
      <c r="B26" s="8" t="n">
        <v>2</v>
      </c>
      <c r="C26" s="8" t="inlineStr">
        <is>
          <t>6 (court)</t>
        </is>
      </c>
      <c r="D26" s="8" t="inlineStr">
        <is>
          <t>DV-110, Temporary Restraining Order (file-stamped), if granted</t>
        </is>
      </c>
      <c r="E26" s="8" t="inlineStr">
        <is>
          <t>DV-109[0].Page2[0].List6[0].Li2[0].Service110_cb[0]</t>
        </is>
      </c>
      <c r="F26" s="8" t="inlineStr">
        <is>
          <t>checkbox</t>
        </is>
      </c>
      <c r="G26" s="8" t="inlineStr">
        <is>
          <t>1</t>
        </is>
      </c>
      <c r="H26" s="8" t="inlineStr"/>
      <c r="I26" s="8" t="inlineStr">
        <is>
          <t>78, 527, 87, 536</t>
        </is>
      </c>
      <c r="J26" s="8" t="inlineStr">
        <is>
          <t>court/clerk</t>
        </is>
      </c>
      <c r="K26" s="8" t="inlineStr"/>
      <c r="L26" s="8" t="inlineStr"/>
      <c r="M26" s="8" t="inlineStr"/>
      <c r="N26" s="8" t="inlineStr">
        <is>
          <t>Court completes.</t>
        </is>
      </c>
      <c r="O26" s="8" t="inlineStr"/>
    </row>
    <row r="27">
      <c r="A27" s="8" t="n">
        <v>26</v>
      </c>
      <c r="B27" s="8" t="n">
        <v>2</v>
      </c>
      <c r="C27" s="8" t="inlineStr">
        <is>
          <t>6 (court)</t>
        </is>
      </c>
      <c r="D27" s="8" t="inlineStr">
        <is>
          <t>DV-170, Notice of Order Protecting Information of Minor, and DV-165, Order on Request to Keep Minor's Information Confidential (file-stamped), if granted</t>
        </is>
      </c>
      <c r="E27" s="8" t="inlineStr">
        <is>
          <t>DV-109[0].Page2[0].List6[0].Li6[0].Service110_cb[0]</t>
        </is>
      </c>
      <c r="F27" s="8" t="inlineStr">
        <is>
          <t>checkbox</t>
        </is>
      </c>
      <c r="G27" s="8" t="inlineStr">
        <is>
          <t>1</t>
        </is>
      </c>
      <c r="H27" s="8" t="inlineStr"/>
      <c r="I27" s="8" t="inlineStr">
        <is>
          <t>78, 576, 87, 585</t>
        </is>
      </c>
      <c r="J27" s="8" t="inlineStr">
        <is>
          <t>court/clerk</t>
        </is>
      </c>
      <c r="K27" s="8" t="inlineStr"/>
      <c r="L27" s="8" t="inlineStr"/>
      <c r="M27" s="8" t="inlineStr"/>
      <c r="N27" s="8" t="inlineStr">
        <is>
          <t>Court completes.</t>
        </is>
      </c>
      <c r="O27" s="8" t="inlineStr"/>
    </row>
    <row r="28">
      <c r="A28" s="8" t="n">
        <v>27</v>
      </c>
      <c r="B28" s="8" t="n">
        <v>2</v>
      </c>
      <c r="C28" s="8" t="inlineStr">
        <is>
          <t>6 (court)</t>
        </is>
      </c>
      <c r="D28" s="8" t="inlineStr">
        <is>
          <t>Other (specify):</t>
        </is>
      </c>
      <c r="E28" s="8" t="inlineStr">
        <is>
          <t>DV-109[0].Page2[0].List6[0].Li7[0].ServiceOtherForm_cb[0]</t>
        </is>
      </c>
      <c r="F28" s="8" t="inlineStr">
        <is>
          <t>checkbox</t>
        </is>
      </c>
      <c r="G28" s="8" t="inlineStr">
        <is>
          <t>1</t>
        </is>
      </c>
      <c r="H28" s="8" t="inlineStr"/>
      <c r="I28" s="8" t="inlineStr">
        <is>
          <t>78, 609, 87, 618</t>
        </is>
      </c>
      <c r="J28" s="8" t="inlineStr">
        <is>
          <t>court/clerk</t>
        </is>
      </c>
      <c r="K28" s="8" t="inlineStr"/>
      <c r="L28" s="8" t="inlineStr"/>
      <c r="M28" s="8" t="inlineStr"/>
      <c r="N28" s="8" t="inlineStr">
        <is>
          <t>Court completes.</t>
        </is>
      </c>
      <c r="O28" s="8" t="inlineStr"/>
    </row>
    <row r="29">
      <c r="A29" s="8" t="n">
        <v>28</v>
      </c>
      <c r="B29" s="8" t="n">
        <v>2</v>
      </c>
      <c r="C29" s="8" t="inlineStr">
        <is>
          <t>6 (court)</t>
        </is>
      </c>
      <c r="D29" s="8" t="inlineStr">
        <is>
          <t>Other (specify):</t>
        </is>
      </c>
      <c r="E29" s="8" t="inlineStr">
        <is>
          <t>DV-109[0].Page2[0].List6[0].Li7[0].ServiceOtherForm_ft[0]</t>
        </is>
      </c>
      <c r="F29" s="8" t="inlineStr">
        <is>
          <t>text</t>
        </is>
      </c>
      <c r="G29" s="8" t="inlineStr"/>
      <c r="H29" s="8" t="inlineStr"/>
      <c r="I29" s="8" t="inlineStr">
        <is>
          <t>168, 609, 576, 622</t>
        </is>
      </c>
      <c r="J29" s="8" t="inlineStr">
        <is>
          <t>court/clerk</t>
        </is>
      </c>
      <c r="K29" s="8" t="inlineStr"/>
      <c r="L29" s="8" t="inlineStr"/>
      <c r="M29" s="8" t="inlineStr"/>
      <c r="N29" s="8" t="inlineStr">
        <is>
          <t>Court completes.</t>
        </is>
      </c>
      <c r="O29" s="8" t="inlineStr"/>
    </row>
    <row r="30">
      <c r="A30" s="8" t="n">
        <v>29</v>
      </c>
      <c r="B30" s="8" t="n">
        <v>2</v>
      </c>
      <c r="C30" s="8" t="inlineStr">
        <is>
          <t>(court)</t>
        </is>
      </c>
      <c r="D30" s="8" t="inlineStr">
        <is>
          <t>Date:</t>
        </is>
      </c>
      <c r="E30" s="8" t="inlineStr">
        <is>
          <t>DV-109[0].Page2[0].SignSub[0].Signature_dt[0]</t>
        </is>
      </c>
      <c r="F30" s="8" t="inlineStr">
        <is>
          <t>text</t>
        </is>
      </c>
      <c r="G30" s="8" t="inlineStr"/>
      <c r="H30" s="8" t="inlineStr"/>
      <c r="I30" s="8" t="inlineStr">
        <is>
          <t>94, 680, 250, 693</t>
        </is>
      </c>
      <c r="J30" s="8" t="inlineStr">
        <is>
          <t>court/clerk</t>
        </is>
      </c>
      <c r="K30" s="8" t="inlineStr"/>
      <c r="L30" s="8" t="inlineStr"/>
      <c r="M30" s="8" t="inlineStr"/>
      <c r="N30" s="8" t="inlineStr">
        <is>
          <t>Court completes.</t>
        </is>
      </c>
      <c r="O30" s="8" t="inlineStr"/>
    </row>
    <row r="31">
      <c r="A31" s="7" t="n">
        <v>30</v>
      </c>
      <c r="B31" s="7" t="n">
        <v>3</v>
      </c>
      <c r="C31" s="7" t="inlineStr">
        <is>
          <t>—</t>
        </is>
      </c>
      <c r="D31" s="7" t="inlineStr">
        <is>
          <t>Print this form</t>
        </is>
      </c>
      <c r="E31" s="7" t="inlineStr">
        <is>
          <t>DV-109[0].#pageSet[0].Page3[0].FooterSub[0].FooterButtons[0].Print[0]</t>
        </is>
      </c>
      <c r="F31" s="7" t="inlineStr">
        <is>
          <t>button</t>
        </is>
      </c>
      <c r="G31" s="7" t="inlineStr"/>
      <c r="H31" s="7" t="inlineStr"/>
      <c r="I31" s="7" t="inlineStr">
        <is>
          <t>259, 763, 340, 780</t>
        </is>
      </c>
      <c r="J31" s="7" t="inlineStr">
        <is>
          <t>ignore (UI button)</t>
        </is>
      </c>
      <c r="K31" s="7" t="inlineStr"/>
      <c r="L31" s="7" t="inlineStr"/>
      <c r="M31" s="7" t="inlineStr"/>
      <c r="N31" s="7" t="inlineStr">
        <is>
          <t>Print/Save/Clear button. Do not fill.</t>
        </is>
      </c>
      <c r="O31" s="7" t="inlineStr"/>
    </row>
    <row r="32">
      <c r="A32" s="7" t="n">
        <v>31</v>
      </c>
      <c r="B32" s="7" t="n">
        <v>3</v>
      </c>
      <c r="C32" s="7" t="inlineStr">
        <is>
          <t>—</t>
        </is>
      </c>
      <c r="D32" s="7" t="inlineStr">
        <is>
          <t>Save this form</t>
        </is>
      </c>
      <c r="E32" s="7" t="inlineStr">
        <is>
          <t>DV-109[0].#pageSet[0].Page3[0].FooterSub[0].FooterButtons[0].Save[0]</t>
        </is>
      </c>
      <c r="F32" s="7" t="inlineStr">
        <is>
          <t>button</t>
        </is>
      </c>
      <c r="G32" s="7" t="inlineStr"/>
      <c r="H32" s="7" t="inlineStr"/>
      <c r="I32" s="7" t="inlineStr">
        <is>
          <t>345, 763, 426, 780</t>
        </is>
      </c>
      <c r="J32" s="7" t="inlineStr">
        <is>
          <t>ignore (UI button)</t>
        </is>
      </c>
      <c r="K32" s="7" t="inlineStr"/>
      <c r="L32" s="7" t="inlineStr"/>
      <c r="M32" s="7" t="inlineStr"/>
      <c r="N32" s="7" t="inlineStr">
        <is>
          <t>Print/Save/Clear button. Do not fill.</t>
        </is>
      </c>
      <c r="O32" s="7" t="inlineStr"/>
    </row>
    <row r="33">
      <c r="A33" s="7" t="n">
        <v>32</v>
      </c>
      <c r="B33" s="7" t="n">
        <v>3</v>
      </c>
      <c r="C33" s="7" t="inlineStr">
        <is>
          <t>—</t>
        </is>
      </c>
      <c r="D33" s="7" t="inlineStr">
        <is>
          <t>Clear this form</t>
        </is>
      </c>
      <c r="E33" s="7" t="inlineStr">
        <is>
          <t>DV-109[0].#pageSet[0].Page3[0].FooterSub[0].FooterButtons[0].Reset[0]</t>
        </is>
      </c>
      <c r="F33" s="7" t="inlineStr">
        <is>
          <t>button</t>
        </is>
      </c>
      <c r="G33" s="7" t="inlineStr"/>
      <c r="H33" s="7" t="inlineStr"/>
      <c r="I33" s="7" t="inlineStr">
        <is>
          <t>495, 763, 576, 780</t>
        </is>
      </c>
      <c r="J33" s="7" t="inlineStr">
        <is>
          <t>ignore (UI button)</t>
        </is>
      </c>
      <c r="K33" s="7" t="inlineStr"/>
      <c r="L33" s="7" t="inlineStr"/>
      <c r="M33" s="7" t="inlineStr"/>
      <c r="N33" s="7" t="inlineStr">
        <is>
          <t>Print/Save/Clear button. Do not fill.</t>
        </is>
      </c>
      <c r="O33" s="7" t="inlineStr"/>
    </row>
    <row r="34">
      <c r="A34" s="7" t="n">
        <v>33</v>
      </c>
      <c r="B34" s="7" t="n">
        <v>3</v>
      </c>
      <c r="C34" s="7" t="inlineStr">
        <is>
          <t>—</t>
        </is>
      </c>
      <c r="D34" s="7" t="inlineStr">
        <is>
          <t>For your protection and privacy, please press the Clear This Form button after you have printed the form.</t>
        </is>
      </c>
      <c r="E34" s="7" t="inlineStr">
        <is>
          <t>DV-109[0].#pageSet[0].Page3[0].FooterSub[0].FooterButtons[0].Warning[0]</t>
        </is>
      </c>
      <c r="F34" s="7" t="inlineStr">
        <is>
          <t>button</t>
        </is>
      </c>
      <c r="G34" s="7" t="inlineStr"/>
      <c r="H34" s="7" t="inlineStr"/>
      <c r="I34" s="7" t="inlineStr">
        <is>
          <t>36, 756, 247, 780</t>
        </is>
      </c>
      <c r="J34" s="7" t="inlineStr">
        <is>
          <t>ignore (UI button)</t>
        </is>
      </c>
      <c r="K34" s="7" t="inlineStr"/>
      <c r="L34" s="7" t="inlineStr"/>
      <c r="M34" s="7" t="inlineStr"/>
      <c r="N34" s="7" t="inlineStr">
        <is>
          <t>Print/Save/Clear button. Do not fill.</t>
        </is>
      </c>
      <c r="O34" s="7" t="inlineStr"/>
    </row>
    <row r="35">
      <c r="A35" s="5" t="n">
        <v>34</v>
      </c>
      <c r="B35" s="5" t="n">
        <v>3</v>
      </c>
      <c r="C35" s="5" t="inlineStr">
        <is>
          <t>Caption</t>
        </is>
      </c>
      <c r="D35" s="5" t="inlineStr">
        <is>
          <t>Case Number:</t>
        </is>
      </c>
      <c r="E35" s="5" t="inlineStr">
        <is>
          <t>DV-109[0].Page3[0].P3Header[0].CaseNumber_ft[0]</t>
        </is>
      </c>
      <c r="F35" s="5" t="inlineStr">
        <is>
          <t>text</t>
        </is>
      </c>
      <c r="G35" s="5" t="inlineStr"/>
      <c r="H35" s="5" t="inlineStr"/>
      <c r="I35" s="5" t="inlineStr">
        <is>
          <t>401, 48, 575, 66</t>
        </is>
      </c>
      <c r="J35" s="5" t="inlineStr">
        <is>
          <t>question</t>
        </is>
      </c>
      <c r="K35" s="5" t="inlineStr">
        <is>
          <t>S3,S4</t>
        </is>
      </c>
      <c r="L35" s="5">
        <f> S4</f>
        <v/>
      </c>
      <c r="M35" s="5" t="inlineStr">
        <is>
          <t>S3 == "update"; otherwise blank for clerk</t>
        </is>
      </c>
      <c r="N35" s="5" t="inlineStr"/>
      <c r="O35" s="5" t="inlineStr"/>
    </row>
    <row r="36">
      <c r="A36" s="7" t="n">
        <v>35</v>
      </c>
      <c r="B36" s="7" t="n">
        <v>3</v>
      </c>
      <c r="C36" s="7" t="inlineStr">
        <is>
          <t>—</t>
        </is>
      </c>
      <c r="D36" s="7" t="inlineStr">
        <is>
          <t>DV-520-INFO</t>
        </is>
      </c>
      <c r="E36" s="7" t="inlineStr">
        <is>
          <t>DV-109[0].Page3[0].ToPerson1[0].Bullet1[0].dv520info[0]</t>
        </is>
      </c>
      <c r="F36" s="7" t="inlineStr">
        <is>
          <t>button</t>
        </is>
      </c>
      <c r="G36" s="7" t="inlineStr"/>
      <c r="H36" s="7" t="inlineStr"/>
      <c r="I36" s="7" t="inlineStr">
        <is>
          <t>153, 148, 218, 159</t>
        </is>
      </c>
      <c r="J36" s="7" t="inlineStr">
        <is>
          <t>ignore (UI button)</t>
        </is>
      </c>
      <c r="K36" s="7" t="inlineStr"/>
      <c r="L36" s="7" t="inlineStr"/>
      <c r="M36" s="7" t="inlineStr"/>
      <c r="N36" s="7" t="inlineStr">
        <is>
          <t>Print/Save/Clear button. Do not fill.</t>
        </is>
      </c>
      <c r="O36" s="7" t="inlineStr"/>
    </row>
    <row r="37">
      <c r="A37" s="7" t="n">
        <v>36</v>
      </c>
      <c r="B37" s="7" t="n">
        <v>3</v>
      </c>
      <c r="C37" s="7" t="inlineStr">
        <is>
          <t>—</t>
        </is>
      </c>
      <c r="D37" s="7" t="inlineStr">
        <is>
          <t>DV-112</t>
        </is>
      </c>
      <c r="E37" s="7" t="inlineStr">
        <is>
          <t>DV-109[0].Page3[0].ToPerson1[0].Bullet2[0].dv112[0]</t>
        </is>
      </c>
      <c r="F37" s="7" t="inlineStr">
        <is>
          <t>button</t>
        </is>
      </c>
      <c r="G37" s="7" t="inlineStr"/>
      <c r="H37" s="7" t="inlineStr"/>
      <c r="I37" s="7" t="inlineStr">
        <is>
          <t>356, 197, 392, 208</t>
        </is>
      </c>
      <c r="J37" s="7" t="inlineStr">
        <is>
          <t>ignore (UI button)</t>
        </is>
      </c>
      <c r="K37" s="7" t="inlineStr"/>
      <c r="L37" s="7" t="inlineStr"/>
      <c r="M37" s="7" t="inlineStr"/>
      <c r="N37" s="7" t="inlineStr">
        <is>
          <t>Print/Save/Clear button. Do not fill.</t>
        </is>
      </c>
      <c r="O37" s="7" t="inlineStr"/>
    </row>
    <row r="38">
      <c r="A38" s="7" t="n">
        <v>37</v>
      </c>
      <c r="B38" s="7" t="n">
        <v>3</v>
      </c>
      <c r="C38" s="7" t="inlineStr">
        <is>
          <t>—</t>
        </is>
      </c>
      <c r="D38" s="7" t="inlineStr">
        <is>
          <t>DV-115-INFO</t>
        </is>
      </c>
      <c r="E38" s="7" t="inlineStr">
        <is>
          <t>DV-109[0].Page3[0].ToPerson1[0].Bullet3[0].dv115info[0]</t>
        </is>
      </c>
      <c r="F38" s="7" t="inlineStr">
        <is>
          <t>button</t>
        </is>
      </c>
      <c r="G38" s="7" t="inlineStr"/>
      <c r="H38" s="7" t="inlineStr"/>
      <c r="I38" s="7" t="inlineStr">
        <is>
          <t>309, 277, 374, 288</t>
        </is>
      </c>
      <c r="J38" s="7" t="inlineStr">
        <is>
          <t>ignore (UI button)</t>
        </is>
      </c>
      <c r="K38" s="7" t="inlineStr"/>
      <c r="L38" s="7" t="inlineStr"/>
      <c r="M38" s="7" t="inlineStr"/>
      <c r="N38" s="7" t="inlineStr">
        <is>
          <t>Print/Save/Clear button. Do not fill.</t>
        </is>
      </c>
      <c r="O38" s="7" t="inlineStr"/>
    </row>
    <row r="39">
      <c r="A39" s="7" t="n">
        <v>38</v>
      </c>
      <c r="B39" s="7" t="n">
        <v>3</v>
      </c>
      <c r="C39" s="7" t="inlineStr">
        <is>
          <t>—</t>
        </is>
      </c>
      <c r="D39" s="7" t="inlineStr">
        <is>
          <t>DV-120-INFO</t>
        </is>
      </c>
      <c r="E39" s="7" t="inlineStr">
        <is>
          <t>DV-109[0].Page3[0].ToPerson2[0].Bullet1[0].dv120info[0]</t>
        </is>
      </c>
      <c r="F39" s="7" t="inlineStr">
        <is>
          <t>button</t>
        </is>
      </c>
      <c r="G39" s="7" t="inlineStr"/>
      <c r="H39" s="7" t="inlineStr"/>
      <c r="I39" s="7" t="inlineStr">
        <is>
          <t>368, 354, 433, 365</t>
        </is>
      </c>
      <c r="J39" s="7" t="inlineStr">
        <is>
          <t>ignore (UI button)</t>
        </is>
      </c>
      <c r="K39" s="7" t="inlineStr"/>
      <c r="L39" s="7" t="inlineStr"/>
      <c r="M39" s="7" t="inlineStr"/>
      <c r="N39" s="7" t="inlineStr">
        <is>
          <t>Print/Save/Clear button. Do not fill.</t>
        </is>
      </c>
      <c r="O39" s="7" t="inlineStr"/>
    </row>
    <row r="40">
      <c r="A40" s="7" t="n">
        <v>39</v>
      </c>
      <c r="B40" s="7" t="n">
        <v>3</v>
      </c>
      <c r="C40" s="7" t="inlineStr">
        <is>
          <t>—</t>
        </is>
      </c>
      <c r="D40" s="7" t="inlineStr">
        <is>
          <t>DV-520-INFO</t>
        </is>
      </c>
      <c r="E40" s="7" t="inlineStr">
        <is>
          <t>DV-109[0].Page3[0].ToPerson2[0].Bullet2[0].dv520info[0]</t>
        </is>
      </c>
      <c r="F40" s="7" t="inlineStr">
        <is>
          <t>button</t>
        </is>
      </c>
      <c r="G40" s="7" t="inlineStr"/>
      <c r="H40" s="7" t="inlineStr"/>
      <c r="I40" s="7" t="inlineStr">
        <is>
          <t>242, 423, 307, 434</t>
        </is>
      </c>
      <c r="J40" s="7" t="inlineStr">
        <is>
          <t>ignore (UI button)</t>
        </is>
      </c>
      <c r="K40" s="7" t="inlineStr"/>
      <c r="L40" s="7" t="inlineStr"/>
      <c r="M40" s="7" t="inlineStr"/>
      <c r="N40" s="7" t="inlineStr">
        <is>
          <t>Print/Save/Clear button. Do not fill.</t>
        </is>
      </c>
      <c r="O40" s="7" t="inlineStr"/>
    </row>
    <row r="41">
      <c r="A41" s="7" t="n">
        <v>40</v>
      </c>
      <c r="B41" s="7" t="n">
        <v>3</v>
      </c>
      <c r="C41" s="7" t="inlineStr">
        <is>
          <t>—</t>
        </is>
      </c>
      <c r="D41" s="7" t="inlineStr">
        <is>
          <t>DV-115-INFO</t>
        </is>
      </c>
      <c r="E41" s="7" t="inlineStr">
        <is>
          <t>DV-109[0].Page3[0].ToPerson2[0].Bullet3[0].dv115info[0]</t>
        </is>
      </c>
      <c r="F41" s="7" t="inlineStr">
        <is>
          <t>button</t>
        </is>
      </c>
      <c r="G41" s="7" t="inlineStr"/>
      <c r="H41" s="7" t="inlineStr"/>
      <c r="I41" s="7" t="inlineStr">
        <is>
          <t>216, 462, 282, 473</t>
        </is>
      </c>
      <c r="J41" s="7" t="inlineStr">
        <is>
          <t>ignore (UI button)</t>
        </is>
      </c>
      <c r="K41" s="7" t="inlineStr"/>
      <c r="L41" s="7" t="inlineStr"/>
      <c r="M41" s="7" t="inlineStr"/>
      <c r="N41" s="7" t="inlineStr">
        <is>
          <t>Print/Save/Clear button. Do not fill.</t>
        </is>
      </c>
      <c r="O41" s="7" t="inlineStr"/>
    </row>
    <row r="42">
      <c r="A42" s="7" t="n">
        <v>41</v>
      </c>
      <c r="B42" s="7" t="n">
        <v>3</v>
      </c>
      <c r="C42" s="7" t="inlineStr">
        <is>
          <t>—</t>
        </is>
      </c>
      <c r="D42" s="7" t="inlineStr">
        <is>
          <t>www.courts.ca.gov/forms</t>
        </is>
      </c>
      <c r="E42" s="7" t="inlineStr">
        <is>
          <t>DV-109[0].Page3[0].ReqAccommSub[0].Button1[0]</t>
        </is>
      </c>
      <c r="F42" s="7" t="inlineStr">
        <is>
          <t>button</t>
        </is>
      </c>
      <c r="G42" s="7" t="inlineStr"/>
      <c r="H42" s="7" t="inlineStr"/>
      <c r="I42" s="7" t="inlineStr">
        <is>
          <t>107, 546, 221, 557</t>
        </is>
      </c>
      <c r="J42" s="7" t="inlineStr">
        <is>
          <t>ignore (UI button)</t>
        </is>
      </c>
      <c r="K42" s="7" t="inlineStr"/>
      <c r="L42" s="7" t="inlineStr"/>
      <c r="M42" s="7" t="inlineStr"/>
      <c r="N42" s="7" t="inlineStr">
        <is>
          <t>Print/Save/Clear button. Do not fill.</t>
        </is>
      </c>
      <c r="O42" s="7" t="inlineStr"/>
    </row>
    <row r="43">
      <c r="A43" s="8" t="n">
        <v>42</v>
      </c>
      <c r="B43" s="8" t="n">
        <v>3</v>
      </c>
      <c r="C43" s="8" t="inlineStr">
        <is>
          <t>(court)</t>
        </is>
      </c>
      <c r="D43" s="8" t="inlineStr">
        <is>
          <t>Date:</t>
        </is>
      </c>
      <c r="E43" s="8" t="inlineStr">
        <is>
          <t>DV-109[0].Page3[0].ClerkSub[0].ClerkSignature_da[0]</t>
        </is>
      </c>
      <c r="F43" s="8" t="inlineStr">
        <is>
          <t>text</t>
        </is>
      </c>
      <c r="G43" s="8" t="inlineStr"/>
      <c r="H43" s="8" t="inlineStr"/>
      <c r="I43" s="8" t="inlineStr">
        <is>
          <t>203, 680, 306, 694</t>
        </is>
      </c>
      <c r="J43" s="8" t="inlineStr">
        <is>
          <t>court/clerk</t>
        </is>
      </c>
      <c r="K43" s="8" t="inlineStr"/>
      <c r="L43" s="8" t="inlineStr"/>
      <c r="M43" s="8" t="inlineStr"/>
      <c r="N43" s="8" t="inlineStr">
        <is>
          <t>Court completes.</t>
        </is>
      </c>
      <c r="O43" s="8" t="inlineStr"/>
    </row>
    <row r="44">
      <c r="A44" s="8" t="n">
        <v>43</v>
      </c>
      <c r="B44" s="8" t="n">
        <v>3</v>
      </c>
      <c r="C44" s="8" t="inlineStr">
        <is>
          <t>(court)</t>
        </is>
      </c>
      <c r="D44" s="8" t="inlineStr">
        <is>
          <t>name of clerk</t>
        </is>
      </c>
      <c r="E44" s="8" t="inlineStr">
        <is>
          <t>DV-109[0].Page3[0].ClerkSub[0].Clerk_ft[0]</t>
        </is>
      </c>
      <c r="F44" s="8" t="inlineStr">
        <is>
          <t>text</t>
        </is>
      </c>
      <c r="G44" s="8" t="inlineStr"/>
      <c r="H44" s="8" t="inlineStr"/>
      <c r="I44" s="8" t="inlineStr">
        <is>
          <t>354, 680, 526, 692</t>
        </is>
      </c>
      <c r="J44" s="8" t="inlineStr">
        <is>
          <t>court/clerk</t>
        </is>
      </c>
      <c r="K44" s="8" t="inlineStr"/>
      <c r="L44" s="8" t="inlineStr"/>
      <c r="M44" s="8" t="inlineStr"/>
      <c r="N44" s="8" t="inlineStr">
        <is>
          <t>Court completes.</t>
        </is>
      </c>
      <c r="O44" s="8" t="inlineStr"/>
    </row>
  </sheetData>
  <autoFilter ref="A1:O44"/>
  <dataValidations count="1">
    <dataValidation sqref="J2:J44" showDropDown="0" showInputMessage="0" showErrorMessage="0" allowBlank="1" type="list">
      <formula1>"question,derived,court/clerk,server,ignore (UI button)"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98"/>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6" t="n">
        <v>1</v>
      </c>
      <c r="B2" s="6" t="n">
        <v>1</v>
      </c>
      <c r="C2" s="6" t="inlineStr">
        <is>
          <t>Caption</t>
        </is>
      </c>
      <c r="D2" s="6" t="inlineStr">
        <is>
          <t>Superior Court of California, County of</t>
        </is>
      </c>
      <c r="E2" s="6" t="inlineStr">
        <is>
          <t>DV-110[0].Page1[0].StampbxSub[0].CourtInfo_ft[0]</t>
        </is>
      </c>
      <c r="F2" s="6" t="inlineStr">
        <is>
          <t>text</t>
        </is>
      </c>
      <c r="G2" s="6" t="inlineStr"/>
      <c r="H2" s="6" t="inlineStr"/>
      <c r="I2" s="6" t="inlineStr">
        <is>
          <t>400, 207, 574, 274</t>
        </is>
      </c>
      <c r="J2" s="6" t="inlineStr">
        <is>
          <t>derived</t>
        </is>
      </c>
      <c r="K2" s="6" t="inlineStr">
        <is>
          <t>S1,S2</t>
        </is>
      </c>
      <c r="L2" s="6">
        <f> S1.countyName + "\n" + courthouse(S1,S2).streetAddress + ", " + courthouse(S1,S2).cityZip</f>
        <v/>
      </c>
      <c r="M2" s="6" t="inlineStr"/>
      <c r="N2" s="6" t="inlineStr"/>
      <c r="O2" s="6" t="inlineStr"/>
    </row>
    <row r="3">
      <c r="A3" s="5" t="n">
        <v>2</v>
      </c>
      <c r="B3" s="5" t="n">
        <v>1</v>
      </c>
      <c r="C3" s="5" t="inlineStr">
        <is>
          <t>Caption</t>
        </is>
      </c>
      <c r="D3" s="5" t="inlineStr">
        <is>
          <t>Case Number:</t>
        </is>
      </c>
      <c r="E3" s="5" t="inlineStr">
        <is>
          <t>DV-110[0].Page1[0].StampbxSub[0].CaseNumber[0]</t>
        </is>
      </c>
      <c r="F3" s="5" t="inlineStr">
        <is>
          <t>text</t>
        </is>
      </c>
      <c r="G3" s="5" t="inlineStr"/>
      <c r="H3" s="5" t="inlineStr"/>
      <c r="I3" s="5" t="inlineStr">
        <is>
          <t>400, 306, 574, 323</t>
        </is>
      </c>
      <c r="J3" s="5" t="inlineStr">
        <is>
          <t>question</t>
        </is>
      </c>
      <c r="K3" s="5" t="inlineStr">
        <is>
          <t>S3,S4</t>
        </is>
      </c>
      <c r="L3" s="5">
        <f> S4</f>
        <v/>
      </c>
      <c r="M3" s="5" t="inlineStr">
        <is>
          <t>S3 == "update"; otherwise blank for clerk</t>
        </is>
      </c>
      <c r="N3" s="5" t="inlineStr"/>
      <c r="O3" s="5" t="inlineStr"/>
    </row>
    <row r="4">
      <c r="A4" s="5" t="n">
        <v>3</v>
      </c>
      <c r="B4" s="5" t="n">
        <v>1</v>
      </c>
      <c r="C4" s="5" t="inlineStr">
        <is>
          <t>Caption</t>
        </is>
      </c>
      <c r="D4" s="5" t="inlineStr">
        <is>
          <t>Original Order</t>
        </is>
      </c>
      <c r="E4" s="5" t="inlineStr">
        <is>
          <t>DV-110[0].Page1[0].OrigAmen_cb[0]</t>
        </is>
      </c>
      <c r="F4" s="5" t="inlineStr">
        <is>
          <t>checkbox</t>
        </is>
      </c>
      <c r="G4" s="5" t="inlineStr">
        <is>
          <t>1</t>
        </is>
      </c>
      <c r="H4" s="5" t="inlineStr"/>
      <c r="I4" s="5" t="inlineStr">
        <is>
          <t>78, 72, 87, 81</t>
        </is>
      </c>
      <c r="J4" s="5" t="inlineStr">
        <is>
          <t>question</t>
        </is>
      </c>
      <c r="K4" s="5" t="inlineStr">
        <is>
          <t>S3</t>
        </is>
      </c>
      <c r="L4" s="5" t="inlineStr">
        <is>
          <t>check if S3 == "new"</t>
        </is>
      </c>
      <c r="M4" s="5" t="inlineStr"/>
      <c r="N4" s="5" t="inlineStr">
        <is>
          <t>Map: S3 drives Original/Amended. Exports 1 / 11.</t>
        </is>
      </c>
      <c r="O4" s="5" t="inlineStr"/>
    </row>
    <row r="5">
      <c r="A5" s="5" t="n">
        <v>4</v>
      </c>
      <c r="B5" s="5" t="n">
        <v>1</v>
      </c>
      <c r="C5" s="5" t="inlineStr">
        <is>
          <t>Caption</t>
        </is>
      </c>
      <c r="D5" s="5" t="inlineStr">
        <is>
          <t>Amended Order</t>
        </is>
      </c>
      <c r="E5" s="5" t="inlineStr">
        <is>
          <t>DV-110[0].Page1[0].OrigAmen_cb[1]</t>
        </is>
      </c>
      <c r="F5" s="5" t="inlineStr">
        <is>
          <t>checkbox</t>
        </is>
      </c>
      <c r="G5" s="5" t="inlineStr">
        <is>
          <t>11</t>
        </is>
      </c>
      <c r="H5" s="5" t="inlineStr"/>
      <c r="I5" s="5" t="inlineStr">
        <is>
          <t>199, 72, 208, 81</t>
        </is>
      </c>
      <c r="J5" s="5" t="inlineStr">
        <is>
          <t>question</t>
        </is>
      </c>
      <c r="K5" s="5" t="inlineStr">
        <is>
          <t>S3</t>
        </is>
      </c>
      <c r="L5" s="5" t="inlineStr">
        <is>
          <t>check if S3 == "update"</t>
        </is>
      </c>
      <c r="M5" s="5" t="inlineStr"/>
      <c r="N5" s="5" t="inlineStr">
        <is>
          <t>The "number of times amended" field next to it is left for the court.</t>
        </is>
      </c>
      <c r="O5" s="5" t="inlineStr"/>
    </row>
    <row r="6">
      <c r="A6" s="8" t="n">
        <v>5</v>
      </c>
      <c r="B6" s="8" t="n">
        <v>1</v>
      </c>
      <c r="C6" s="8" t="inlineStr">
        <is>
          <t>(court)</t>
        </is>
      </c>
      <c r="D6" s="8" t="inlineStr">
        <is>
          <t>Amended Order</t>
        </is>
      </c>
      <c r="E6" s="8" t="inlineStr">
        <is>
          <t>DV-110[0].Page1[0].Amended_ft[0]</t>
        </is>
      </c>
      <c r="F6" s="8" t="inlineStr">
        <is>
          <t>text</t>
        </is>
      </c>
      <c r="G6" s="8" t="inlineStr"/>
      <c r="H6" s="8" t="inlineStr"/>
      <c r="I6" s="8" t="inlineStr">
        <is>
          <t>210, 71, 247, 84</t>
        </is>
      </c>
      <c r="J6" s="8" t="inlineStr">
        <is>
          <t>court/clerk</t>
        </is>
      </c>
      <c r="K6" s="8" t="inlineStr"/>
      <c r="L6" s="8" t="inlineStr"/>
      <c r="M6" s="8" t="inlineStr"/>
      <c r="N6" s="8" t="inlineStr">
        <is>
          <t>Judge completes.</t>
        </is>
      </c>
      <c r="O6" s="8" t="inlineStr"/>
    </row>
    <row r="7">
      <c r="A7" s="5" t="n">
        <v>6</v>
      </c>
      <c r="B7" s="5" t="n">
        <v>1</v>
      </c>
      <c r="C7" s="5" t="inlineStr">
        <is>
          <t>1</t>
        </is>
      </c>
      <c r="D7" s="5" t="inlineStr">
        <is>
          <t>Protected Person (name):</t>
        </is>
      </c>
      <c r="E7" s="5" t="inlineStr">
        <is>
          <t>DV-110[0].Page1[0].List1[0].Li1[0].TextField[0]</t>
        </is>
      </c>
      <c r="F7" s="5" t="inlineStr">
        <is>
          <t>text</t>
        </is>
      </c>
      <c r="G7" s="5" t="inlineStr"/>
      <c r="H7" s="5" t="inlineStr"/>
      <c r="I7" s="5" t="inlineStr">
        <is>
          <t>205, 130, 388, 145</t>
        </is>
      </c>
      <c r="J7" s="5" t="inlineStr">
        <is>
          <t>question</t>
        </is>
      </c>
      <c r="K7" s="5" t="inlineStr">
        <is>
          <t>P1</t>
        </is>
      </c>
      <c r="L7" s="5">
        <f> P1</f>
        <v/>
      </c>
      <c r="M7" s="5" t="inlineStr"/>
      <c r="N7" s="5" t="inlineStr"/>
      <c r="O7" s="5" t="inlineStr"/>
    </row>
    <row r="8">
      <c r="A8" s="5" t="n">
        <v>7</v>
      </c>
      <c r="B8" s="5" t="n">
        <v>1</v>
      </c>
      <c r="C8" s="5" t="inlineStr">
        <is>
          <t>2</t>
        </is>
      </c>
      <c r="D8" s="5" t="inlineStr">
        <is>
          <t>*Full Name:</t>
        </is>
      </c>
      <c r="E8" s="5" t="inlineStr">
        <is>
          <t>DV-110[0].Page1[0].List2[0].Li1[0].ParentRel[0]</t>
        </is>
      </c>
      <c r="F8" s="5" t="inlineStr">
        <is>
          <t>text</t>
        </is>
      </c>
      <c r="G8" s="5" t="inlineStr"/>
      <c r="H8" s="5" t="inlineStr"/>
      <c r="I8" s="5" t="inlineStr">
        <is>
          <t>129, 175, 385, 186</t>
        </is>
      </c>
      <c r="J8" s="5" t="inlineStr">
        <is>
          <t>question</t>
        </is>
      </c>
      <c r="K8" s="5" t="inlineStr">
        <is>
          <t>R1</t>
        </is>
      </c>
      <c r="L8" s="5">
        <f> R1</f>
        <v/>
      </c>
      <c r="M8" s="5" t="inlineStr"/>
      <c r="N8" s="5" t="inlineStr">
        <is>
          <t>Starred items (name, gender, race, age) are required for CLETS entry.</t>
        </is>
      </c>
      <c r="O8" s="5" t="inlineStr"/>
    </row>
    <row r="9">
      <c r="A9" s="5" t="n">
        <v>8</v>
      </c>
      <c r="B9" s="5" t="n">
        <v>1</v>
      </c>
      <c r="C9" s="5" t="inlineStr">
        <is>
          <t>2</t>
        </is>
      </c>
      <c r="D9" s="5" t="inlineStr">
        <is>
          <t>male</t>
        </is>
      </c>
      <c r="E9" s="5" t="inlineStr">
        <is>
          <t>DV-110[0].Page1[0].List2[0].Li1[0].gender_cb[0]</t>
        </is>
      </c>
      <c r="F9" s="5" t="inlineStr">
        <is>
          <t>checkbox</t>
        </is>
      </c>
      <c r="G9" s="5" t="inlineStr">
        <is>
          <t>1</t>
        </is>
      </c>
      <c r="H9" s="5" t="inlineStr"/>
      <c r="I9" s="5" t="inlineStr">
        <is>
          <t>115, 192, 124, 201</t>
        </is>
      </c>
      <c r="J9" s="5" t="inlineStr">
        <is>
          <t>question</t>
        </is>
      </c>
      <c r="K9" s="5" t="inlineStr">
        <is>
          <t>R5</t>
        </is>
      </c>
      <c r="L9" s="5" t="inlineStr">
        <is>
          <t>check if R5 == "M"</t>
        </is>
      </c>
      <c r="M9" s="5" t="inlineStr"/>
      <c r="N9" s="5" t="inlineStr">
        <is>
          <t>Exports 1 / 11 / 21.</t>
        </is>
      </c>
      <c r="O9" s="5" t="inlineStr"/>
    </row>
    <row r="10">
      <c r="A10" s="5" t="n">
        <v>9</v>
      </c>
      <c r="B10" s="5" t="n">
        <v>1</v>
      </c>
      <c r="C10" s="5" t="inlineStr">
        <is>
          <t>2</t>
        </is>
      </c>
      <c r="D10" s="5" t="inlineStr">
        <is>
          <t>female</t>
        </is>
      </c>
      <c r="E10" s="5" t="inlineStr">
        <is>
          <t>DV-110[0].Page1[0].List2[0].Li1[0].gender_cb[1]</t>
        </is>
      </c>
      <c r="F10" s="5" t="inlineStr">
        <is>
          <t>checkbox</t>
        </is>
      </c>
      <c r="G10" s="5" t="inlineStr">
        <is>
          <t>11</t>
        </is>
      </c>
      <c r="H10" s="5" t="inlineStr"/>
      <c r="I10" s="5" t="inlineStr">
        <is>
          <t>151, 192, 160, 201</t>
        </is>
      </c>
      <c r="J10" s="5" t="inlineStr">
        <is>
          <t>question</t>
        </is>
      </c>
      <c r="K10" s="5" t="inlineStr">
        <is>
          <t>R5</t>
        </is>
      </c>
      <c r="L10" s="5" t="inlineStr">
        <is>
          <t>check if R5 == "F"</t>
        </is>
      </c>
      <c r="M10" s="5" t="inlineStr"/>
      <c r="N10" s="5" t="inlineStr"/>
      <c r="O10" s="5" t="inlineStr"/>
    </row>
    <row r="11">
      <c r="A11" s="5" t="n">
        <v>10</v>
      </c>
      <c r="B11" s="5" t="n">
        <v>1</v>
      </c>
      <c r="C11" s="5" t="inlineStr">
        <is>
          <t>2</t>
        </is>
      </c>
      <c r="D11" s="5" t="inlineStr">
        <is>
          <t>Nonbinary</t>
        </is>
      </c>
      <c r="E11" s="5" t="inlineStr">
        <is>
          <t>DV-110[0].Page1[0].List2[0].Li1[0].gender_cb[2]</t>
        </is>
      </c>
      <c r="F11" s="5" t="inlineStr">
        <is>
          <t>checkbox</t>
        </is>
      </c>
      <c r="G11" s="5" t="inlineStr">
        <is>
          <t>21</t>
        </is>
      </c>
      <c r="H11" s="5" t="inlineStr"/>
      <c r="I11" s="5" t="inlineStr">
        <is>
          <t>182, 192, 191, 201</t>
        </is>
      </c>
      <c r="J11" s="5" t="inlineStr">
        <is>
          <t>question</t>
        </is>
      </c>
      <c r="K11" s="5" t="inlineStr">
        <is>
          <t>R5</t>
        </is>
      </c>
      <c r="L11" s="5" t="inlineStr">
        <is>
          <t>check if R5 == "X"</t>
        </is>
      </c>
      <c r="M11" s="5" t="inlineStr"/>
      <c r="N11" s="5" t="inlineStr"/>
      <c r="O11" s="5" t="inlineStr"/>
    </row>
    <row r="12">
      <c r="A12" s="5" t="n">
        <v>11</v>
      </c>
      <c r="B12" s="5" t="n">
        <v>1</v>
      </c>
      <c r="C12" s="5" t="inlineStr">
        <is>
          <t>2</t>
        </is>
      </c>
      <c r="D12" s="5" t="inlineStr">
        <is>
          <t>*Age:</t>
        </is>
      </c>
      <c r="E12" s="5" t="inlineStr">
        <is>
          <t>DV-110[0].Page1[0].List2[0].Li1[0].T191[0]</t>
        </is>
      </c>
      <c r="F12" s="5" t="inlineStr">
        <is>
          <t>text</t>
        </is>
      </c>
      <c r="G12" s="5" t="inlineStr"/>
      <c r="H12" s="5" t="inlineStr"/>
      <c r="I12" s="5" t="inlineStr">
        <is>
          <t>98, 207, 125, 218</t>
        </is>
      </c>
      <c r="J12" s="5" t="inlineStr">
        <is>
          <t>question</t>
        </is>
      </c>
      <c r="K12" s="5" t="inlineStr">
        <is>
          <t>R3,R4</t>
        </is>
      </c>
      <c r="L12" s="5">
        <f> R3 ? age(R3, G1) : R4</f>
        <v/>
      </c>
      <c r="M12" s="5" t="inlineStr"/>
      <c r="N12" s="5" t="inlineStr"/>
      <c r="O12" s="5" t="inlineStr"/>
    </row>
    <row r="13">
      <c r="A13" s="5" t="n">
        <v>12</v>
      </c>
      <c r="B13" s="5" t="n">
        <v>1</v>
      </c>
      <c r="C13" s="5" t="inlineStr">
        <is>
          <t>2</t>
        </is>
      </c>
      <c r="D13" s="5" t="inlineStr">
        <is>
          <t>Date of Birth:</t>
        </is>
      </c>
      <c r="E13" s="5" t="inlineStr">
        <is>
          <t>DV-110[0].Page1[0].List2[0].Li1[0].TF1[0]</t>
        </is>
      </c>
      <c r="F13" s="5" t="inlineStr">
        <is>
          <t>text</t>
        </is>
      </c>
      <c r="G13" s="5" t="inlineStr"/>
      <c r="H13" s="5" t="inlineStr"/>
      <c r="I13" s="5" t="inlineStr">
        <is>
          <t>310, 207, 387, 218</t>
        </is>
      </c>
      <c r="J13" s="5" t="inlineStr">
        <is>
          <t>question</t>
        </is>
      </c>
      <c r="K13" s="5" t="inlineStr">
        <is>
          <t>R3</t>
        </is>
      </c>
      <c r="L13" s="5">
        <f> fmtDate(R3)</f>
        <v/>
      </c>
      <c r="M13" s="5" t="inlineStr">
        <is>
          <t>R3 given</t>
        </is>
      </c>
      <c r="N13" s="5" t="inlineStr"/>
      <c r="O13" s="5" t="inlineStr"/>
    </row>
    <row r="14">
      <c r="A14" s="5" t="n">
        <v>13</v>
      </c>
      <c r="B14" s="5" t="n">
        <v>1</v>
      </c>
      <c r="C14" s="5" t="inlineStr">
        <is>
          <t>2</t>
        </is>
      </c>
      <c r="D14" s="5" t="inlineStr">
        <is>
          <t>Height:</t>
        </is>
      </c>
      <c r="E14" s="5" t="inlineStr">
        <is>
          <t>DV-110[0].Page1[0].List2[0].Li1[0].TF2[0]</t>
        </is>
      </c>
      <c r="F14" s="5" t="inlineStr">
        <is>
          <t>text</t>
        </is>
      </c>
      <c r="G14" s="5" t="inlineStr"/>
      <c r="H14" s="5" t="inlineStr"/>
      <c r="I14" s="5" t="inlineStr">
        <is>
          <t>102, 223, 204, 234</t>
        </is>
      </c>
      <c r="J14" s="5" t="inlineStr">
        <is>
          <t>question</t>
        </is>
      </c>
      <c r="K14" s="5" t="inlineStr">
        <is>
          <t>R7</t>
        </is>
      </c>
      <c r="L14" s="5">
        <f> R7.height</f>
        <v/>
      </c>
      <c r="M14" s="5" t="inlineStr"/>
      <c r="N14" s="5" t="inlineStr"/>
      <c r="O14" s="5" t="inlineStr"/>
    </row>
    <row r="15">
      <c r="A15" s="5" t="n">
        <v>14</v>
      </c>
      <c r="B15" s="5" t="n">
        <v>1</v>
      </c>
      <c r="C15" s="5" t="inlineStr">
        <is>
          <t>2</t>
        </is>
      </c>
      <c r="D15" s="5" t="inlineStr">
        <is>
          <t>Weight:</t>
        </is>
      </c>
      <c r="E15" s="5" t="inlineStr">
        <is>
          <t>DV-110[0].Page1[0].List2[0].Li1[0].TF3[0]</t>
        </is>
      </c>
      <c r="F15" s="5" t="inlineStr">
        <is>
          <t>text</t>
        </is>
      </c>
      <c r="G15" s="5" t="inlineStr"/>
      <c r="H15" s="5" t="inlineStr"/>
      <c r="I15" s="5" t="inlineStr">
        <is>
          <t>250, 223, 312, 234</t>
        </is>
      </c>
      <c r="J15" s="5" t="inlineStr">
        <is>
          <t>question</t>
        </is>
      </c>
      <c r="K15" s="5" t="inlineStr">
        <is>
          <t>R7</t>
        </is>
      </c>
      <c r="L15" s="5">
        <f> R7.weight</f>
        <v/>
      </c>
      <c r="M15" s="5" t="inlineStr"/>
      <c r="N15" s="5" t="inlineStr"/>
      <c r="O15" s="5" t="inlineStr"/>
    </row>
    <row r="16">
      <c r="A16" s="5" t="n">
        <v>15</v>
      </c>
      <c r="B16" s="5" t="n">
        <v>1</v>
      </c>
      <c r="C16" s="5" t="inlineStr">
        <is>
          <t>2</t>
        </is>
      </c>
      <c r="D16" s="5" t="inlineStr">
        <is>
          <t>Hair Color:</t>
        </is>
      </c>
      <c r="E16" s="5" t="inlineStr">
        <is>
          <t>DV-110[0].Page1[0].List2[0].Li1[0].TF4[0]</t>
        </is>
      </c>
      <c r="F16" s="5" t="inlineStr">
        <is>
          <t>text</t>
        </is>
      </c>
      <c r="G16" s="5" t="inlineStr"/>
      <c r="H16" s="5" t="inlineStr"/>
      <c r="I16" s="5" t="inlineStr">
        <is>
          <t>120, 238, 204, 249</t>
        </is>
      </c>
      <c r="J16" s="5" t="inlineStr">
        <is>
          <t>question</t>
        </is>
      </c>
      <c r="K16" s="5" t="inlineStr">
        <is>
          <t>R7</t>
        </is>
      </c>
      <c r="L16" s="5">
        <f> R7.hair</f>
        <v/>
      </c>
      <c r="M16" s="5" t="inlineStr"/>
      <c r="N16" s="5" t="inlineStr"/>
      <c r="O16" s="5" t="inlineStr"/>
    </row>
    <row r="17">
      <c r="A17" s="5" t="n">
        <v>16</v>
      </c>
      <c r="B17" s="5" t="n">
        <v>1</v>
      </c>
      <c r="C17" s="5" t="inlineStr">
        <is>
          <t>2</t>
        </is>
      </c>
      <c r="D17" s="5" t="inlineStr">
        <is>
          <t>Eye Color:</t>
        </is>
      </c>
      <c r="E17" s="5" t="inlineStr">
        <is>
          <t>DV-110[0].Page1[0].List2[0].Li1[0].TF5[0]</t>
        </is>
      </c>
      <c r="F17" s="5" t="inlineStr">
        <is>
          <t>text</t>
        </is>
      </c>
      <c r="G17" s="5" t="inlineStr"/>
      <c r="H17" s="5" t="inlineStr"/>
      <c r="I17" s="5" t="inlineStr">
        <is>
          <t>263, 238, 312, 249</t>
        </is>
      </c>
      <c r="J17" s="5" t="inlineStr">
        <is>
          <t>question</t>
        </is>
      </c>
      <c r="K17" s="5" t="inlineStr">
        <is>
          <t>R7</t>
        </is>
      </c>
      <c r="L17" s="5">
        <f> R7.eyes</f>
        <v/>
      </c>
      <c r="M17" s="5" t="inlineStr"/>
      <c r="N17" s="5" t="inlineStr"/>
      <c r="O17" s="5" t="inlineStr"/>
    </row>
    <row r="18">
      <c r="A18" s="5" t="n">
        <v>17</v>
      </c>
      <c r="B18" s="5" t="n">
        <v>1</v>
      </c>
      <c r="C18" s="5" t="inlineStr">
        <is>
          <t>2</t>
        </is>
      </c>
      <c r="D18" s="5" t="inlineStr">
        <is>
          <t>*Race:</t>
        </is>
      </c>
      <c r="E18" s="5" t="inlineStr">
        <is>
          <t>DV-110[0].Page1[0].List2[0].Li1[0].TF6[0]</t>
        </is>
      </c>
      <c r="F18" s="5" t="inlineStr">
        <is>
          <t>text</t>
        </is>
      </c>
      <c r="G18" s="5" t="inlineStr"/>
      <c r="H18" s="5" t="inlineStr"/>
      <c r="I18" s="5" t="inlineStr">
        <is>
          <t>286, 191, 386, 202</t>
        </is>
      </c>
      <c r="J18" s="5" t="inlineStr">
        <is>
          <t>question</t>
        </is>
      </c>
      <c r="K18" s="5" t="inlineStr">
        <is>
          <t>R6</t>
        </is>
      </c>
      <c r="L18" s="5">
        <f> R6</f>
        <v/>
      </c>
      <c r="M18" s="5" t="inlineStr"/>
      <c r="N18" s="5" t="inlineStr"/>
      <c r="O18" s="5" t="inlineStr"/>
    </row>
    <row r="19">
      <c r="A19" s="6" t="n">
        <v>18</v>
      </c>
      <c r="B19" s="6" t="n">
        <v>1</v>
      </c>
      <c r="C19" s="6" t="inlineStr">
        <is>
          <t>2</t>
        </is>
      </c>
      <c r="D19" s="6" t="inlineStr">
        <is>
          <t>Relationship to person in item 1:</t>
        </is>
      </c>
      <c r="E19" s="6" t="inlineStr">
        <is>
          <t>DV-110[0].Page1[0].List2[0].Li1[0].TextField[0]</t>
        </is>
      </c>
      <c r="F19" s="6" t="inlineStr">
        <is>
          <t>text</t>
        </is>
      </c>
      <c r="G19" s="6" t="inlineStr"/>
      <c r="H19" s="6" t="inlineStr"/>
      <c r="I19" s="6" t="inlineStr">
        <is>
          <t>201, 254, 386, 266</t>
        </is>
      </c>
      <c r="J19" s="6" t="inlineStr">
        <is>
          <t>derived</t>
        </is>
      </c>
      <c r="K19" s="6" t="inlineStr">
        <is>
          <t>RL1,RL2</t>
        </is>
      </c>
      <c r="L19" s="6">
        <f> relationshipPhrase(RL1, RL2)</f>
        <v/>
      </c>
      <c r="M19" s="6" t="inlineStr"/>
      <c r="N19" s="6" t="inlineStr"/>
      <c r="O19" s="6" t="inlineStr"/>
    </row>
    <row r="20">
      <c r="A20" s="5" t="n">
        <v>19</v>
      </c>
      <c r="B20" s="5" t="n">
        <v>1</v>
      </c>
      <c r="C20" s="5" t="inlineStr">
        <is>
          <t>2</t>
        </is>
      </c>
      <c r="D20" s="5" t="inlineStr">
        <is>
          <t>Address of restrained person:</t>
        </is>
      </c>
      <c r="E20" s="5" t="inlineStr">
        <is>
          <t>DV-110[0].Page1[0].List2[0].Li1[0].TF7[0]</t>
        </is>
      </c>
      <c r="F20" s="5" t="inlineStr">
        <is>
          <t>text</t>
        </is>
      </c>
      <c r="G20" s="5" t="inlineStr"/>
      <c r="H20" s="5" t="inlineStr"/>
      <c r="I20" s="5" t="inlineStr">
        <is>
          <t>202, 271, 385, 282</t>
        </is>
      </c>
      <c r="J20" s="5" t="inlineStr">
        <is>
          <t>question</t>
        </is>
      </c>
      <c r="K20" s="5" t="inlineStr">
        <is>
          <t>R14</t>
        </is>
      </c>
      <c r="L20" s="5">
        <f> R14.street</f>
        <v/>
      </c>
      <c r="M20" s="5" t="inlineStr"/>
      <c r="N20" s="5" t="inlineStr"/>
      <c r="O20" s="5" t="inlineStr"/>
    </row>
    <row r="21">
      <c r="A21" s="5" t="n">
        <v>20</v>
      </c>
      <c r="B21" s="5" t="n">
        <v>1</v>
      </c>
      <c r="C21" s="5" t="inlineStr">
        <is>
          <t>2</t>
        </is>
      </c>
      <c r="D21" s="5" t="inlineStr">
        <is>
          <t>City:</t>
        </is>
      </c>
      <c r="E21" s="5" t="inlineStr">
        <is>
          <t>DV-110[0].Page1[0].List2[0].Li1[0].TF8[0]</t>
        </is>
      </c>
      <c r="F21" s="5" t="inlineStr">
        <is>
          <t>text</t>
        </is>
      </c>
      <c r="G21" s="5" t="inlineStr"/>
      <c r="H21" s="5" t="inlineStr"/>
      <c r="I21" s="5" t="inlineStr">
        <is>
          <t>94, 287, 236, 298</t>
        </is>
      </c>
      <c r="J21" s="5" t="inlineStr">
        <is>
          <t>question</t>
        </is>
      </c>
      <c r="K21" s="5" t="inlineStr">
        <is>
          <t>R14</t>
        </is>
      </c>
      <c r="L21" s="5">
        <f> R14.city</f>
        <v/>
      </c>
      <c r="M21" s="5" t="inlineStr"/>
      <c r="N21" s="5" t="inlineStr"/>
      <c r="O21" s="5" t="inlineStr"/>
    </row>
    <row r="22">
      <c r="A22" s="5" t="n">
        <v>21</v>
      </c>
      <c r="B22" s="5" t="n">
        <v>1</v>
      </c>
      <c r="C22" s="5" t="inlineStr">
        <is>
          <t>2</t>
        </is>
      </c>
      <c r="D22" s="5" t="inlineStr">
        <is>
          <t>State:</t>
        </is>
      </c>
      <c r="E22" s="5" t="inlineStr">
        <is>
          <t>DV-110[0].Page1[0].List2[0].Li1[0].TF9[0]</t>
        </is>
      </c>
      <c r="F22" s="5" t="inlineStr">
        <is>
          <t>text</t>
        </is>
      </c>
      <c r="G22" s="5" t="inlineStr"/>
      <c r="H22" s="5" t="inlineStr"/>
      <c r="I22" s="5" t="inlineStr">
        <is>
          <t>268, 287, 294, 298</t>
        </is>
      </c>
      <c r="J22" s="5" t="inlineStr">
        <is>
          <t>question</t>
        </is>
      </c>
      <c r="K22" s="5" t="inlineStr">
        <is>
          <t>R14</t>
        </is>
      </c>
      <c r="L22" s="5">
        <f> R14.state</f>
        <v/>
      </c>
      <c r="M22" s="5" t="inlineStr"/>
      <c r="N22" s="5" t="inlineStr"/>
      <c r="O22" s="5" t="inlineStr"/>
    </row>
    <row r="23">
      <c r="A23" s="5" t="n">
        <v>22</v>
      </c>
      <c r="B23" s="5" t="n">
        <v>1</v>
      </c>
      <c r="C23" s="5" t="inlineStr">
        <is>
          <t>2</t>
        </is>
      </c>
      <c r="D23" s="5" t="inlineStr">
        <is>
          <t>Zip:</t>
        </is>
      </c>
      <c r="E23" s="5" t="inlineStr">
        <is>
          <t>DV-110[0].Page1[0].List2[0].Li1[0].TF10[0]</t>
        </is>
      </c>
      <c r="F23" s="5" t="inlineStr">
        <is>
          <t>text</t>
        </is>
      </c>
      <c r="G23" s="5" t="inlineStr"/>
      <c r="H23" s="5" t="inlineStr"/>
      <c r="I23" s="5" t="inlineStr">
        <is>
          <t>319, 287, 385, 298</t>
        </is>
      </c>
      <c r="J23" s="5" t="inlineStr">
        <is>
          <t>question</t>
        </is>
      </c>
      <c r="K23" s="5" t="inlineStr">
        <is>
          <t>R14</t>
        </is>
      </c>
      <c r="L23" s="5">
        <f> R14.zip</f>
        <v/>
      </c>
      <c r="M23" s="5" t="inlineStr"/>
      <c r="N23" s="5" t="inlineStr"/>
      <c r="O23" s="5" t="inlineStr"/>
    </row>
    <row r="24">
      <c r="A24" s="6" t="n">
        <v>23</v>
      </c>
      <c r="B24" s="6" t="n">
        <v>1</v>
      </c>
      <c r="C24" s="6" t="inlineStr">
        <is>
          <t>2</t>
        </is>
      </c>
      <c r="D24" s="6" t="inlineStr">
        <is>
          <t>Firearms, firearm parts, or ammunition that restrained person may have: (Include information from form DV-100, item 9)</t>
        </is>
      </c>
      <c r="E24" s="6" t="inlineStr">
        <is>
          <t>DV-110[0].Page1[0].List2[0].Li1[0].OtherSpecify_tf[0]</t>
        </is>
      </c>
      <c r="F24" s="6" t="inlineStr">
        <is>
          <t>text</t>
        </is>
      </c>
      <c r="G24" s="6" t="inlineStr"/>
      <c r="H24" s="6" t="inlineStr"/>
      <c r="I24" s="6" t="inlineStr">
        <is>
          <t>68, 331, 386, 370</t>
        </is>
      </c>
      <c r="J24" s="6" t="inlineStr">
        <is>
          <t>derived</t>
        </is>
      </c>
      <c r="K24" s="6" t="inlineStr">
        <is>
          <t>R19</t>
        </is>
      </c>
      <c r="L24" s="6">
        <f> join(R19.map(r =&gt; r.count + " " + r.what + (r.where ? " (" + r.where + ")" : "")), "; ")</f>
        <v/>
      </c>
      <c r="M24" s="6" t="inlineStr">
        <is>
          <t>R18 == "Y"</t>
        </is>
      </c>
      <c r="N24" s="6" t="inlineStr">
        <is>
          <t>Same summary as CLETS-001, without body armor.</t>
        </is>
      </c>
      <c r="O24" s="6" t="inlineStr"/>
    </row>
    <row r="25">
      <c r="A25" s="6" t="n">
        <v>24</v>
      </c>
      <c r="B25" s="6" t="n">
        <v>1</v>
      </c>
      <c r="C25" s="6" t="inlineStr">
        <is>
          <t>3</t>
        </is>
      </c>
      <c r="D25" s="6" t="inlineStr">
        <is>
          <t>Other Protected People</t>
        </is>
      </c>
      <c r="E25" s="6" t="inlineStr">
        <is>
          <t>DV-110[0].Page1[0].List3[0].Li1[0].item3_cb[0]</t>
        </is>
      </c>
      <c r="F25" s="6" t="inlineStr">
        <is>
          <t>checkbox</t>
        </is>
      </c>
      <c r="G25" s="6" t="inlineStr">
        <is>
          <t>1</t>
        </is>
      </c>
      <c r="H25" s="6" t="inlineStr"/>
      <c r="I25" s="6" t="inlineStr">
        <is>
          <t>63, 430, 72, 439</t>
        </is>
      </c>
      <c r="J25" s="6" t="inlineStr">
        <is>
          <t>derived</t>
        </is>
      </c>
      <c r="K25" s="6" t="inlineStr">
        <is>
          <t>PR8</t>
        </is>
      </c>
      <c r="L25" s="6" t="inlineStr">
        <is>
          <t>check if any roster PR8 == "Y"</t>
        </is>
      </c>
      <c r="M25" s="6" t="inlineStr"/>
      <c r="N25" s="6" t="inlineStr"/>
      <c r="O25" s="6" t="inlineStr"/>
    </row>
    <row r="26">
      <c r="A26" s="5" t="n">
        <v>25</v>
      </c>
      <c r="B26" s="5" t="n">
        <v>1</v>
      </c>
      <c r="C26" s="5" t="inlineStr">
        <is>
          <t>3 row 1</t>
        </is>
      </c>
      <c r="D26" s="5" t="inlineStr">
        <is>
          <t>Full name</t>
        </is>
      </c>
      <c r="E26" s="5" t="inlineStr">
        <is>
          <t>DV-110[0].Page1[0].List3[0].Li1[0].item3FullName1_tf1[0]</t>
        </is>
      </c>
      <c r="F26" s="5" t="inlineStr">
        <is>
          <t>text</t>
        </is>
      </c>
      <c r="G26" s="5" t="inlineStr"/>
      <c r="H26" s="5" t="inlineStr"/>
      <c r="I26" s="5" t="inlineStr">
        <is>
          <t>63, 479, 324, 492</t>
        </is>
      </c>
      <c r="J26" s="5" t="inlineStr">
        <is>
          <t>question</t>
        </is>
      </c>
      <c r="K26" s="5" t="inlineStr">
        <is>
          <t>PR1</t>
        </is>
      </c>
      <c r="L26" s="5">
        <f> protected[0].PR1</f>
        <v/>
      </c>
      <c r="M26" s="5" t="inlineStr">
        <is>
          <t>protected.length &gt; 0</t>
        </is>
      </c>
      <c r="N26" s="5" t="inlineStr">
        <is>
          <t>Row field names are irregular (row 1 ends "_tf1", row 2 "1_tf"). Fill by row order in the JSON.</t>
        </is>
      </c>
      <c r="O26" s="5" t="inlineStr"/>
    </row>
    <row r="27">
      <c r="A27" s="5" t="n">
        <v>26</v>
      </c>
      <c r="B27" s="5" t="n">
        <v>1</v>
      </c>
      <c r="C27" s="5" t="inlineStr">
        <is>
          <t>3 row 1</t>
        </is>
      </c>
      <c r="D27" s="5" t="inlineStr">
        <is>
          <t>Relationship to person in item 1</t>
        </is>
      </c>
      <c r="E27" s="5" t="inlineStr">
        <is>
          <t>DV-110[0].Page1[0].List3[0].Li1[0].item3relation1_tf1[0]</t>
        </is>
      </c>
      <c r="F27" s="5" t="inlineStr">
        <is>
          <t>text</t>
        </is>
      </c>
      <c r="G27" s="5" t="inlineStr"/>
      <c r="H27" s="5" t="inlineStr"/>
      <c r="I27" s="5" t="inlineStr">
        <is>
          <t>329, 479, 512, 492</t>
        </is>
      </c>
      <c r="J27" s="5" t="inlineStr">
        <is>
          <t>question</t>
        </is>
      </c>
      <c r="K27" s="5" t="inlineStr">
        <is>
          <t>PR5</t>
        </is>
      </c>
      <c r="L27" s="5">
        <f> label(protected[0].PR5)</f>
        <v/>
      </c>
      <c r="M27" s="5" t="inlineStr">
        <is>
          <t>protected.length &gt; 0</t>
        </is>
      </c>
      <c r="N27" s="5" t="inlineStr"/>
      <c r="O27" s="5" t="inlineStr"/>
    </row>
    <row r="28">
      <c r="A28" s="6" t="n">
        <v>27</v>
      </c>
      <c r="B28" s="6" t="n">
        <v>1</v>
      </c>
      <c r="C28" s="6" t="inlineStr">
        <is>
          <t>3 row 1</t>
        </is>
      </c>
      <c r="D28" s="6" t="inlineStr">
        <is>
          <t>Age</t>
        </is>
      </c>
      <c r="E28" s="6" t="inlineStr">
        <is>
          <t>DV-110[0].Page1[0].List3[0].Li1[0].item3age1_tf1[0]</t>
        </is>
      </c>
      <c r="F28" s="6" t="inlineStr">
        <is>
          <t>text</t>
        </is>
      </c>
      <c r="G28" s="6" t="inlineStr"/>
      <c r="H28" s="6" t="inlineStr"/>
      <c r="I28" s="6" t="inlineStr">
        <is>
          <t>521, 479, 564, 492</t>
        </is>
      </c>
      <c r="J28" s="6" t="inlineStr">
        <is>
          <t>derived</t>
        </is>
      </c>
      <c r="K28" s="6" t="inlineStr">
        <is>
          <t>PR2</t>
        </is>
      </c>
      <c r="L28" s="6">
        <f> age(protected[0].PR2, G1)</f>
        <v/>
      </c>
      <c r="M28" s="6" t="inlineStr">
        <is>
          <t>protected.length &gt; 0</t>
        </is>
      </c>
      <c r="N28" s="6" t="inlineStr"/>
      <c r="O28" s="6" t="inlineStr"/>
    </row>
    <row r="29">
      <c r="A29" s="5" t="n">
        <v>28</v>
      </c>
      <c r="B29" s="5" t="n">
        <v>1</v>
      </c>
      <c r="C29" s="5" t="inlineStr">
        <is>
          <t>3 row 2</t>
        </is>
      </c>
      <c r="D29" s="5" t="inlineStr">
        <is>
          <t>Full name</t>
        </is>
      </c>
      <c r="E29" s="5" t="inlineStr">
        <is>
          <t>DV-110[0].Page1[0].List3[0].Li1[0].item3FullName1_tf[0]</t>
        </is>
      </c>
      <c r="F29" s="5" t="inlineStr">
        <is>
          <t>text</t>
        </is>
      </c>
      <c r="G29" s="5" t="inlineStr"/>
      <c r="H29" s="5" t="inlineStr"/>
      <c r="I29" s="5" t="inlineStr">
        <is>
          <t>63, 493, 324, 506</t>
        </is>
      </c>
      <c r="J29" s="5" t="inlineStr">
        <is>
          <t>question</t>
        </is>
      </c>
      <c r="K29" s="5" t="inlineStr">
        <is>
          <t>PR1</t>
        </is>
      </c>
      <c r="L29" s="5">
        <f> protected[1].PR1</f>
        <v/>
      </c>
      <c r="M29" s="5" t="inlineStr">
        <is>
          <t>protected.length &gt; 1</t>
        </is>
      </c>
      <c r="N29" s="5" t="inlineStr"/>
      <c r="O29" s="5" t="inlineStr"/>
    </row>
    <row r="30">
      <c r="A30" s="5" t="n">
        <v>29</v>
      </c>
      <c r="B30" s="5" t="n">
        <v>1</v>
      </c>
      <c r="C30" s="5" t="inlineStr">
        <is>
          <t>3 row 2</t>
        </is>
      </c>
      <c r="D30" s="5" t="inlineStr">
        <is>
          <t>Relationship to person in item 1</t>
        </is>
      </c>
      <c r="E30" s="5" t="inlineStr">
        <is>
          <t>DV-110[0].Page1[0].List3[0].Li1[0].item3relation1_tf[0]</t>
        </is>
      </c>
      <c r="F30" s="5" t="inlineStr">
        <is>
          <t>text</t>
        </is>
      </c>
      <c r="G30" s="5" t="inlineStr"/>
      <c r="H30" s="5" t="inlineStr"/>
      <c r="I30" s="5" t="inlineStr">
        <is>
          <t>329, 493, 512, 506</t>
        </is>
      </c>
      <c r="J30" s="5" t="inlineStr">
        <is>
          <t>question</t>
        </is>
      </c>
      <c r="K30" s="5" t="inlineStr">
        <is>
          <t>PR5</t>
        </is>
      </c>
      <c r="L30" s="5">
        <f> label(protected[1].PR5)</f>
        <v/>
      </c>
      <c r="M30" s="5" t="inlineStr">
        <is>
          <t>protected.length &gt; 1</t>
        </is>
      </c>
      <c r="N30" s="5" t="inlineStr"/>
      <c r="O30" s="5" t="inlineStr"/>
    </row>
    <row r="31">
      <c r="A31" s="6" t="n">
        <v>30</v>
      </c>
      <c r="B31" s="6" t="n">
        <v>1</v>
      </c>
      <c r="C31" s="6" t="inlineStr">
        <is>
          <t>3 row 2</t>
        </is>
      </c>
      <c r="D31" s="6" t="inlineStr">
        <is>
          <t>Age</t>
        </is>
      </c>
      <c r="E31" s="6" t="inlineStr">
        <is>
          <t>DV-110[0].Page1[0].List3[0].Li1[0].item3age1_tf[0]</t>
        </is>
      </c>
      <c r="F31" s="6" t="inlineStr">
        <is>
          <t>text</t>
        </is>
      </c>
      <c r="G31" s="6" t="inlineStr"/>
      <c r="H31" s="6" t="inlineStr"/>
      <c r="I31" s="6" t="inlineStr">
        <is>
          <t>521, 493, 564, 506</t>
        </is>
      </c>
      <c r="J31" s="6" t="inlineStr">
        <is>
          <t>derived</t>
        </is>
      </c>
      <c r="K31" s="6" t="inlineStr">
        <is>
          <t>PR2</t>
        </is>
      </c>
      <c r="L31" s="6">
        <f> age(protected[1].PR2, G1)</f>
        <v/>
      </c>
      <c r="M31" s="6" t="inlineStr">
        <is>
          <t>protected.length &gt; 1</t>
        </is>
      </c>
      <c r="N31" s="6" t="inlineStr"/>
      <c r="O31" s="6" t="inlineStr"/>
    </row>
    <row r="32">
      <c r="A32" s="5" t="n">
        <v>31</v>
      </c>
      <c r="B32" s="5" t="n">
        <v>1</v>
      </c>
      <c r="C32" s="5" t="inlineStr">
        <is>
          <t>3 row 3</t>
        </is>
      </c>
      <c r="D32" s="5" t="inlineStr">
        <is>
          <t>Full name</t>
        </is>
      </c>
      <c r="E32" s="5" t="inlineStr">
        <is>
          <t>DV-110[0].Page1[0].List3[0].Li1[0].item3FullName2_tf[0]</t>
        </is>
      </c>
      <c r="F32" s="5" t="inlineStr">
        <is>
          <t>text</t>
        </is>
      </c>
      <c r="G32" s="5" t="inlineStr"/>
      <c r="H32" s="5" t="inlineStr"/>
      <c r="I32" s="5" t="inlineStr">
        <is>
          <t>63, 506, 324, 519</t>
        </is>
      </c>
      <c r="J32" s="5" t="inlineStr">
        <is>
          <t>question</t>
        </is>
      </c>
      <c r="K32" s="5" t="inlineStr">
        <is>
          <t>PR1</t>
        </is>
      </c>
      <c r="L32" s="5">
        <f> protected[2].PR1</f>
        <v/>
      </c>
      <c r="M32" s="5" t="inlineStr">
        <is>
          <t>protected.length &gt; 2</t>
        </is>
      </c>
      <c r="N32" s="5" t="inlineStr"/>
      <c r="O32" s="5" t="inlineStr"/>
    </row>
    <row r="33">
      <c r="A33" s="5" t="n">
        <v>32</v>
      </c>
      <c r="B33" s="5" t="n">
        <v>1</v>
      </c>
      <c r="C33" s="5" t="inlineStr">
        <is>
          <t>3 row 3</t>
        </is>
      </c>
      <c r="D33" s="5" t="inlineStr">
        <is>
          <t>Relationship to person in item 1</t>
        </is>
      </c>
      <c r="E33" s="5" t="inlineStr">
        <is>
          <t>DV-110[0].Page1[0].List3[0].Li1[0].item3relation2_tf[0]</t>
        </is>
      </c>
      <c r="F33" s="5" t="inlineStr">
        <is>
          <t>text</t>
        </is>
      </c>
      <c r="G33" s="5" t="inlineStr"/>
      <c r="H33" s="5" t="inlineStr"/>
      <c r="I33" s="5" t="inlineStr">
        <is>
          <t>329, 506, 512, 519</t>
        </is>
      </c>
      <c r="J33" s="5" t="inlineStr">
        <is>
          <t>question</t>
        </is>
      </c>
      <c r="K33" s="5" t="inlineStr">
        <is>
          <t>PR5</t>
        </is>
      </c>
      <c r="L33" s="5">
        <f> label(protected[2].PR5)</f>
        <v/>
      </c>
      <c r="M33" s="5" t="inlineStr">
        <is>
          <t>protected.length &gt; 2</t>
        </is>
      </c>
      <c r="N33" s="5" t="inlineStr"/>
      <c r="O33" s="5" t="inlineStr"/>
    </row>
    <row r="34">
      <c r="A34" s="6" t="n">
        <v>33</v>
      </c>
      <c r="B34" s="6" t="n">
        <v>1</v>
      </c>
      <c r="C34" s="6" t="inlineStr">
        <is>
          <t>3 row 3</t>
        </is>
      </c>
      <c r="D34" s="6" t="inlineStr">
        <is>
          <t>Age</t>
        </is>
      </c>
      <c r="E34" s="6" t="inlineStr">
        <is>
          <t>DV-110[0].Page1[0].List3[0].Li1[0].item3age2_tf[0]</t>
        </is>
      </c>
      <c r="F34" s="6" t="inlineStr">
        <is>
          <t>text</t>
        </is>
      </c>
      <c r="G34" s="6" t="inlineStr"/>
      <c r="H34" s="6" t="inlineStr"/>
      <c r="I34" s="6" t="inlineStr">
        <is>
          <t>521, 506, 564, 519</t>
        </is>
      </c>
      <c r="J34" s="6" t="inlineStr">
        <is>
          <t>derived</t>
        </is>
      </c>
      <c r="K34" s="6" t="inlineStr">
        <is>
          <t>PR2</t>
        </is>
      </c>
      <c r="L34" s="6">
        <f> age(protected[2].PR2, G1)</f>
        <v/>
      </c>
      <c r="M34" s="6" t="inlineStr">
        <is>
          <t>protected.length &gt; 2</t>
        </is>
      </c>
      <c r="N34" s="6" t="inlineStr"/>
      <c r="O34" s="6" t="inlineStr"/>
    </row>
    <row r="35">
      <c r="A35" s="5" t="n">
        <v>34</v>
      </c>
      <c r="B35" s="5" t="n">
        <v>1</v>
      </c>
      <c r="C35" s="5" t="inlineStr">
        <is>
          <t>3 row 4</t>
        </is>
      </c>
      <c r="D35" s="5" t="inlineStr">
        <is>
          <t>Full name</t>
        </is>
      </c>
      <c r="E35" s="5" t="inlineStr">
        <is>
          <t>DV-110[0].Page1[0].List3[0].Li1[0].item3FullName3_tf[0]</t>
        </is>
      </c>
      <c r="F35" s="5" t="inlineStr">
        <is>
          <t>text</t>
        </is>
      </c>
      <c r="G35" s="5" t="inlineStr"/>
      <c r="H35" s="5" t="inlineStr"/>
      <c r="I35" s="5" t="inlineStr">
        <is>
          <t>63, 520, 324, 533</t>
        </is>
      </c>
      <c r="J35" s="5" t="inlineStr">
        <is>
          <t>question</t>
        </is>
      </c>
      <c r="K35" s="5" t="inlineStr">
        <is>
          <t>PR1</t>
        </is>
      </c>
      <c r="L35" s="5">
        <f> protected[3].PR1</f>
        <v/>
      </c>
      <c r="M35" s="5" t="inlineStr">
        <is>
          <t>protected.length &gt; 3</t>
        </is>
      </c>
      <c r="N35" s="5" t="inlineStr"/>
      <c r="O35" s="5" t="inlineStr"/>
    </row>
    <row r="36">
      <c r="A36" s="5" t="n">
        <v>35</v>
      </c>
      <c r="B36" s="5" t="n">
        <v>1</v>
      </c>
      <c r="C36" s="5" t="inlineStr">
        <is>
          <t>3 row 4</t>
        </is>
      </c>
      <c r="D36" s="5" t="inlineStr">
        <is>
          <t>Relationship to person in item 1</t>
        </is>
      </c>
      <c r="E36" s="5" t="inlineStr">
        <is>
          <t>DV-110[0].Page1[0].List3[0].Li1[0].item3relation3_tf[0]</t>
        </is>
      </c>
      <c r="F36" s="5" t="inlineStr">
        <is>
          <t>text</t>
        </is>
      </c>
      <c r="G36" s="5" t="inlineStr"/>
      <c r="H36" s="5" t="inlineStr"/>
      <c r="I36" s="5" t="inlineStr">
        <is>
          <t>329, 520, 512, 533</t>
        </is>
      </c>
      <c r="J36" s="5" t="inlineStr">
        <is>
          <t>question</t>
        </is>
      </c>
      <c r="K36" s="5" t="inlineStr">
        <is>
          <t>PR5</t>
        </is>
      </c>
      <c r="L36" s="5">
        <f> label(protected[3].PR5)</f>
        <v/>
      </c>
      <c r="M36" s="5" t="inlineStr">
        <is>
          <t>protected.length &gt; 3</t>
        </is>
      </c>
      <c r="N36" s="5" t="inlineStr"/>
      <c r="O36" s="5" t="inlineStr"/>
    </row>
    <row r="37">
      <c r="A37" s="6" t="n">
        <v>36</v>
      </c>
      <c r="B37" s="6" t="n">
        <v>1</v>
      </c>
      <c r="C37" s="6" t="inlineStr">
        <is>
          <t>3 row 4</t>
        </is>
      </c>
      <c r="D37" s="6" t="inlineStr">
        <is>
          <t>Age</t>
        </is>
      </c>
      <c r="E37" s="6" t="inlineStr">
        <is>
          <t>DV-110[0].Page1[0].List3[0].Li1[0].item3age3_tf[0]</t>
        </is>
      </c>
      <c r="F37" s="6" t="inlineStr">
        <is>
          <t>text</t>
        </is>
      </c>
      <c r="G37" s="6" t="inlineStr"/>
      <c r="H37" s="6" t="inlineStr"/>
      <c r="I37" s="6" t="inlineStr">
        <is>
          <t>521, 519, 564, 532</t>
        </is>
      </c>
      <c r="J37" s="6" t="inlineStr">
        <is>
          <t>derived</t>
        </is>
      </c>
      <c r="K37" s="6" t="inlineStr">
        <is>
          <t>PR2</t>
        </is>
      </c>
      <c r="L37" s="6">
        <f> age(protected[3].PR2, G1)</f>
        <v/>
      </c>
      <c r="M37" s="6" t="inlineStr">
        <is>
          <t>protected.length &gt; 3</t>
        </is>
      </c>
      <c r="N37" s="6" t="inlineStr"/>
      <c r="O37" s="6" t="inlineStr"/>
    </row>
    <row r="38">
      <c r="A38" s="6" t="n">
        <v>37</v>
      </c>
      <c r="B38" s="6" t="n">
        <v>1</v>
      </c>
      <c r="C38" s="6" t="inlineStr">
        <is>
          <t>3 more</t>
        </is>
      </c>
      <c r="D38" s="6" t="inlineStr">
        <is>
          <t>Check here if you need to list more people. List them on a separate piece of paper, write "DV-110, Other Protected People" at the top, and attach it to this form.</t>
        </is>
      </c>
      <c r="E38" s="6" t="inlineStr">
        <is>
          <t>DV-110[0].Page1[0].List3[0].Li1[0].AGHagueCert_cb[0]</t>
        </is>
      </c>
      <c r="F38" s="6" t="inlineStr">
        <is>
          <t>checkbox</t>
        </is>
      </c>
      <c r="G38" s="6" t="inlineStr">
        <is>
          <t>1</t>
        </is>
      </c>
      <c r="H38" s="6" t="inlineStr"/>
      <c r="I38" s="6" t="inlineStr">
        <is>
          <t>63, 537, 72, 546</t>
        </is>
      </c>
      <c r="J38" s="6" t="inlineStr">
        <is>
          <t>derived</t>
        </is>
      </c>
      <c r="K38" s="6" t="inlineStr">
        <is>
          <t>PR8</t>
        </is>
      </c>
      <c r="L38" s="6" t="inlineStr">
        <is>
          <t>check if protected.length &gt; 4</t>
        </is>
      </c>
      <c r="M38" s="6" t="inlineStr"/>
      <c r="N38" s="6" t="inlineStr">
        <is>
          <t>Attach the sheet "DV-110, Other Protected People" (fixes gap-analysis defect 6).</t>
        </is>
      </c>
      <c r="O38" s="6" t="inlineStr"/>
    </row>
    <row r="39">
      <c r="A39" s="8" t="n">
        <v>38</v>
      </c>
      <c r="B39" s="8" t="n">
        <v>1</v>
      </c>
      <c r="C39" s="8" t="inlineStr">
        <is>
          <t>4 (court)</t>
        </is>
      </c>
      <c r="D39" s="8" t="inlineStr">
        <is>
          <t>Hearing Date:</t>
        </is>
      </c>
      <c r="E39" s="8" t="inlineStr">
        <is>
          <t>DV-110[0].Page1[0].List4[0].Li1[0].T195[0]</t>
        </is>
      </c>
      <c r="F39" s="8" t="inlineStr">
        <is>
          <t>text</t>
        </is>
      </c>
      <c r="G39" s="8" t="inlineStr"/>
      <c r="H39" s="8" t="inlineStr"/>
      <c r="I39" s="8" t="inlineStr">
        <is>
          <t>195, 641, 332, 655</t>
        </is>
      </c>
      <c r="J39" s="8" t="inlineStr">
        <is>
          <t>court/clerk</t>
        </is>
      </c>
      <c r="K39" s="8" t="inlineStr"/>
      <c r="L39" s="8" t="inlineStr"/>
      <c r="M39" s="8" t="inlineStr"/>
      <c r="N39" s="8" t="inlineStr">
        <is>
          <t>Judge completes.</t>
        </is>
      </c>
      <c r="O39" s="8" t="inlineStr"/>
    </row>
    <row r="40">
      <c r="A40" s="8" t="n">
        <v>39</v>
      </c>
      <c r="B40" s="8" t="n">
        <v>1</v>
      </c>
      <c r="C40" s="8" t="inlineStr">
        <is>
          <t>4 (court)</t>
        </is>
      </c>
      <c r="D40" s="8" t="inlineStr">
        <is>
          <t>Time:</t>
        </is>
      </c>
      <c r="E40" s="8" t="inlineStr">
        <is>
          <t>DV-110[0].Page1[0].List4[0].Li1[0].time1[0]</t>
        </is>
      </c>
      <c r="F40" s="8" t="inlineStr">
        <is>
          <t>text</t>
        </is>
      </c>
      <c r="G40" s="8" t="inlineStr"/>
      <c r="H40" s="8" t="inlineStr"/>
      <c r="I40" s="8" t="inlineStr">
        <is>
          <t>373, 641, 464, 655</t>
        </is>
      </c>
      <c r="J40" s="8" t="inlineStr">
        <is>
          <t>court/clerk</t>
        </is>
      </c>
      <c r="K40" s="8" t="inlineStr"/>
      <c r="L40" s="8" t="inlineStr"/>
      <c r="M40" s="8" t="inlineStr"/>
      <c r="N40" s="8" t="inlineStr">
        <is>
          <t>Judge completes.</t>
        </is>
      </c>
      <c r="O40" s="8" t="inlineStr"/>
    </row>
    <row r="41">
      <c r="A41" s="8" t="n">
        <v>40</v>
      </c>
      <c r="B41" s="8" t="n">
        <v>1</v>
      </c>
      <c r="C41" s="8" t="inlineStr">
        <is>
          <t>4 (court)</t>
        </is>
      </c>
      <c r="D41" s="8" t="inlineStr">
        <is>
          <t>a.m.</t>
        </is>
      </c>
      <c r="E41" s="8" t="inlineStr">
        <is>
          <t>DV-110[0].Page1[0].List4[0].Li1[0].item4ampm[0]</t>
        </is>
      </c>
      <c r="F41" s="8" t="inlineStr">
        <is>
          <t>checkbox</t>
        </is>
      </c>
      <c r="G41" s="8" t="inlineStr">
        <is>
          <t>1</t>
        </is>
      </c>
      <c r="H41" s="8" t="inlineStr"/>
      <c r="I41" s="8" t="inlineStr">
        <is>
          <t>467, 644, 476, 653</t>
        </is>
      </c>
      <c r="J41" s="8" t="inlineStr">
        <is>
          <t>court/clerk</t>
        </is>
      </c>
      <c r="K41" s="8" t="inlineStr"/>
      <c r="L41" s="8" t="inlineStr"/>
      <c r="M41" s="8" t="inlineStr"/>
      <c r="N41" s="8" t="inlineStr">
        <is>
          <t>Judge completes.</t>
        </is>
      </c>
      <c r="O41" s="8" t="inlineStr"/>
    </row>
    <row r="42">
      <c r="A42" s="8" t="n">
        <v>41</v>
      </c>
      <c r="B42" s="8" t="n">
        <v>1</v>
      </c>
      <c r="C42" s="8" t="inlineStr">
        <is>
          <t>4 (court)</t>
        </is>
      </c>
      <c r="D42" s="8" t="inlineStr">
        <is>
          <t>p.m.</t>
        </is>
      </c>
      <c r="E42" s="8" t="inlineStr">
        <is>
          <t>DV-110[0].Page1[0].List4[0].Li1[0].item4ampm[1]</t>
        </is>
      </c>
      <c r="F42" s="8" t="inlineStr">
        <is>
          <t>checkbox</t>
        </is>
      </c>
      <c r="G42" s="8" t="inlineStr">
        <is>
          <t>11</t>
        </is>
      </c>
      <c r="H42" s="8" t="inlineStr"/>
      <c r="I42" s="8" t="inlineStr">
        <is>
          <t>509, 644, 518, 653</t>
        </is>
      </c>
      <c r="J42" s="8" t="inlineStr">
        <is>
          <t>court/clerk</t>
        </is>
      </c>
      <c r="K42" s="8" t="inlineStr"/>
      <c r="L42" s="8" t="inlineStr"/>
      <c r="M42" s="8" t="inlineStr"/>
      <c r="N42" s="8" t="inlineStr">
        <is>
          <t>Judge completes.</t>
        </is>
      </c>
      <c r="O42" s="8" t="inlineStr"/>
    </row>
    <row r="43">
      <c r="A43" s="5" t="n">
        <v>42</v>
      </c>
      <c r="B43" s="5" t="n">
        <v>2</v>
      </c>
      <c r="C43" s="5" t="inlineStr">
        <is>
          <t>Caption</t>
        </is>
      </c>
      <c r="D43" s="5" t="inlineStr">
        <is>
          <t>Case Number:</t>
        </is>
      </c>
      <c r="E43" s="5" t="inlineStr">
        <is>
          <t>DV-110[0].Page2[0].PxCaption[0].CaseNumber[0]</t>
        </is>
      </c>
      <c r="F43" s="5" t="inlineStr">
        <is>
          <t>text</t>
        </is>
      </c>
      <c r="G43" s="5" t="inlineStr"/>
      <c r="H43" s="5" t="inlineStr"/>
      <c r="I43" s="5" t="inlineStr">
        <is>
          <t>398, 48, 573, 63</t>
        </is>
      </c>
      <c r="J43" s="5" t="inlineStr">
        <is>
          <t>question</t>
        </is>
      </c>
      <c r="K43" s="5" t="inlineStr">
        <is>
          <t>S3,S4</t>
        </is>
      </c>
      <c r="L43" s="5">
        <f> S4</f>
        <v/>
      </c>
      <c r="M43" s="5" t="inlineStr">
        <is>
          <t>S3 == "update"; otherwise blank for clerk</t>
        </is>
      </c>
      <c r="N43" s="5" t="inlineStr"/>
      <c r="O43" s="5" t="inlineStr"/>
    </row>
    <row r="44">
      <c r="A44" s="8" t="n">
        <v>43</v>
      </c>
      <c r="B44" s="8" t="n">
        <v>2</v>
      </c>
      <c r="C44" s="8" t="inlineStr">
        <is>
          <t>6 (court)</t>
        </is>
      </c>
      <c r="D44" s="8" t="inlineStr">
        <is>
          <t>Restrained person has prohibited items</t>
        </is>
      </c>
      <c r="E44" s="8" t="inlineStr">
        <is>
          <t>DV-110[0].Page2[0].List6[0].CheckBoxRightCaption[0]</t>
        </is>
      </c>
      <c r="F44" s="8" t="inlineStr">
        <is>
          <t>checkbox</t>
        </is>
      </c>
      <c r="G44" s="8" t="inlineStr">
        <is>
          <t>1</t>
        </is>
      </c>
      <c r="H44" s="8" t="inlineStr"/>
      <c r="I44" s="8" t="inlineStr">
        <is>
          <t>63, 438, 72, 447</t>
        </is>
      </c>
      <c r="J44" s="8" t="inlineStr">
        <is>
          <t>court/clerk</t>
        </is>
      </c>
      <c r="K44" s="8" t="inlineStr"/>
      <c r="L44" s="8" t="inlineStr"/>
      <c r="M44" s="8" t="inlineStr"/>
      <c r="N44" s="8" t="inlineStr">
        <is>
          <t>Judge completes.</t>
        </is>
      </c>
      <c r="O44" s="8" t="inlineStr"/>
    </row>
    <row r="45">
      <c r="A45" s="8" t="n">
        <v>44</v>
      </c>
      <c r="B45" s="8" t="n">
        <v>2</v>
      </c>
      <c r="C45" s="8" t="inlineStr">
        <is>
          <t>6 (court)</t>
        </is>
      </c>
      <c r="D45" s="8" t="inlineStr">
        <is>
          <t>Description (include serial number, if known)</t>
        </is>
      </c>
      <c r="E45" s="8" t="inlineStr">
        <is>
          <t>DV-110[0].Page2[0].List6[0].Li1[0].Lista[0].Li1[0].TextField[0]</t>
        </is>
      </c>
      <c r="F45" s="8" t="inlineStr">
        <is>
          <t>text</t>
        </is>
      </c>
      <c r="G45" s="8" t="inlineStr"/>
      <c r="H45" s="8" t="inlineStr"/>
      <c r="I45" s="8" t="inlineStr">
        <is>
          <t>94, 521, 325, 536</t>
        </is>
      </c>
      <c r="J45" s="8" t="inlineStr">
        <is>
          <t>court/clerk</t>
        </is>
      </c>
      <c r="K45" s="8" t="inlineStr"/>
      <c r="L45" s="8" t="inlineStr"/>
      <c r="M45" s="8" t="inlineStr"/>
      <c r="N45" s="8" t="inlineStr">
        <is>
          <t>Judge completes.</t>
        </is>
      </c>
      <c r="O45" s="8" t="inlineStr"/>
    </row>
    <row r="46">
      <c r="A46" s="8" t="n">
        <v>45</v>
      </c>
      <c r="B46" s="8" t="n">
        <v>2</v>
      </c>
      <c r="C46" s="8" t="inlineStr">
        <is>
          <t>6 (court)</t>
        </is>
      </c>
      <c r="D46" s="8" t="inlineStr">
        <is>
          <t>Location, if known</t>
        </is>
      </c>
      <c r="E46" s="8" t="inlineStr">
        <is>
          <t>DV-110[0].Page2[0].List6[0].Li1[0].Lista[0].Li1[0].TextField1[0]</t>
        </is>
      </c>
      <c r="F46" s="8" t="inlineStr">
        <is>
          <t>text</t>
        </is>
      </c>
      <c r="G46" s="8" t="inlineStr"/>
      <c r="H46" s="8" t="inlineStr"/>
      <c r="I46" s="8" t="inlineStr">
        <is>
          <t>327, 521, 457, 536</t>
        </is>
      </c>
      <c r="J46" s="8" t="inlineStr">
        <is>
          <t>court/clerk</t>
        </is>
      </c>
      <c r="K46" s="8" t="inlineStr"/>
      <c r="L46" s="8" t="inlineStr"/>
      <c r="M46" s="8" t="inlineStr"/>
      <c r="N46" s="8" t="inlineStr">
        <is>
          <t>Judge completes.</t>
        </is>
      </c>
      <c r="O46" s="8" t="inlineStr"/>
    </row>
    <row r="47">
      <c r="A47" s="8" t="n">
        <v>46</v>
      </c>
      <c r="B47" s="8" t="n">
        <v>2</v>
      </c>
      <c r="C47" s="8" t="inlineStr">
        <is>
          <t>6 (court)</t>
        </is>
      </c>
      <c r="D47" s="8" t="inlineStr">
        <is>
          <t>Proof of compliance  received by the court</t>
        </is>
      </c>
      <c r="E47" s="8" t="inlineStr">
        <is>
          <t>DV-110[0].Page2[0].List6[0].Li1[0].Lista[0].Li1[0].Choice[0]</t>
        </is>
      </c>
      <c r="F47" s="8" t="inlineStr">
        <is>
          <t>checkbox</t>
        </is>
      </c>
      <c r="G47" s="8" t="inlineStr">
        <is>
          <t>1</t>
        </is>
      </c>
      <c r="H47" s="8" t="inlineStr"/>
      <c r="I47" s="8" t="inlineStr">
        <is>
          <t>465, 523, 474, 532</t>
        </is>
      </c>
      <c r="J47" s="8" t="inlineStr">
        <is>
          <t>court/clerk</t>
        </is>
      </c>
      <c r="K47" s="8" t="inlineStr"/>
      <c r="L47" s="8" t="inlineStr"/>
      <c r="M47" s="8" t="inlineStr"/>
      <c r="N47" s="8" t="inlineStr">
        <is>
          <t>Judge completes.</t>
        </is>
      </c>
      <c r="O47" s="8" t="inlineStr"/>
    </row>
    <row r="48">
      <c r="A48" s="8" t="n">
        <v>47</v>
      </c>
      <c r="B48" s="8" t="n">
        <v>2</v>
      </c>
      <c r="C48" s="8" t="inlineStr">
        <is>
          <t>6 (court)</t>
        </is>
      </c>
      <c r="D48" s="8" t="inlineStr">
        <is>
          <t>(date):</t>
        </is>
      </c>
      <c r="E48" s="8" t="inlineStr">
        <is>
          <t>DV-110[0].Page2[0].List6[0].Li1[0].Lista[0].Li1[0].DateField1[0]</t>
        </is>
      </c>
      <c r="F48" s="8" t="inlineStr">
        <is>
          <t>text</t>
        </is>
      </c>
      <c r="G48" s="8" t="inlineStr"/>
      <c r="H48" s="8" t="inlineStr"/>
      <c r="I48" s="8" t="inlineStr">
        <is>
          <t>508, 520, 575, 535</t>
        </is>
      </c>
      <c r="J48" s="8" t="inlineStr">
        <is>
          <t>court/clerk</t>
        </is>
      </c>
      <c r="K48" s="8" t="inlineStr"/>
      <c r="L48" s="8" t="inlineStr"/>
      <c r="M48" s="8" t="inlineStr"/>
      <c r="N48" s="8" t="inlineStr">
        <is>
          <t>Judge completes.</t>
        </is>
      </c>
      <c r="O48" s="8" t="inlineStr"/>
    </row>
    <row r="49">
      <c r="A49" s="8" t="n">
        <v>48</v>
      </c>
      <c r="B49" s="8" t="n">
        <v>2</v>
      </c>
      <c r="C49" s="8" t="inlineStr">
        <is>
          <t>6 (court)</t>
        </is>
      </c>
      <c r="D49" s="8" t="inlineStr">
        <is>
          <t>Description (include serial number, if known)</t>
        </is>
      </c>
      <c r="E49" s="8" t="inlineStr">
        <is>
          <t>DV-110[0].Page2[0].List6[0].Li1[0].Lista[0].Li2[0].TextField[0]</t>
        </is>
      </c>
      <c r="F49" s="8" t="inlineStr">
        <is>
          <t>text</t>
        </is>
      </c>
      <c r="G49" s="8" t="inlineStr"/>
      <c r="H49" s="8" t="inlineStr"/>
      <c r="I49" s="8" t="inlineStr">
        <is>
          <t>94, 537, 325, 552</t>
        </is>
      </c>
      <c r="J49" s="8" t="inlineStr">
        <is>
          <t>court/clerk</t>
        </is>
      </c>
      <c r="K49" s="8" t="inlineStr"/>
      <c r="L49" s="8" t="inlineStr"/>
      <c r="M49" s="8" t="inlineStr"/>
      <c r="N49" s="8" t="inlineStr">
        <is>
          <t>Judge completes.</t>
        </is>
      </c>
      <c r="O49" s="8" t="inlineStr"/>
    </row>
    <row r="50">
      <c r="A50" s="8" t="n">
        <v>49</v>
      </c>
      <c r="B50" s="8" t="n">
        <v>2</v>
      </c>
      <c r="C50" s="8" t="inlineStr">
        <is>
          <t>6 (court)</t>
        </is>
      </c>
      <c r="D50" s="8" t="inlineStr">
        <is>
          <t>Location, if known</t>
        </is>
      </c>
      <c r="E50" s="8" t="inlineStr">
        <is>
          <t>DV-110[0].Page2[0].List6[0].Li1[0].Lista[0].Li2[0].TextField1[0]</t>
        </is>
      </c>
      <c r="F50" s="8" t="inlineStr">
        <is>
          <t>text</t>
        </is>
      </c>
      <c r="G50" s="8" t="inlineStr"/>
      <c r="H50" s="8" t="inlineStr"/>
      <c r="I50" s="8" t="inlineStr">
        <is>
          <t>327, 537, 457, 552</t>
        </is>
      </c>
      <c r="J50" s="8" t="inlineStr">
        <is>
          <t>court/clerk</t>
        </is>
      </c>
      <c r="K50" s="8" t="inlineStr"/>
      <c r="L50" s="8" t="inlineStr"/>
      <c r="M50" s="8" t="inlineStr"/>
      <c r="N50" s="8" t="inlineStr">
        <is>
          <t>Judge completes.</t>
        </is>
      </c>
      <c r="O50" s="8" t="inlineStr"/>
    </row>
    <row r="51">
      <c r="A51" s="8" t="n">
        <v>50</v>
      </c>
      <c r="B51" s="8" t="n">
        <v>2</v>
      </c>
      <c r="C51" s="8" t="inlineStr">
        <is>
          <t>6 (court)</t>
        </is>
      </c>
      <c r="D51" s="8" t="inlineStr">
        <is>
          <t>Proof of compliance  received by the court</t>
        </is>
      </c>
      <c r="E51" s="8" t="inlineStr">
        <is>
          <t>DV-110[0].Page2[0].List6[0].Li1[0].Lista[0].Li2[0].Choice[0]</t>
        </is>
      </c>
      <c r="F51" s="8" t="inlineStr">
        <is>
          <t>checkbox</t>
        </is>
      </c>
      <c r="G51" s="8" t="inlineStr">
        <is>
          <t>1</t>
        </is>
      </c>
      <c r="H51" s="8" t="inlineStr"/>
      <c r="I51" s="8" t="inlineStr">
        <is>
          <t>465, 539, 474, 548</t>
        </is>
      </c>
      <c r="J51" s="8" t="inlineStr">
        <is>
          <t>court/clerk</t>
        </is>
      </c>
      <c r="K51" s="8" t="inlineStr"/>
      <c r="L51" s="8" t="inlineStr"/>
      <c r="M51" s="8" t="inlineStr"/>
      <c r="N51" s="8" t="inlineStr">
        <is>
          <t>Judge completes.</t>
        </is>
      </c>
      <c r="O51" s="8" t="inlineStr"/>
    </row>
    <row r="52">
      <c r="A52" s="8" t="n">
        <v>51</v>
      </c>
      <c r="B52" s="8" t="n">
        <v>2</v>
      </c>
      <c r="C52" s="8" t="inlineStr">
        <is>
          <t>6 (court)</t>
        </is>
      </c>
      <c r="D52" s="8" t="inlineStr">
        <is>
          <t>(date):</t>
        </is>
      </c>
      <c r="E52" s="8" t="inlineStr">
        <is>
          <t>DV-110[0].Page2[0].List6[0].Li1[0].Lista[0].Li2[0].DateField2[0]</t>
        </is>
      </c>
      <c r="F52" s="8" t="inlineStr">
        <is>
          <t>text</t>
        </is>
      </c>
      <c r="G52" s="8" t="inlineStr"/>
      <c r="H52" s="8" t="inlineStr"/>
      <c r="I52" s="8" t="inlineStr">
        <is>
          <t>508, 537, 575, 552</t>
        </is>
      </c>
      <c r="J52" s="8" t="inlineStr">
        <is>
          <t>court/clerk</t>
        </is>
      </c>
      <c r="K52" s="8" t="inlineStr"/>
      <c r="L52" s="8" t="inlineStr"/>
      <c r="M52" s="8" t="inlineStr"/>
      <c r="N52" s="8" t="inlineStr">
        <is>
          <t>Judge completes.</t>
        </is>
      </c>
      <c r="O52" s="8" t="inlineStr"/>
    </row>
    <row r="53">
      <c r="A53" s="8" t="n">
        <v>52</v>
      </c>
      <c r="B53" s="8" t="n">
        <v>2</v>
      </c>
      <c r="C53" s="8" t="inlineStr">
        <is>
          <t>6 (court)</t>
        </is>
      </c>
      <c r="D53" s="8" t="inlineStr">
        <is>
          <t>Description (include serial number, if known)</t>
        </is>
      </c>
      <c r="E53" s="8" t="inlineStr">
        <is>
          <t>DV-110[0].Page2[0].List6[0].Li1[0].Lista[0].Li3[0].TextField[0]</t>
        </is>
      </c>
      <c r="F53" s="8" t="inlineStr">
        <is>
          <t>text</t>
        </is>
      </c>
      <c r="G53" s="8" t="inlineStr"/>
      <c r="H53" s="8" t="inlineStr"/>
      <c r="I53" s="8" t="inlineStr">
        <is>
          <t>94, 553, 325, 568</t>
        </is>
      </c>
      <c r="J53" s="8" t="inlineStr">
        <is>
          <t>court/clerk</t>
        </is>
      </c>
      <c r="K53" s="8" t="inlineStr"/>
      <c r="L53" s="8" t="inlineStr"/>
      <c r="M53" s="8" t="inlineStr"/>
      <c r="N53" s="8" t="inlineStr">
        <is>
          <t>Judge completes.</t>
        </is>
      </c>
      <c r="O53" s="8" t="inlineStr"/>
    </row>
    <row r="54">
      <c r="A54" s="8" t="n">
        <v>53</v>
      </c>
      <c r="B54" s="8" t="n">
        <v>2</v>
      </c>
      <c r="C54" s="8" t="inlineStr">
        <is>
          <t>6 (court)</t>
        </is>
      </c>
      <c r="D54" s="8" t="inlineStr">
        <is>
          <t>Location, if known</t>
        </is>
      </c>
      <c r="E54" s="8" t="inlineStr">
        <is>
          <t>DV-110[0].Page2[0].List6[0].Li1[0].Lista[0].Li3[0].TextField1[0]</t>
        </is>
      </c>
      <c r="F54" s="8" t="inlineStr">
        <is>
          <t>text</t>
        </is>
      </c>
      <c r="G54" s="8" t="inlineStr"/>
      <c r="H54" s="8" t="inlineStr"/>
      <c r="I54" s="8" t="inlineStr">
        <is>
          <t>327, 553, 457, 568</t>
        </is>
      </c>
      <c r="J54" s="8" t="inlineStr">
        <is>
          <t>court/clerk</t>
        </is>
      </c>
      <c r="K54" s="8" t="inlineStr"/>
      <c r="L54" s="8" t="inlineStr"/>
      <c r="M54" s="8" t="inlineStr"/>
      <c r="N54" s="8" t="inlineStr">
        <is>
          <t>Judge completes.</t>
        </is>
      </c>
      <c r="O54" s="8" t="inlineStr"/>
    </row>
    <row r="55">
      <c r="A55" s="8" t="n">
        <v>54</v>
      </c>
      <c r="B55" s="8" t="n">
        <v>2</v>
      </c>
      <c r="C55" s="8" t="inlineStr">
        <is>
          <t>6 (court)</t>
        </is>
      </c>
      <c r="D55" s="8" t="inlineStr">
        <is>
          <t>Proof of compliance  received by the court</t>
        </is>
      </c>
      <c r="E55" s="8" t="inlineStr">
        <is>
          <t>DV-110[0].Page2[0].List6[0].Li1[0].Lista[0].Li3[0].Choice[0]</t>
        </is>
      </c>
      <c r="F55" s="8" t="inlineStr">
        <is>
          <t>checkbox</t>
        </is>
      </c>
      <c r="G55" s="8" t="inlineStr">
        <is>
          <t>1</t>
        </is>
      </c>
      <c r="H55" s="8" t="inlineStr"/>
      <c r="I55" s="8" t="inlineStr">
        <is>
          <t>465, 556, 474, 565</t>
        </is>
      </c>
      <c r="J55" s="8" t="inlineStr">
        <is>
          <t>court/clerk</t>
        </is>
      </c>
      <c r="K55" s="8" t="inlineStr"/>
      <c r="L55" s="8" t="inlineStr"/>
      <c r="M55" s="8" t="inlineStr"/>
      <c r="N55" s="8" t="inlineStr">
        <is>
          <t>Judge completes.</t>
        </is>
      </c>
      <c r="O55" s="8" t="inlineStr"/>
    </row>
    <row r="56">
      <c r="A56" s="8" t="n">
        <v>55</v>
      </c>
      <c r="B56" s="8" t="n">
        <v>2</v>
      </c>
      <c r="C56" s="8" t="inlineStr">
        <is>
          <t>6 (court)</t>
        </is>
      </c>
      <c r="D56" s="8" t="inlineStr">
        <is>
          <t>(date):</t>
        </is>
      </c>
      <c r="E56" s="8" t="inlineStr">
        <is>
          <t>DV-110[0].Page2[0].List6[0].Li1[0].Lista[0].Li3[0].DateField3[0]</t>
        </is>
      </c>
      <c r="F56" s="8" t="inlineStr">
        <is>
          <t>text</t>
        </is>
      </c>
      <c r="G56" s="8" t="inlineStr"/>
      <c r="H56" s="8" t="inlineStr"/>
      <c r="I56" s="8" t="inlineStr">
        <is>
          <t>508, 553, 575, 568</t>
        </is>
      </c>
      <c r="J56" s="8" t="inlineStr">
        <is>
          <t>court/clerk</t>
        </is>
      </c>
      <c r="K56" s="8" t="inlineStr"/>
      <c r="L56" s="8" t="inlineStr"/>
      <c r="M56" s="8" t="inlineStr"/>
      <c r="N56" s="8" t="inlineStr">
        <is>
          <t>Judge completes.</t>
        </is>
      </c>
      <c r="O56" s="8" t="inlineStr"/>
    </row>
    <row r="57">
      <c r="A57" s="8" t="n">
        <v>56</v>
      </c>
      <c r="B57" s="8" t="n">
        <v>2</v>
      </c>
      <c r="C57" s="8" t="inlineStr">
        <is>
          <t>6 (court)</t>
        </is>
      </c>
      <c r="D57" s="8" t="inlineStr">
        <is>
          <t>Description (include serial number, if known)</t>
        </is>
      </c>
      <c r="E57" s="8" t="inlineStr">
        <is>
          <t>DV-110[0].Page2[0].List6[0].Li1[0].Lista[0].Li4[0].TextField[0]</t>
        </is>
      </c>
      <c r="F57" s="8" t="inlineStr">
        <is>
          <t>text</t>
        </is>
      </c>
      <c r="G57" s="8" t="inlineStr"/>
      <c r="H57" s="8" t="inlineStr"/>
      <c r="I57" s="8" t="inlineStr">
        <is>
          <t>94, 569, 325, 584</t>
        </is>
      </c>
      <c r="J57" s="8" t="inlineStr">
        <is>
          <t>court/clerk</t>
        </is>
      </c>
      <c r="K57" s="8" t="inlineStr"/>
      <c r="L57" s="8" t="inlineStr"/>
      <c r="M57" s="8" t="inlineStr"/>
      <c r="N57" s="8" t="inlineStr">
        <is>
          <t>Judge completes.</t>
        </is>
      </c>
      <c r="O57" s="8" t="inlineStr"/>
    </row>
    <row r="58">
      <c r="A58" s="8" t="n">
        <v>57</v>
      </c>
      <c r="B58" s="8" t="n">
        <v>2</v>
      </c>
      <c r="C58" s="8" t="inlineStr">
        <is>
          <t>6 (court)</t>
        </is>
      </c>
      <c r="D58" s="8" t="inlineStr">
        <is>
          <t>Location, if known</t>
        </is>
      </c>
      <c r="E58" s="8" t="inlineStr">
        <is>
          <t>DV-110[0].Page2[0].List6[0].Li1[0].Lista[0].Li4[0].TextField1[0]</t>
        </is>
      </c>
      <c r="F58" s="8" t="inlineStr">
        <is>
          <t>text</t>
        </is>
      </c>
      <c r="G58" s="8" t="inlineStr"/>
      <c r="H58" s="8" t="inlineStr"/>
      <c r="I58" s="8" t="inlineStr">
        <is>
          <t>327, 569, 457, 584</t>
        </is>
      </c>
      <c r="J58" s="8" t="inlineStr">
        <is>
          <t>court/clerk</t>
        </is>
      </c>
      <c r="K58" s="8" t="inlineStr"/>
      <c r="L58" s="8" t="inlineStr"/>
      <c r="M58" s="8" t="inlineStr"/>
      <c r="N58" s="8" t="inlineStr">
        <is>
          <t>Judge completes.</t>
        </is>
      </c>
      <c r="O58" s="8" t="inlineStr"/>
    </row>
    <row r="59">
      <c r="A59" s="8" t="n">
        <v>58</v>
      </c>
      <c r="B59" s="8" t="n">
        <v>2</v>
      </c>
      <c r="C59" s="8" t="inlineStr">
        <is>
          <t>6 (court)</t>
        </is>
      </c>
      <c r="D59" s="8" t="inlineStr">
        <is>
          <t>Proof of compliance  received by the court</t>
        </is>
      </c>
      <c r="E59" s="8" t="inlineStr">
        <is>
          <t>DV-110[0].Page2[0].List6[0].Li1[0].Lista[0].Li4[0].Choice[0]</t>
        </is>
      </c>
      <c r="F59" s="8" t="inlineStr">
        <is>
          <t>checkbox</t>
        </is>
      </c>
      <c r="G59" s="8" t="inlineStr">
        <is>
          <t>1</t>
        </is>
      </c>
      <c r="H59" s="8" t="inlineStr"/>
      <c r="I59" s="8" t="inlineStr">
        <is>
          <t>465, 573, 474, 582</t>
        </is>
      </c>
      <c r="J59" s="8" t="inlineStr">
        <is>
          <t>court/clerk</t>
        </is>
      </c>
      <c r="K59" s="8" t="inlineStr"/>
      <c r="L59" s="8" t="inlineStr"/>
      <c r="M59" s="8" t="inlineStr"/>
      <c r="N59" s="8" t="inlineStr">
        <is>
          <t>Judge completes.</t>
        </is>
      </c>
      <c r="O59" s="8" t="inlineStr"/>
    </row>
    <row r="60">
      <c r="A60" s="8" t="n">
        <v>59</v>
      </c>
      <c r="B60" s="8" t="n">
        <v>2</v>
      </c>
      <c r="C60" s="8" t="inlineStr">
        <is>
          <t>6 (court)</t>
        </is>
      </c>
      <c r="D60" s="8" t="inlineStr">
        <is>
          <t>(date):</t>
        </is>
      </c>
      <c r="E60" s="8" t="inlineStr">
        <is>
          <t>DV-110[0].Page2[0].List6[0].Li1[0].Lista[0].Li4[0].DateField4[0]</t>
        </is>
      </c>
      <c r="F60" s="8" t="inlineStr">
        <is>
          <t>text</t>
        </is>
      </c>
      <c r="G60" s="8" t="inlineStr"/>
      <c r="H60" s="8" t="inlineStr"/>
      <c r="I60" s="8" t="inlineStr">
        <is>
          <t>508, 570, 575, 585</t>
        </is>
      </c>
      <c r="J60" s="8" t="inlineStr">
        <is>
          <t>court/clerk</t>
        </is>
      </c>
      <c r="K60" s="8" t="inlineStr"/>
      <c r="L60" s="8" t="inlineStr"/>
      <c r="M60" s="8" t="inlineStr"/>
      <c r="N60" s="8" t="inlineStr">
        <is>
          <t>Judge completes.</t>
        </is>
      </c>
      <c r="O60" s="8" t="inlineStr"/>
    </row>
    <row r="61">
      <c r="A61" s="8" t="n">
        <v>60</v>
      </c>
      <c r="B61" s="8" t="n">
        <v>2</v>
      </c>
      <c r="C61" s="8" t="inlineStr">
        <is>
          <t>6 (court)</t>
        </is>
      </c>
      <c r="D61" s="8" t="inlineStr">
        <is>
          <t>Description</t>
        </is>
      </c>
      <c r="E61" s="8" t="inlineStr">
        <is>
          <t>DV-110[0].Page2[0].List6[0].Li2[0].Listb[0].Li1[0].TextField[0]</t>
        </is>
      </c>
      <c r="F61" s="8" t="inlineStr">
        <is>
          <t>text</t>
        </is>
      </c>
      <c r="G61" s="8" t="inlineStr"/>
      <c r="H61" s="8" t="inlineStr"/>
      <c r="I61" s="8" t="inlineStr">
        <is>
          <t>94, 637, 260, 652</t>
        </is>
      </c>
      <c r="J61" s="8" t="inlineStr">
        <is>
          <t>court/clerk</t>
        </is>
      </c>
      <c r="K61" s="8" t="inlineStr"/>
      <c r="L61" s="8" t="inlineStr"/>
      <c r="M61" s="8" t="inlineStr"/>
      <c r="N61" s="8" t="inlineStr">
        <is>
          <t>Judge completes.</t>
        </is>
      </c>
      <c r="O61" s="8" t="inlineStr"/>
    </row>
    <row r="62">
      <c r="A62" s="8" t="n">
        <v>61</v>
      </c>
      <c r="B62" s="8" t="n">
        <v>2</v>
      </c>
      <c r="C62" s="8" t="inlineStr">
        <is>
          <t>6 (court)</t>
        </is>
      </c>
      <c r="D62" s="8" t="inlineStr">
        <is>
          <t>Amount, if known</t>
        </is>
      </c>
      <c r="E62" s="8" t="inlineStr">
        <is>
          <t>DV-110[0].Page2[0].List6[0].Li2[0].Listb[0].Li1[0].TextField1[0]</t>
        </is>
      </c>
      <c r="F62" s="8" t="inlineStr">
        <is>
          <t>text</t>
        </is>
      </c>
      <c r="G62" s="8" t="inlineStr"/>
      <c r="H62" s="8" t="inlineStr"/>
      <c r="I62" s="8" t="inlineStr">
        <is>
          <t>263, 637, 325, 652</t>
        </is>
      </c>
      <c r="J62" s="8" t="inlineStr">
        <is>
          <t>court/clerk</t>
        </is>
      </c>
      <c r="K62" s="8" t="inlineStr"/>
      <c r="L62" s="8" t="inlineStr"/>
      <c r="M62" s="8" t="inlineStr"/>
      <c r="N62" s="8" t="inlineStr">
        <is>
          <t>Judge completes.</t>
        </is>
      </c>
      <c r="O62" s="8" t="inlineStr"/>
    </row>
    <row r="63">
      <c r="A63" s="8" t="n">
        <v>62</v>
      </c>
      <c r="B63" s="8" t="n">
        <v>2</v>
      </c>
      <c r="C63" s="8" t="inlineStr">
        <is>
          <t>6 (court)</t>
        </is>
      </c>
      <c r="D63" s="8" t="inlineStr">
        <is>
          <t>Location, if known</t>
        </is>
      </c>
      <c r="E63" s="8" t="inlineStr">
        <is>
          <t>DV-110[0].Page2[0].List6[0].Li2[0].Listb[0].Li1[0].TextField2[0]</t>
        </is>
      </c>
      <c r="F63" s="8" t="inlineStr">
        <is>
          <t>text</t>
        </is>
      </c>
      <c r="G63" s="8" t="inlineStr"/>
      <c r="H63" s="8" t="inlineStr"/>
      <c r="I63" s="8" t="inlineStr">
        <is>
          <t>327, 637, 456, 652</t>
        </is>
      </c>
      <c r="J63" s="8" t="inlineStr">
        <is>
          <t>court/clerk</t>
        </is>
      </c>
      <c r="K63" s="8" t="inlineStr"/>
      <c r="L63" s="8" t="inlineStr"/>
      <c r="M63" s="8" t="inlineStr"/>
      <c r="N63" s="8" t="inlineStr">
        <is>
          <t>Judge completes.</t>
        </is>
      </c>
      <c r="O63" s="8" t="inlineStr"/>
    </row>
    <row r="64">
      <c r="A64" s="8" t="n">
        <v>63</v>
      </c>
      <c r="B64" s="8" t="n">
        <v>2</v>
      </c>
      <c r="C64" s="8" t="inlineStr">
        <is>
          <t>6 (court)</t>
        </is>
      </c>
      <c r="D64" s="8" t="inlineStr">
        <is>
          <t>Proof of compliance  received by the court</t>
        </is>
      </c>
      <c r="E64" s="8" t="inlineStr">
        <is>
          <t>DV-110[0].Page2[0].List6[0].Li2[0].Listb[0].Li1[0].Choice[0]</t>
        </is>
      </c>
      <c r="F64" s="8" t="inlineStr">
        <is>
          <t>checkbox</t>
        </is>
      </c>
      <c r="G64" s="8" t="inlineStr">
        <is>
          <t>1</t>
        </is>
      </c>
      <c r="H64" s="8" t="inlineStr"/>
      <c r="I64" s="8" t="inlineStr">
        <is>
          <t>465, 641, 474, 650</t>
        </is>
      </c>
      <c r="J64" s="8" t="inlineStr">
        <is>
          <t>court/clerk</t>
        </is>
      </c>
      <c r="K64" s="8" t="inlineStr"/>
      <c r="L64" s="8" t="inlineStr"/>
      <c r="M64" s="8" t="inlineStr"/>
      <c r="N64" s="8" t="inlineStr">
        <is>
          <t>Judge completes.</t>
        </is>
      </c>
      <c r="O64" s="8" t="inlineStr"/>
    </row>
    <row r="65">
      <c r="A65" s="8" t="n">
        <v>64</v>
      </c>
      <c r="B65" s="8" t="n">
        <v>2</v>
      </c>
      <c r="C65" s="8" t="inlineStr">
        <is>
          <t>6 (court)</t>
        </is>
      </c>
      <c r="D65" s="8" t="inlineStr">
        <is>
          <t>(date):</t>
        </is>
      </c>
      <c r="E65" s="8" t="inlineStr">
        <is>
          <t>DV-110[0].Page2[0].List6[0].Li2[0].Listb[0].Li1[0].DateField5[0]</t>
        </is>
      </c>
      <c r="F65" s="8" t="inlineStr">
        <is>
          <t>text</t>
        </is>
      </c>
      <c r="G65" s="8" t="inlineStr"/>
      <c r="H65" s="8" t="inlineStr"/>
      <c r="I65" s="8" t="inlineStr">
        <is>
          <t>508, 637, 575, 652</t>
        </is>
      </c>
      <c r="J65" s="8" t="inlineStr">
        <is>
          <t>court/clerk</t>
        </is>
      </c>
      <c r="K65" s="8" t="inlineStr"/>
      <c r="L65" s="8" t="inlineStr"/>
      <c r="M65" s="8" t="inlineStr"/>
      <c r="N65" s="8" t="inlineStr">
        <is>
          <t>Judge completes.</t>
        </is>
      </c>
      <c r="O65" s="8" t="inlineStr"/>
    </row>
    <row r="66">
      <c r="A66" s="8" t="n">
        <v>65</v>
      </c>
      <c r="B66" s="8" t="n">
        <v>2</v>
      </c>
      <c r="C66" s="8" t="inlineStr">
        <is>
          <t>6 (court)</t>
        </is>
      </c>
      <c r="D66" s="8" t="inlineStr">
        <is>
          <t>Description</t>
        </is>
      </c>
      <c r="E66" s="8" t="inlineStr">
        <is>
          <t>DV-110[0].Page2[0].List6[0].Li2[0].Listb[0].Li2[0].TextField[0]</t>
        </is>
      </c>
      <c r="F66" s="8" t="inlineStr">
        <is>
          <t>text</t>
        </is>
      </c>
      <c r="G66" s="8" t="inlineStr"/>
      <c r="H66" s="8" t="inlineStr"/>
      <c r="I66" s="8" t="inlineStr">
        <is>
          <t>94, 653, 260, 668</t>
        </is>
      </c>
      <c r="J66" s="8" t="inlineStr">
        <is>
          <t>court/clerk</t>
        </is>
      </c>
      <c r="K66" s="8" t="inlineStr"/>
      <c r="L66" s="8" t="inlineStr"/>
      <c r="M66" s="8" t="inlineStr"/>
      <c r="N66" s="8" t="inlineStr">
        <is>
          <t>Judge completes.</t>
        </is>
      </c>
      <c r="O66" s="8" t="inlineStr"/>
    </row>
    <row r="67">
      <c r="A67" s="8" t="n">
        <v>66</v>
      </c>
      <c r="B67" s="8" t="n">
        <v>2</v>
      </c>
      <c r="C67" s="8" t="inlineStr">
        <is>
          <t>6 (court)</t>
        </is>
      </c>
      <c r="D67" s="8" t="inlineStr">
        <is>
          <t>Amount, if known</t>
        </is>
      </c>
      <c r="E67" s="8" t="inlineStr">
        <is>
          <t>DV-110[0].Page2[0].List6[0].Li2[0].Listb[0].Li2[0].TextField1[0]</t>
        </is>
      </c>
      <c r="F67" s="8" t="inlineStr">
        <is>
          <t>text</t>
        </is>
      </c>
      <c r="G67" s="8" t="inlineStr"/>
      <c r="H67" s="8" t="inlineStr"/>
      <c r="I67" s="8" t="inlineStr">
        <is>
          <t>263, 653, 325, 668</t>
        </is>
      </c>
      <c r="J67" s="8" t="inlineStr">
        <is>
          <t>court/clerk</t>
        </is>
      </c>
      <c r="K67" s="8" t="inlineStr"/>
      <c r="L67" s="8" t="inlineStr"/>
      <c r="M67" s="8" t="inlineStr"/>
      <c r="N67" s="8" t="inlineStr">
        <is>
          <t>Judge completes.</t>
        </is>
      </c>
      <c r="O67" s="8" t="inlineStr"/>
    </row>
    <row r="68">
      <c r="A68" s="8" t="n">
        <v>67</v>
      </c>
      <c r="B68" s="8" t="n">
        <v>2</v>
      </c>
      <c r="C68" s="8" t="inlineStr">
        <is>
          <t>6 (court)</t>
        </is>
      </c>
      <c r="D68" s="8" t="inlineStr">
        <is>
          <t>Location, if known</t>
        </is>
      </c>
      <c r="E68" s="8" t="inlineStr">
        <is>
          <t>DV-110[0].Page2[0].List6[0].Li2[0].Listb[0].Li2[0].TextField2[0]</t>
        </is>
      </c>
      <c r="F68" s="8" t="inlineStr">
        <is>
          <t>text</t>
        </is>
      </c>
      <c r="G68" s="8" t="inlineStr"/>
      <c r="H68" s="8" t="inlineStr"/>
      <c r="I68" s="8" t="inlineStr">
        <is>
          <t>327, 653, 456, 668</t>
        </is>
      </c>
      <c r="J68" s="8" t="inlineStr">
        <is>
          <t>court/clerk</t>
        </is>
      </c>
      <c r="K68" s="8" t="inlineStr"/>
      <c r="L68" s="8" t="inlineStr"/>
      <c r="M68" s="8" t="inlineStr"/>
      <c r="N68" s="8" t="inlineStr">
        <is>
          <t>Judge completes.</t>
        </is>
      </c>
      <c r="O68" s="8" t="inlineStr"/>
    </row>
    <row r="69">
      <c r="A69" s="8" t="n">
        <v>68</v>
      </c>
      <c r="B69" s="8" t="n">
        <v>2</v>
      </c>
      <c r="C69" s="8" t="inlineStr">
        <is>
          <t>6 (court)</t>
        </is>
      </c>
      <c r="D69" s="8" t="inlineStr">
        <is>
          <t>Proof of compliance  received by the court</t>
        </is>
      </c>
      <c r="E69" s="8" t="inlineStr">
        <is>
          <t>DV-110[0].Page2[0].List6[0].Li2[0].Listb[0].Li2[0].Choice[0]</t>
        </is>
      </c>
      <c r="F69" s="8" t="inlineStr">
        <is>
          <t>checkbox</t>
        </is>
      </c>
      <c r="G69" s="8" t="inlineStr">
        <is>
          <t>1</t>
        </is>
      </c>
      <c r="H69" s="8" t="inlineStr"/>
      <c r="I69" s="8" t="inlineStr">
        <is>
          <t>465, 657, 474, 666</t>
        </is>
      </c>
      <c r="J69" s="8" t="inlineStr">
        <is>
          <t>court/clerk</t>
        </is>
      </c>
      <c r="K69" s="8" t="inlineStr"/>
      <c r="L69" s="8" t="inlineStr"/>
      <c r="M69" s="8" t="inlineStr"/>
      <c r="N69" s="8" t="inlineStr">
        <is>
          <t>Judge completes.</t>
        </is>
      </c>
      <c r="O69" s="8" t="inlineStr"/>
    </row>
    <row r="70">
      <c r="A70" s="8" t="n">
        <v>69</v>
      </c>
      <c r="B70" s="8" t="n">
        <v>2</v>
      </c>
      <c r="C70" s="8" t="inlineStr">
        <is>
          <t>6 (court)</t>
        </is>
      </c>
      <c r="D70" s="8" t="inlineStr">
        <is>
          <t>(date):</t>
        </is>
      </c>
      <c r="E70" s="8" t="inlineStr">
        <is>
          <t>DV-110[0].Page2[0].List6[0].Li2[0].Listb[0].Li2[0].DateField6[0]</t>
        </is>
      </c>
      <c r="F70" s="8" t="inlineStr">
        <is>
          <t>text</t>
        </is>
      </c>
      <c r="G70" s="8" t="inlineStr"/>
      <c r="H70" s="8" t="inlineStr"/>
      <c r="I70" s="8" t="inlineStr">
        <is>
          <t>508, 653, 575, 668</t>
        </is>
      </c>
      <c r="J70" s="8" t="inlineStr">
        <is>
          <t>court/clerk</t>
        </is>
      </c>
      <c r="K70" s="8" t="inlineStr"/>
      <c r="L70" s="8" t="inlineStr"/>
      <c r="M70" s="8" t="inlineStr"/>
      <c r="N70" s="8" t="inlineStr">
        <is>
          <t>Judge completes.</t>
        </is>
      </c>
      <c r="O70" s="8" t="inlineStr"/>
    </row>
    <row r="71">
      <c r="A71" s="8" t="n">
        <v>70</v>
      </c>
      <c r="B71" s="8" t="n">
        <v>3</v>
      </c>
      <c r="C71" s="8" t="inlineStr">
        <is>
          <t>7 (court)</t>
        </is>
      </c>
      <c r="D71" s="8" t="inlineStr">
        <is>
          <t>Court Hearing to Review Firearms (Guns), Firearm Parts, and Ammunition Compliance</t>
        </is>
      </c>
      <c r="E71" s="8" t="inlineStr">
        <is>
          <t>DV-110[0].Page3[0].List7[0].Li1[0].AGHagueCert_cb[0]</t>
        </is>
      </c>
      <c r="F71" s="8" t="inlineStr">
        <is>
          <t>checkbox</t>
        </is>
      </c>
      <c r="G71" s="8" t="inlineStr">
        <is>
          <t>1</t>
        </is>
      </c>
      <c r="H71" s="8" t="inlineStr"/>
      <c r="I71" s="8" t="inlineStr">
        <is>
          <t>63, 85, 72, 94</t>
        </is>
      </c>
      <c r="J71" s="8" t="inlineStr">
        <is>
          <t>court/clerk</t>
        </is>
      </c>
      <c r="K71" s="8" t="inlineStr"/>
      <c r="L71" s="8" t="inlineStr"/>
      <c r="M71" s="8" t="inlineStr"/>
      <c r="N71" s="8" t="inlineStr">
        <is>
          <t>Judge completes.</t>
        </is>
      </c>
      <c r="O71" s="8" t="inlineStr"/>
    </row>
    <row r="72">
      <c r="A72" s="8" t="n">
        <v>71</v>
      </c>
      <c r="B72" s="8" t="n">
        <v>3</v>
      </c>
      <c r="C72" s="8" t="inlineStr">
        <is>
          <t>7 (court)</t>
        </is>
      </c>
      <c r="D72" s="8" t="inlineStr">
        <is>
          <t>Date:</t>
        </is>
      </c>
      <c r="E72" s="8" t="inlineStr">
        <is>
          <t>DV-110[0].Page3[0].List7[0].Li1[0].HearingDate_dt[0]</t>
        </is>
      </c>
      <c r="F72" s="8" t="inlineStr">
        <is>
          <t>text</t>
        </is>
      </c>
      <c r="G72" s="8" t="inlineStr"/>
      <c r="H72" s="8" t="inlineStr"/>
      <c r="I72" s="8" t="inlineStr">
        <is>
          <t>132, 187, 220, 200</t>
        </is>
      </c>
      <c r="J72" s="8" t="inlineStr">
        <is>
          <t>court/clerk</t>
        </is>
      </c>
      <c r="K72" s="8" t="inlineStr"/>
      <c r="L72" s="8" t="inlineStr"/>
      <c r="M72" s="8" t="inlineStr"/>
      <c r="N72" s="8" t="inlineStr">
        <is>
          <t>Judge completes.</t>
        </is>
      </c>
      <c r="O72" s="8" t="inlineStr"/>
    </row>
    <row r="73">
      <c r="A73" s="8" t="n">
        <v>72</v>
      </c>
      <c r="B73" s="8" t="n">
        <v>3</v>
      </c>
      <c r="C73" s="8" t="inlineStr">
        <is>
          <t>7 (court)</t>
        </is>
      </c>
      <c r="D73" s="8" t="inlineStr">
        <is>
          <t>Dept.:</t>
        </is>
      </c>
      <c r="E73" s="8" t="inlineStr">
        <is>
          <t>DV-110[0].Page3[0].List7[0].Li1[0].HearingDept_ft[0]</t>
        </is>
      </c>
      <c r="F73" s="8" t="inlineStr">
        <is>
          <t>text</t>
        </is>
      </c>
      <c r="G73" s="8" t="inlineStr"/>
      <c r="H73" s="8" t="inlineStr"/>
      <c r="I73" s="8" t="inlineStr">
        <is>
          <t>254, 187, 329, 200</t>
        </is>
      </c>
      <c r="J73" s="8" t="inlineStr">
        <is>
          <t>court/clerk</t>
        </is>
      </c>
      <c r="K73" s="8" t="inlineStr"/>
      <c r="L73" s="8" t="inlineStr"/>
      <c r="M73" s="8" t="inlineStr"/>
      <c r="N73" s="8" t="inlineStr">
        <is>
          <t>Judge completes.</t>
        </is>
      </c>
      <c r="O73" s="8" t="inlineStr"/>
    </row>
    <row r="74">
      <c r="A74" s="8" t="n">
        <v>73</v>
      </c>
      <c r="B74" s="8" t="n">
        <v>3</v>
      </c>
      <c r="C74" s="8" t="inlineStr">
        <is>
          <t>7 (court)</t>
        </is>
      </c>
      <c r="D74" s="8" t="inlineStr">
        <is>
          <t>Time:</t>
        </is>
      </c>
      <c r="E74" s="8" t="inlineStr">
        <is>
          <t>DV-110[0].Page3[0].List7[0].Li1[0].HearingTime_dt[0]</t>
        </is>
      </c>
      <c r="F74" s="8" t="inlineStr">
        <is>
          <t>text</t>
        </is>
      </c>
      <c r="G74" s="8" t="inlineStr"/>
      <c r="H74" s="8" t="inlineStr"/>
      <c r="I74" s="8" t="inlineStr">
        <is>
          <t>135, 202, 221, 215</t>
        </is>
      </c>
      <c r="J74" s="8" t="inlineStr">
        <is>
          <t>court/clerk</t>
        </is>
      </c>
      <c r="K74" s="8" t="inlineStr"/>
      <c r="L74" s="8" t="inlineStr"/>
      <c r="M74" s="8" t="inlineStr"/>
      <c r="N74" s="8" t="inlineStr">
        <is>
          <t>Judge completes.</t>
        </is>
      </c>
      <c r="O74" s="8" t="inlineStr"/>
    </row>
    <row r="75">
      <c r="A75" s="8" t="n">
        <v>74</v>
      </c>
      <c r="B75" s="8" t="n">
        <v>3</v>
      </c>
      <c r="C75" s="8" t="inlineStr">
        <is>
          <t>7 (court)</t>
        </is>
      </c>
      <c r="D75" s="8" t="inlineStr">
        <is>
          <t>Room:</t>
        </is>
      </c>
      <c r="E75" s="8" t="inlineStr">
        <is>
          <t>DV-110[0].Page3[0].List7[0].Li1[0].HearingRm_ft[0]</t>
        </is>
      </c>
      <c r="F75" s="8" t="inlineStr">
        <is>
          <t>text</t>
        </is>
      </c>
      <c r="G75" s="8" t="inlineStr"/>
      <c r="H75" s="8" t="inlineStr"/>
      <c r="I75" s="8" t="inlineStr">
        <is>
          <t>258, 202, 329, 215</t>
        </is>
      </c>
      <c r="J75" s="8" t="inlineStr">
        <is>
          <t>court/clerk</t>
        </is>
      </c>
      <c r="K75" s="8" t="inlineStr"/>
      <c r="L75" s="8" t="inlineStr"/>
      <c r="M75" s="8" t="inlineStr"/>
      <c r="N75" s="8" t="inlineStr">
        <is>
          <t>Judge completes.</t>
        </is>
      </c>
      <c r="O75" s="8" t="inlineStr"/>
    </row>
    <row r="76">
      <c r="A76" s="8" t="n">
        <v>75</v>
      </c>
      <c r="B76" s="8" t="n">
        <v>3</v>
      </c>
      <c r="C76" s="8" t="inlineStr">
        <is>
          <t>7 (court)</t>
        </is>
      </c>
      <c r="D76" s="8" t="inlineStr">
        <is>
          <t>Name and address of court, if different than court address listed on page 1</t>
        </is>
      </c>
      <c r="E76" s="8" t="inlineStr">
        <is>
          <t>DV-110[0].Page3[0].List7[0].Li1[0].HearingCourt_ft[0]</t>
        </is>
      </c>
      <c r="F76" s="8" t="inlineStr">
        <is>
          <t>text</t>
        </is>
      </c>
      <c r="G76" s="8" t="inlineStr"/>
      <c r="H76" s="8" t="inlineStr"/>
      <c r="I76" s="8" t="inlineStr">
        <is>
          <t>334, 188, 574, 232</t>
        </is>
      </c>
      <c r="J76" s="8" t="inlineStr">
        <is>
          <t>court/clerk</t>
        </is>
      </c>
      <c r="K76" s="8" t="inlineStr"/>
      <c r="L76" s="8" t="inlineStr"/>
      <c r="M76" s="8" t="inlineStr"/>
      <c r="N76" s="8" t="inlineStr">
        <is>
          <t>Judge completes.</t>
        </is>
      </c>
      <c r="O76" s="8" t="inlineStr"/>
    </row>
    <row r="77">
      <c r="A77" s="8" t="n">
        <v>76</v>
      </c>
      <c r="B77" s="8" t="n">
        <v>3</v>
      </c>
      <c r="C77" s="8" t="inlineStr">
        <is>
          <t>9 (court)</t>
        </is>
      </c>
      <c r="D77" s="8" t="inlineStr">
        <is>
          <t>If checked, this order was not granted because the judge found good cause not to make the order.</t>
        </is>
      </c>
      <c r="E77" s="8" t="inlineStr">
        <is>
          <t>DV-110[0].Page3[0].List9set[0].List9[0].Li1[0].AGHagueCert_cb[0]</t>
        </is>
      </c>
      <c r="F77" s="8" t="inlineStr">
        <is>
          <t>checkbox</t>
        </is>
      </c>
      <c r="G77" s="8" t="inlineStr">
        <is>
          <t>1</t>
        </is>
      </c>
      <c r="H77" s="8" t="inlineStr"/>
      <c r="I77" s="8" t="inlineStr">
        <is>
          <t>63, 377, 72, 386</t>
        </is>
      </c>
      <c r="J77" s="8" t="inlineStr">
        <is>
          <t>court/clerk</t>
        </is>
      </c>
      <c r="K77" s="8" t="inlineStr"/>
      <c r="L77" s="8" t="inlineStr"/>
      <c r="M77" s="8" t="inlineStr"/>
      <c r="N77" s="8" t="inlineStr">
        <is>
          <t>Judge completes.</t>
        </is>
      </c>
      <c r="O77" s="8" t="inlineStr"/>
    </row>
    <row r="78">
      <c r="A78" s="8" t="n">
        <v>77</v>
      </c>
      <c r="B78" s="8" t="n">
        <v>3</v>
      </c>
      <c r="C78" s="8" t="inlineStr">
        <is>
          <t>10 (court)</t>
        </is>
      </c>
      <c r="D78" s="8" t="inlineStr">
        <is>
          <t>Denied until the hearing</t>
        </is>
      </c>
      <c r="E78" s="8" t="inlineStr">
        <is>
          <t>DV-110[0].Page3[0].List10[0].item7_cb[0]</t>
        </is>
      </c>
      <c r="F78" s="8" t="inlineStr">
        <is>
          <t>checkbox</t>
        </is>
      </c>
      <c r="G78" s="8" t="inlineStr">
        <is>
          <t>21</t>
        </is>
      </c>
      <c r="H78" s="8" t="inlineStr"/>
      <c r="I78" s="8" t="inlineStr">
        <is>
          <t>289, 431, 298, 440</t>
        </is>
      </c>
      <c r="J78" s="8" t="inlineStr">
        <is>
          <t>court/clerk</t>
        </is>
      </c>
      <c r="K78" s="8" t="inlineStr"/>
      <c r="L78" s="8" t="inlineStr"/>
      <c r="M78" s="8" t="inlineStr"/>
      <c r="N78" s="8" t="inlineStr">
        <is>
          <t>Judge completes.</t>
        </is>
      </c>
      <c r="O78" s="8" t="inlineStr"/>
    </row>
    <row r="79">
      <c r="A79" s="8" t="n">
        <v>78</v>
      </c>
      <c r="B79" s="8" t="n">
        <v>3</v>
      </c>
      <c r="C79" s="8" t="inlineStr">
        <is>
          <t>10 (court)</t>
        </is>
      </c>
      <c r="D79" s="8" t="inlineStr">
        <is>
          <t>Not requested</t>
        </is>
      </c>
      <c r="E79" s="8" t="inlineStr">
        <is>
          <t>DV-110[0].Page3[0].List10[0].item7_cb[1]</t>
        </is>
      </c>
      <c r="F79" s="8" t="inlineStr">
        <is>
          <t>checkbox</t>
        </is>
      </c>
      <c r="G79" s="8" t="inlineStr">
        <is>
          <t>5</t>
        </is>
      </c>
      <c r="H79" s="8" t="inlineStr"/>
      <c r="I79" s="8" t="inlineStr">
        <is>
          <t>196, 431, 205, 440</t>
        </is>
      </c>
      <c r="J79" s="8" t="inlineStr">
        <is>
          <t>court/clerk</t>
        </is>
      </c>
      <c r="K79" s="8" t="inlineStr"/>
      <c r="L79" s="8" t="inlineStr"/>
      <c r="M79" s="8" t="inlineStr"/>
      <c r="N79" s="8" t="inlineStr">
        <is>
          <t>Judge completes.</t>
        </is>
      </c>
      <c r="O79" s="8" t="inlineStr"/>
    </row>
    <row r="80">
      <c r="A80" s="8" t="n">
        <v>79</v>
      </c>
      <c r="B80" s="8" t="n">
        <v>3</v>
      </c>
      <c r="C80" s="8" t="inlineStr">
        <is>
          <t>10 (court)</t>
        </is>
      </c>
      <c r="D80" s="8" t="inlineStr">
        <is>
          <t>Granted as follows:</t>
        </is>
      </c>
      <c r="E80" s="8" t="inlineStr">
        <is>
          <t>DV-110[0].Page3[0].List10[0].item7_cb[2]</t>
        </is>
      </c>
      <c r="F80" s="8" t="inlineStr">
        <is>
          <t>checkbox</t>
        </is>
      </c>
      <c r="G80" s="8" t="inlineStr">
        <is>
          <t>33</t>
        </is>
      </c>
      <c r="H80" s="8" t="inlineStr"/>
      <c r="I80" s="8" t="inlineStr">
        <is>
          <t>432, 431, 441, 440</t>
        </is>
      </c>
      <c r="J80" s="8" t="inlineStr">
        <is>
          <t>court/clerk</t>
        </is>
      </c>
      <c r="K80" s="8" t="inlineStr"/>
      <c r="L80" s="8" t="inlineStr"/>
      <c r="M80" s="8" t="inlineStr"/>
      <c r="N80" s="8" t="inlineStr">
        <is>
          <t>Judge completes.</t>
        </is>
      </c>
      <c r="O80" s="8" t="inlineStr"/>
    </row>
    <row r="81">
      <c r="A81" s="5" t="n">
        <v>80</v>
      </c>
      <c r="B81" s="5" t="n">
        <v>3</v>
      </c>
      <c r="C81" s="5" t="inlineStr">
        <is>
          <t>Caption</t>
        </is>
      </c>
      <c r="D81" s="5" t="inlineStr">
        <is>
          <t>Case Number:</t>
        </is>
      </c>
      <c r="E81" s="5" t="inlineStr">
        <is>
          <t>DV-110[0].Page3[0].PxCaption[0].CaseNumber[0]</t>
        </is>
      </c>
      <c r="F81" s="5" t="inlineStr">
        <is>
          <t>text</t>
        </is>
      </c>
      <c r="G81" s="5" t="inlineStr"/>
      <c r="H81" s="5" t="inlineStr"/>
      <c r="I81" s="5" t="inlineStr">
        <is>
          <t>398, 48, 573, 63</t>
        </is>
      </c>
      <c r="J81" s="5" t="inlineStr">
        <is>
          <t>question</t>
        </is>
      </c>
      <c r="K81" s="5" t="inlineStr">
        <is>
          <t>S3,S4</t>
        </is>
      </c>
      <c r="L81" s="5">
        <f> S4</f>
        <v/>
      </c>
      <c r="M81" s="5" t="inlineStr">
        <is>
          <t>S3 == "update"; otherwise blank for clerk</t>
        </is>
      </c>
      <c r="N81" s="5" t="inlineStr"/>
      <c r="O81" s="5" t="inlineStr"/>
    </row>
    <row r="82">
      <c r="A82" s="8" t="n">
        <v>81</v>
      </c>
      <c r="B82" s="8" t="n">
        <v>4</v>
      </c>
      <c r="C82" s="8" t="inlineStr">
        <is>
          <t>11 (court)</t>
        </is>
      </c>
      <c r="D82" s="8" t="inlineStr">
        <is>
          <t>Not requested</t>
        </is>
      </c>
      <c r="E82" s="8" t="inlineStr">
        <is>
          <t>DV-110[0].Page4[0].List11[0].item8_cb[0]</t>
        </is>
      </c>
      <c r="F82" s="8" t="inlineStr">
        <is>
          <t>checkbox</t>
        </is>
      </c>
      <c r="G82" s="8" t="inlineStr">
        <is>
          <t>5</t>
        </is>
      </c>
      <c r="H82" s="8" t="inlineStr"/>
      <c r="I82" s="8" t="inlineStr">
        <is>
          <t>195, 89, 204, 98</t>
        </is>
      </c>
      <c r="J82" s="8" t="inlineStr">
        <is>
          <t>court/clerk</t>
        </is>
      </c>
      <c r="K82" s="8" t="inlineStr"/>
      <c r="L82" s="8" t="inlineStr"/>
      <c r="M82" s="8" t="inlineStr"/>
      <c r="N82" s="8" t="inlineStr">
        <is>
          <t>Judge completes.</t>
        </is>
      </c>
      <c r="O82" s="8" t="inlineStr"/>
    </row>
    <row r="83">
      <c r="A83" s="8" t="n">
        <v>82</v>
      </c>
      <c r="B83" s="8" t="n">
        <v>4</v>
      </c>
      <c r="C83" s="8" t="inlineStr">
        <is>
          <t>11 (court)</t>
        </is>
      </c>
      <c r="D83" s="8" t="inlineStr">
        <is>
          <t>Denied until the hearing</t>
        </is>
      </c>
      <c r="E83" s="8" t="inlineStr">
        <is>
          <t>DV-110[0].Page4[0].List11[0].item8_cb[1]</t>
        </is>
      </c>
      <c r="F83" s="8" t="inlineStr">
        <is>
          <t>checkbox</t>
        </is>
      </c>
      <c r="G83" s="8" t="inlineStr">
        <is>
          <t>12</t>
        </is>
      </c>
      <c r="H83" s="8" t="inlineStr"/>
      <c r="I83" s="8" t="inlineStr">
        <is>
          <t>288, 89, 297, 98</t>
        </is>
      </c>
      <c r="J83" s="8" t="inlineStr">
        <is>
          <t>court/clerk</t>
        </is>
      </c>
      <c r="K83" s="8" t="inlineStr"/>
      <c r="L83" s="8" t="inlineStr"/>
      <c r="M83" s="8" t="inlineStr"/>
      <c r="N83" s="8" t="inlineStr">
        <is>
          <t>Judge completes.</t>
        </is>
      </c>
      <c r="O83" s="8" t="inlineStr"/>
    </row>
    <row r="84">
      <c r="A84" s="8" t="n">
        <v>83</v>
      </c>
      <c r="B84" s="8" t="n">
        <v>4</v>
      </c>
      <c r="C84" s="8" t="inlineStr">
        <is>
          <t>11 (court)</t>
        </is>
      </c>
      <c r="D84" s="8" t="inlineStr">
        <is>
          <t>Granted as follows:</t>
        </is>
      </c>
      <c r="E84" s="8" t="inlineStr">
        <is>
          <t>DV-110[0].Page4[0].List11[0].item8_cb[2]</t>
        </is>
      </c>
      <c r="F84" s="8" t="inlineStr">
        <is>
          <t>checkbox</t>
        </is>
      </c>
      <c r="G84" s="8" t="inlineStr">
        <is>
          <t>23</t>
        </is>
      </c>
      <c r="H84" s="8" t="inlineStr"/>
      <c r="I84" s="8" t="inlineStr">
        <is>
          <t>431, 89, 440, 98</t>
        </is>
      </c>
      <c r="J84" s="8" t="inlineStr">
        <is>
          <t>court/clerk</t>
        </is>
      </c>
      <c r="K84" s="8" t="inlineStr"/>
      <c r="L84" s="8" t="inlineStr"/>
      <c r="M84" s="8" t="inlineStr"/>
      <c r="N84" s="8" t="inlineStr">
        <is>
          <t>Judge completes.</t>
        </is>
      </c>
      <c r="O84" s="8" t="inlineStr"/>
    </row>
    <row r="85">
      <c r="A85" s="8" t="n">
        <v>84</v>
      </c>
      <c r="B85" s="8" t="n">
        <v>4</v>
      </c>
      <c r="C85" s="8" t="inlineStr">
        <is>
          <t>11 (court)</t>
        </is>
      </c>
      <c r="D85" s="8" t="inlineStr">
        <is>
          <t>the person in 1</t>
        </is>
      </c>
      <c r="E85" s="8" t="inlineStr">
        <is>
          <t>DV-110[0].Page4[0].List11[0].Li1[0].CheckBoxRightCaption[0]</t>
        </is>
      </c>
      <c r="F85" s="8" t="inlineStr">
        <is>
          <t>checkbox</t>
        </is>
      </c>
      <c r="G85" s="8" t="inlineStr">
        <is>
          <t>1</t>
        </is>
      </c>
      <c r="H85" s="8" t="inlineStr"/>
      <c r="I85" s="8" t="inlineStr">
        <is>
          <t>186, 110, 195, 119</t>
        </is>
      </c>
      <c r="J85" s="8" t="inlineStr">
        <is>
          <t>court/clerk</t>
        </is>
      </c>
      <c r="K85" s="8" t="inlineStr"/>
      <c r="L85" s="8" t="inlineStr"/>
      <c r="M85" s="8" t="inlineStr"/>
      <c r="N85" s="8" t="inlineStr">
        <is>
          <t>Judge completes.</t>
        </is>
      </c>
      <c r="O85" s="8" t="inlineStr"/>
    </row>
    <row r="86">
      <c r="A86" s="8" t="n">
        <v>85</v>
      </c>
      <c r="B86" s="8" t="n">
        <v>4</v>
      </c>
      <c r="C86" s="8" t="inlineStr">
        <is>
          <t>11 (court)</t>
        </is>
      </c>
      <c r="D86" s="8" t="inlineStr">
        <is>
          <t>the persons in 3</t>
        </is>
      </c>
      <c r="E86" s="8" t="inlineStr">
        <is>
          <t>DV-110[0].Page4[0].List11[0].Li1[0].AGHagueCert_cb[0]</t>
        </is>
      </c>
      <c r="F86" s="8" t="inlineStr">
        <is>
          <t>checkbox</t>
        </is>
      </c>
      <c r="G86" s="8" t="inlineStr">
        <is>
          <t>1</t>
        </is>
      </c>
      <c r="H86" s="8" t="inlineStr"/>
      <c r="I86" s="8" t="inlineStr">
        <is>
          <t>288, 111, 297, 120</t>
        </is>
      </c>
      <c r="J86" s="8" t="inlineStr">
        <is>
          <t>court/clerk</t>
        </is>
      </c>
      <c r="K86" s="8" t="inlineStr"/>
      <c r="L86" s="8" t="inlineStr"/>
      <c r="M86" s="8" t="inlineStr"/>
      <c r="N86" s="8" t="inlineStr">
        <is>
          <t>Judge completes.</t>
        </is>
      </c>
      <c r="O86" s="8" t="inlineStr"/>
    </row>
    <row r="87">
      <c r="A87" s="8" t="n">
        <v>86</v>
      </c>
      <c r="B87" s="8" t="n">
        <v>4</v>
      </c>
      <c r="C87" s="8" t="inlineStr">
        <is>
          <t>11 (court)</t>
        </is>
      </c>
      <c r="D87" s="8" t="inlineStr">
        <is>
          <t>Exception to 11a:</t>
        </is>
      </c>
      <c r="E87" s="8" t="inlineStr">
        <is>
          <t>DV-110[0].Page4[0].List11[0].Li2[0].AGHagueCert_cb1[0]</t>
        </is>
      </c>
      <c r="F87" s="8" t="inlineStr">
        <is>
          <t>checkbox</t>
        </is>
      </c>
      <c r="G87" s="8" t="inlineStr">
        <is>
          <t>1</t>
        </is>
      </c>
      <c r="H87" s="8" t="inlineStr"/>
      <c r="I87" s="8" t="inlineStr">
        <is>
          <t>78, 149, 87, 158</t>
        </is>
      </c>
      <c r="J87" s="8" t="inlineStr">
        <is>
          <t>court/clerk</t>
        </is>
      </c>
      <c r="K87" s="8" t="inlineStr"/>
      <c r="L87" s="8" t="inlineStr"/>
      <c r="M87" s="8" t="inlineStr"/>
      <c r="N87" s="8" t="inlineStr">
        <is>
          <t>Judge completes.</t>
        </is>
      </c>
      <c r="O87" s="8" t="inlineStr"/>
    </row>
    <row r="88">
      <c r="A88" s="8" t="n">
        <v>87</v>
      </c>
      <c r="B88" s="8" t="n">
        <v>4</v>
      </c>
      <c r="C88" s="8" t="inlineStr">
        <is>
          <t>11 (court)</t>
        </is>
      </c>
      <c r="D88" s="8" t="inlineStr">
        <is>
          <t>You may have brief and peaceful contact with the person in item 1 only to communicate about your children for court-ordered visits.</t>
        </is>
      </c>
      <c r="E88" s="8" t="inlineStr">
        <is>
          <t>DV-110[0].Page4[0].List11[0].Li2[0].List[0].Li1[0].MultilineCheckBox[0]</t>
        </is>
      </c>
      <c r="F88" s="8" t="inlineStr">
        <is>
          <t>checkbox</t>
        </is>
      </c>
      <c r="G88" s="8" t="inlineStr">
        <is>
          <t>1</t>
        </is>
      </c>
      <c r="H88" s="8" t="inlineStr"/>
      <c r="I88" s="8" t="inlineStr">
        <is>
          <t>98, 167, 107, 176</t>
        </is>
      </c>
      <c r="J88" s="8" t="inlineStr">
        <is>
          <t>court/clerk</t>
        </is>
      </c>
      <c r="K88" s="8" t="inlineStr"/>
      <c r="L88" s="8" t="inlineStr"/>
      <c r="M88" s="8" t="inlineStr"/>
      <c r="N88" s="8" t="inlineStr">
        <is>
          <t>Judge completes.</t>
        </is>
      </c>
      <c r="O88" s="8" t="inlineStr"/>
    </row>
    <row r="89">
      <c r="A89" s="8" t="n">
        <v>88</v>
      </c>
      <c r="B89" s="8" t="n">
        <v>4</v>
      </c>
      <c r="C89" s="8" t="inlineStr">
        <is>
          <t>11 (court)</t>
        </is>
      </c>
      <c r="D89" s="8" t="inlineStr">
        <is>
          <t>You may have contact with your children only during court-ordered contact or visits.</t>
        </is>
      </c>
      <c r="E89" s="8" t="inlineStr">
        <is>
          <t>DV-110[0].Page4[0].List11[0].Li2[0].List[0].Li2[0].AGHagueCert_cb[0]</t>
        </is>
      </c>
      <c r="F89" s="8" t="inlineStr">
        <is>
          <t>checkbox</t>
        </is>
      </c>
      <c r="G89" s="8" t="inlineStr">
        <is>
          <t>1</t>
        </is>
      </c>
      <c r="H89" s="8" t="inlineStr"/>
      <c r="I89" s="8" t="inlineStr">
        <is>
          <t>98, 199, 107, 208</t>
        </is>
      </c>
      <c r="J89" s="8" t="inlineStr">
        <is>
          <t>court/clerk</t>
        </is>
      </c>
      <c r="K89" s="8" t="inlineStr"/>
      <c r="L89" s="8" t="inlineStr"/>
      <c r="M89" s="8" t="inlineStr"/>
      <c r="N89" s="8" t="inlineStr">
        <is>
          <t>Judge completes.</t>
        </is>
      </c>
      <c r="O89" s="8" t="inlineStr"/>
    </row>
    <row r="90">
      <c r="A90" s="8" t="n">
        <v>89</v>
      </c>
      <c r="B90" s="8" t="n">
        <v>4</v>
      </c>
      <c r="C90" s="8" t="inlineStr">
        <is>
          <t>11 (court)</t>
        </is>
      </c>
      <c r="D90" s="8" t="inlineStr">
        <is>
          <t>Other (explain):</t>
        </is>
      </c>
      <c r="E90" s="8" t="inlineStr">
        <is>
          <t>DV-110[0].Page4[0].List11[0].Li2[0].List[0].Li3[0].AGHagueCert_cb[0]</t>
        </is>
      </c>
      <c r="F90" s="8" t="inlineStr">
        <is>
          <t>checkbox</t>
        </is>
      </c>
      <c r="G90" s="8" t="inlineStr">
        <is>
          <t>1</t>
        </is>
      </c>
      <c r="H90" s="8" t="inlineStr"/>
      <c r="I90" s="8" t="inlineStr">
        <is>
          <t>98, 221, 107, 230</t>
        </is>
      </c>
      <c r="J90" s="8" t="inlineStr">
        <is>
          <t>court/clerk</t>
        </is>
      </c>
      <c r="K90" s="8" t="inlineStr"/>
      <c r="L90" s="8" t="inlineStr"/>
      <c r="M90" s="8" t="inlineStr"/>
      <c r="N90" s="8" t="inlineStr">
        <is>
          <t>Judge completes.</t>
        </is>
      </c>
      <c r="O90" s="8" t="inlineStr"/>
    </row>
    <row r="91">
      <c r="A91" s="8" t="n">
        <v>90</v>
      </c>
      <c r="B91" s="8" t="n">
        <v>4</v>
      </c>
      <c r="C91" s="8" t="inlineStr">
        <is>
          <t>11 (court)</t>
        </is>
      </c>
      <c r="D91" s="8" t="inlineStr">
        <is>
          <t>Explain other</t>
        </is>
      </c>
      <c r="E91" s="8" t="inlineStr">
        <is>
          <t>DV-110[0].Page4[0].List11[0].Li2[0].List[0].Li3[0].TextField2[0]</t>
        </is>
      </c>
      <c r="F91" s="8" t="inlineStr">
        <is>
          <t>text</t>
        </is>
      </c>
      <c r="G91" s="8" t="inlineStr"/>
      <c r="H91" s="8" t="inlineStr"/>
      <c r="I91" s="8" t="inlineStr">
        <is>
          <t>189, 220, 575, 232</t>
        </is>
      </c>
      <c r="J91" s="8" t="inlineStr">
        <is>
          <t>court/clerk</t>
        </is>
      </c>
      <c r="K91" s="8" t="inlineStr"/>
      <c r="L91" s="8" t="inlineStr"/>
      <c r="M91" s="8" t="inlineStr"/>
      <c r="N91" s="8" t="inlineStr">
        <is>
          <t>Judge completes.</t>
        </is>
      </c>
      <c r="O91" s="8" t="inlineStr"/>
    </row>
    <row r="92">
      <c r="A92" s="8" t="n">
        <v>91</v>
      </c>
      <c r="B92" s="8" t="n">
        <v>4</v>
      </c>
      <c r="C92" s="8" t="inlineStr">
        <is>
          <t>12 (court)</t>
        </is>
      </c>
      <c r="D92" s="8" t="inlineStr">
        <is>
          <t>Not requested</t>
        </is>
      </c>
      <c r="E92" s="8" t="inlineStr">
        <is>
          <t>DV-110[0].Page4[0].List12[0].item9_cb[0]</t>
        </is>
      </c>
      <c r="F92" s="8" t="inlineStr">
        <is>
          <t>checkbox</t>
        </is>
      </c>
      <c r="G92" s="8" t="inlineStr">
        <is>
          <t>5</t>
        </is>
      </c>
      <c r="H92" s="8" t="inlineStr"/>
      <c r="I92" s="8" t="inlineStr">
        <is>
          <t>187, 299, 196, 308</t>
        </is>
      </c>
      <c r="J92" s="8" t="inlineStr">
        <is>
          <t>court/clerk</t>
        </is>
      </c>
      <c r="K92" s="8" t="inlineStr"/>
      <c r="L92" s="8" t="inlineStr"/>
      <c r="M92" s="8" t="inlineStr"/>
      <c r="N92" s="8" t="inlineStr">
        <is>
          <t>Judge completes.</t>
        </is>
      </c>
      <c r="O92" s="8" t="inlineStr"/>
    </row>
    <row r="93">
      <c r="A93" s="8" t="n">
        <v>92</v>
      </c>
      <c r="B93" s="8" t="n">
        <v>4</v>
      </c>
      <c r="C93" s="8" t="inlineStr">
        <is>
          <t>12 (court)</t>
        </is>
      </c>
      <c r="D93" s="8" t="inlineStr">
        <is>
          <t>Denied until the hearing</t>
        </is>
      </c>
      <c r="E93" s="8" t="inlineStr">
        <is>
          <t>DV-110[0].Page4[0].List12[0].item9_cb[1]</t>
        </is>
      </c>
      <c r="F93" s="8" t="inlineStr">
        <is>
          <t>checkbox</t>
        </is>
      </c>
      <c r="G93" s="8" t="inlineStr">
        <is>
          <t>12</t>
        </is>
      </c>
      <c r="H93" s="8" t="inlineStr"/>
      <c r="I93" s="8" t="inlineStr">
        <is>
          <t>281, 299, 290, 308</t>
        </is>
      </c>
      <c r="J93" s="8" t="inlineStr">
        <is>
          <t>court/clerk</t>
        </is>
      </c>
      <c r="K93" s="8" t="inlineStr"/>
      <c r="L93" s="8" t="inlineStr"/>
      <c r="M93" s="8" t="inlineStr"/>
      <c r="N93" s="8" t="inlineStr">
        <is>
          <t>Judge completes.</t>
        </is>
      </c>
      <c r="O93" s="8" t="inlineStr"/>
    </row>
    <row r="94">
      <c r="A94" s="8" t="n">
        <v>93</v>
      </c>
      <c r="B94" s="8" t="n">
        <v>4</v>
      </c>
      <c r="C94" s="8" t="inlineStr">
        <is>
          <t>12 (court)</t>
        </is>
      </c>
      <c r="D94" s="8" t="inlineStr">
        <is>
          <t>Granted as follows:</t>
        </is>
      </c>
      <c r="E94" s="8" t="inlineStr">
        <is>
          <t>DV-110[0].Page4[0].List12[0].item9_cb[2]</t>
        </is>
      </c>
      <c r="F94" s="8" t="inlineStr">
        <is>
          <t>checkbox</t>
        </is>
      </c>
      <c r="G94" s="8" t="inlineStr">
        <is>
          <t>23</t>
        </is>
      </c>
      <c r="H94" s="8" t="inlineStr"/>
      <c r="I94" s="8" t="inlineStr">
        <is>
          <t>423, 299, 432, 308</t>
        </is>
      </c>
      <c r="J94" s="8" t="inlineStr">
        <is>
          <t>court/clerk</t>
        </is>
      </c>
      <c r="K94" s="8" t="inlineStr"/>
      <c r="L94" s="8" t="inlineStr"/>
      <c r="M94" s="8" t="inlineStr"/>
      <c r="N94" s="8" t="inlineStr">
        <is>
          <t>Judge completes.</t>
        </is>
      </c>
      <c r="O94" s="8" t="inlineStr"/>
    </row>
    <row r="95">
      <c r="A95" s="8" t="n">
        <v>94</v>
      </c>
      <c r="B95" s="8" t="n">
        <v>4</v>
      </c>
      <c r="C95" s="8" t="inlineStr">
        <is>
          <t>12 (court)</t>
        </is>
      </c>
      <c r="D95" s="8" t="inlineStr">
        <is>
          <t>You must stay at least (specify):</t>
        </is>
      </c>
      <c r="E95" s="8" t="inlineStr">
        <is>
          <t>DV-110[0].Page4[0].List12[0].Li1[0].T161[0]</t>
        </is>
      </c>
      <c r="F95" s="8" t="inlineStr">
        <is>
          <t>text</t>
        </is>
      </c>
      <c r="G95" s="8" t="inlineStr"/>
      <c r="H95" s="8" t="inlineStr"/>
      <c r="I95" s="8" t="inlineStr">
        <is>
          <t>225, 318, 274, 329</t>
        </is>
      </c>
      <c r="J95" s="8" t="inlineStr">
        <is>
          <t>court/clerk</t>
        </is>
      </c>
      <c r="K95" s="8" t="inlineStr"/>
      <c r="L95" s="8" t="inlineStr"/>
      <c r="M95" s="8" t="inlineStr"/>
      <c r="N95" s="8" t="inlineStr">
        <is>
          <t>Judge completes.</t>
        </is>
      </c>
      <c r="O95" s="8" t="inlineStr"/>
    </row>
    <row r="96">
      <c r="A96" s="8" t="n">
        <v>95</v>
      </c>
      <c r="B96" s="8" t="n">
        <v>4</v>
      </c>
      <c r="C96" s="8" t="inlineStr">
        <is>
          <t>12 (court)</t>
        </is>
      </c>
      <c r="D96" s="8" t="inlineStr">
        <is>
          <t>Person in 1.</t>
        </is>
      </c>
      <c r="E96" s="8" t="inlineStr">
        <is>
          <t>DV-110[0].Page4[0].List12[0].Li1[0].FieldName_cb1[0]</t>
        </is>
      </c>
      <c r="F96" s="8" t="inlineStr">
        <is>
          <t>checkbox</t>
        </is>
      </c>
      <c r="G96" s="8" t="inlineStr">
        <is>
          <t>1</t>
        </is>
      </c>
      <c r="H96" s="8" t="inlineStr"/>
      <c r="I96" s="8" t="inlineStr">
        <is>
          <t>78, 334, 87, 343</t>
        </is>
      </c>
      <c r="J96" s="8" t="inlineStr">
        <is>
          <t>court/clerk</t>
        </is>
      </c>
      <c r="K96" s="8" t="inlineStr"/>
      <c r="L96" s="8" t="inlineStr"/>
      <c r="M96" s="8" t="inlineStr"/>
      <c r="N96" s="8" t="inlineStr">
        <is>
          <t>Judge completes.</t>
        </is>
      </c>
      <c r="O96" s="8" t="inlineStr"/>
    </row>
    <row r="97">
      <c r="A97" s="8" t="n">
        <v>96</v>
      </c>
      <c r="B97" s="8" t="n">
        <v>4</v>
      </c>
      <c r="C97" s="8" t="inlineStr">
        <is>
          <t>12 (court)</t>
        </is>
      </c>
      <c r="D97" s="8" t="inlineStr">
        <is>
          <t>School of person in 1.</t>
        </is>
      </c>
      <c r="E97" s="8" t="inlineStr">
        <is>
          <t>DV-110[0].Page4[0].List12[0].Li1[0].FieldName_cb2[0]</t>
        </is>
      </c>
      <c r="F97" s="8" t="inlineStr">
        <is>
          <t>checkbox</t>
        </is>
      </c>
      <c r="G97" s="8" t="inlineStr">
        <is>
          <t>1</t>
        </is>
      </c>
      <c r="H97" s="8" t="inlineStr"/>
      <c r="I97" s="8" t="inlineStr">
        <is>
          <t>272, 335, 281, 344</t>
        </is>
      </c>
      <c r="J97" s="8" t="inlineStr">
        <is>
          <t>court/clerk</t>
        </is>
      </c>
      <c r="K97" s="8" t="inlineStr"/>
      <c r="L97" s="8" t="inlineStr"/>
      <c r="M97" s="8" t="inlineStr"/>
      <c r="N97" s="8" t="inlineStr">
        <is>
          <t>Judge completes.</t>
        </is>
      </c>
      <c r="O97" s="8" t="inlineStr"/>
    </row>
    <row r="98">
      <c r="A98" s="8" t="n">
        <v>97</v>
      </c>
      <c r="B98" s="8" t="n">
        <v>4</v>
      </c>
      <c r="C98" s="8" t="inlineStr">
        <is>
          <t>12 (court)</t>
        </is>
      </c>
      <c r="D98" s="8" t="inlineStr">
        <is>
          <t>Home of person in 1.</t>
        </is>
      </c>
      <c r="E98" s="8" t="inlineStr">
        <is>
          <t>DV-110[0].Page4[0].List12[0].Li1[0].FieldName_cb3[0]</t>
        </is>
      </c>
      <c r="F98" s="8" t="inlineStr">
        <is>
          <t>checkbox</t>
        </is>
      </c>
      <c r="G98" s="8" t="inlineStr">
        <is>
          <t>1</t>
        </is>
      </c>
      <c r="H98" s="8" t="inlineStr"/>
      <c r="I98" s="8" t="inlineStr">
        <is>
          <t>78, 347, 87, 356</t>
        </is>
      </c>
      <c r="J98" s="8" t="inlineStr">
        <is>
          <t>court/clerk</t>
        </is>
      </c>
      <c r="K98" s="8" t="inlineStr"/>
      <c r="L98" s="8" t="inlineStr"/>
      <c r="M98" s="8" t="inlineStr"/>
      <c r="N98" s="8" t="inlineStr">
        <is>
          <t>Judge completes.</t>
        </is>
      </c>
      <c r="O98" s="8" t="inlineStr"/>
    </row>
    <row r="99">
      <c r="A99" s="8" t="n">
        <v>98</v>
      </c>
      <c r="B99" s="8" t="n">
        <v>4</v>
      </c>
      <c r="C99" s="8" t="inlineStr">
        <is>
          <t>12 (court)</t>
        </is>
      </c>
      <c r="D99" s="8" t="inlineStr">
        <is>
          <t>Persons in 3.</t>
        </is>
      </c>
      <c r="E99" s="8" t="inlineStr">
        <is>
          <t>DV-110[0].Page4[0].List12[0].Li1[0].FieldName_cb4[0]</t>
        </is>
      </c>
      <c r="F99" s="8" t="inlineStr">
        <is>
          <t>checkbox</t>
        </is>
      </c>
      <c r="G99" s="8" t="inlineStr">
        <is>
          <t>1</t>
        </is>
      </c>
      <c r="H99" s="8" t="inlineStr"/>
      <c r="I99" s="8" t="inlineStr">
        <is>
          <t>272, 349, 281, 358</t>
        </is>
      </c>
      <c r="J99" s="8" t="inlineStr">
        <is>
          <t>court/clerk</t>
        </is>
      </c>
      <c r="K99" s="8" t="inlineStr"/>
      <c r="L99" s="8" t="inlineStr"/>
      <c r="M99" s="8" t="inlineStr"/>
      <c r="N99" s="8" t="inlineStr">
        <is>
          <t>Judge completes.</t>
        </is>
      </c>
      <c r="O99" s="8" t="inlineStr"/>
    </row>
    <row r="100">
      <c r="A100" s="8" t="n">
        <v>99</v>
      </c>
      <c r="B100" s="8" t="n">
        <v>4</v>
      </c>
      <c r="C100" s="8" t="inlineStr">
        <is>
          <t>12 (court)</t>
        </is>
      </c>
      <c r="D100" s="8" t="inlineStr">
        <is>
          <t>Job or workplace of person in 1.</t>
        </is>
      </c>
      <c r="E100" s="8" t="inlineStr">
        <is>
          <t>DV-110[0].Page4[0].List12[0].Li1[0].FieldName_cb5[0]</t>
        </is>
      </c>
      <c r="F100" s="8" t="inlineStr">
        <is>
          <t>checkbox</t>
        </is>
      </c>
      <c r="G100" s="8" t="inlineStr">
        <is>
          <t>1</t>
        </is>
      </c>
      <c r="H100" s="8" t="inlineStr"/>
      <c r="I100" s="8" t="inlineStr">
        <is>
          <t>78, 362, 87, 371</t>
        </is>
      </c>
      <c r="J100" s="8" t="inlineStr">
        <is>
          <t>court/clerk</t>
        </is>
      </c>
      <c r="K100" s="8" t="inlineStr"/>
      <c r="L100" s="8" t="inlineStr"/>
      <c r="M100" s="8" t="inlineStr"/>
      <c r="N100" s="8" t="inlineStr">
        <is>
          <t>Judge completes.</t>
        </is>
      </c>
      <c r="O100" s="8" t="inlineStr"/>
    </row>
    <row r="101">
      <c r="A101" s="8" t="n">
        <v>100</v>
      </c>
      <c r="B101" s="8" t="n">
        <v>4</v>
      </c>
      <c r="C101" s="8" t="inlineStr">
        <is>
          <t>12 (court)</t>
        </is>
      </c>
      <c r="D101" s="8" t="inlineStr">
        <is>
          <t>Children’s school or child care.</t>
        </is>
      </c>
      <c r="E101" s="8" t="inlineStr">
        <is>
          <t>DV-110[0].Page4[0].List12[0].Li1[0].FieldName_cb6[0]</t>
        </is>
      </c>
      <c r="F101" s="8" t="inlineStr">
        <is>
          <t>checkbox</t>
        </is>
      </c>
      <c r="G101" s="8" t="inlineStr">
        <is>
          <t>1</t>
        </is>
      </c>
      <c r="H101" s="8" t="inlineStr"/>
      <c r="I101" s="8" t="inlineStr">
        <is>
          <t>272, 363, 281, 372</t>
        </is>
      </c>
      <c r="J101" s="8" t="inlineStr">
        <is>
          <t>court/clerk</t>
        </is>
      </c>
      <c r="K101" s="8" t="inlineStr"/>
      <c r="L101" s="8" t="inlineStr"/>
      <c r="M101" s="8" t="inlineStr"/>
      <c r="N101" s="8" t="inlineStr">
        <is>
          <t>Judge completes.</t>
        </is>
      </c>
      <c r="O101" s="8" t="inlineStr"/>
    </row>
    <row r="102">
      <c r="A102" s="8" t="n">
        <v>101</v>
      </c>
      <c r="B102" s="8" t="n">
        <v>4</v>
      </c>
      <c r="C102" s="8" t="inlineStr">
        <is>
          <t>12 (court)</t>
        </is>
      </c>
      <c r="D102" s="8" t="inlineStr">
        <is>
          <t>Vehicle of person in 1.</t>
        </is>
      </c>
      <c r="E102" s="8" t="inlineStr">
        <is>
          <t>DV-110[0].Page4[0].List12[0].Li1[0].FieldName_cb7[0]</t>
        </is>
      </c>
      <c r="F102" s="8" t="inlineStr">
        <is>
          <t>checkbox</t>
        </is>
      </c>
      <c r="G102" s="8" t="inlineStr">
        <is>
          <t>1</t>
        </is>
      </c>
      <c r="H102" s="8" t="inlineStr"/>
      <c r="I102" s="8" t="inlineStr">
        <is>
          <t>78, 376, 87, 385</t>
        </is>
      </c>
      <c r="J102" s="8" t="inlineStr">
        <is>
          <t>court/clerk</t>
        </is>
      </c>
      <c r="K102" s="8" t="inlineStr"/>
      <c r="L102" s="8" t="inlineStr"/>
      <c r="M102" s="8" t="inlineStr"/>
      <c r="N102" s="8" t="inlineStr">
        <is>
          <t>Judge completes.</t>
        </is>
      </c>
      <c r="O102" s="8" t="inlineStr"/>
    </row>
    <row r="103">
      <c r="A103" s="8" t="n">
        <v>102</v>
      </c>
      <c r="B103" s="8" t="n">
        <v>4</v>
      </c>
      <c r="C103" s="8" t="inlineStr">
        <is>
          <t>12 (court)</t>
        </is>
      </c>
      <c r="D103" s="8" t="inlineStr">
        <is>
          <t>Other (explain):</t>
        </is>
      </c>
      <c r="E103" s="8" t="inlineStr">
        <is>
          <t>DV-110[0].Page4[0].List12[0].Li1[0].AGHagueCert_cb[0]</t>
        </is>
      </c>
      <c r="F103" s="8" t="inlineStr">
        <is>
          <t>checkbox</t>
        </is>
      </c>
      <c r="G103" s="8" t="inlineStr">
        <is>
          <t>1</t>
        </is>
      </c>
      <c r="H103" s="8" t="inlineStr"/>
      <c r="I103" s="8" t="inlineStr">
        <is>
          <t>272, 377, 281, 386</t>
        </is>
      </c>
      <c r="J103" s="8" t="inlineStr">
        <is>
          <t>court/clerk</t>
        </is>
      </c>
      <c r="K103" s="8" t="inlineStr"/>
      <c r="L103" s="8" t="inlineStr"/>
      <c r="M103" s="8" t="inlineStr"/>
      <c r="N103" s="8" t="inlineStr">
        <is>
          <t>Judge completes.</t>
        </is>
      </c>
      <c r="O103" s="8" t="inlineStr"/>
    </row>
    <row r="104">
      <c r="A104" s="8" t="n">
        <v>103</v>
      </c>
      <c r="B104" s="8" t="n">
        <v>4</v>
      </c>
      <c r="C104" s="8" t="inlineStr">
        <is>
          <t>12 (court)</t>
        </is>
      </c>
      <c r="D104" s="8" t="inlineStr">
        <is>
          <t>explain other</t>
        </is>
      </c>
      <c r="E104" s="8" t="inlineStr">
        <is>
          <t>DV-110[0].Page4[0].List12[0].Li1[0].TextField2[0]</t>
        </is>
      </c>
      <c r="F104" s="8" t="inlineStr">
        <is>
          <t>text</t>
        </is>
      </c>
      <c r="G104" s="8" t="inlineStr"/>
      <c r="H104" s="8" t="inlineStr"/>
      <c r="I104" s="8" t="inlineStr">
        <is>
          <t>362, 376, 545, 388</t>
        </is>
      </c>
      <c r="J104" s="8" t="inlineStr">
        <is>
          <t>court/clerk</t>
        </is>
      </c>
      <c r="K104" s="8" t="inlineStr"/>
      <c r="L104" s="8" t="inlineStr"/>
      <c r="M104" s="8" t="inlineStr"/>
      <c r="N104" s="8" t="inlineStr">
        <is>
          <t>Judge completes.</t>
        </is>
      </c>
      <c r="O104" s="8" t="inlineStr"/>
    </row>
    <row r="105">
      <c r="A105" s="8" t="n">
        <v>104</v>
      </c>
      <c r="B105" s="8" t="n">
        <v>4</v>
      </c>
      <c r="C105" s="8" t="inlineStr">
        <is>
          <t>12 (court)</t>
        </is>
      </c>
      <c r="D105" s="8" t="inlineStr">
        <is>
          <t>Exception to 12a:</t>
        </is>
      </c>
      <c r="E105" s="8" t="inlineStr">
        <is>
          <t>DV-110[0].Page4[0].List12[0].Li2[0].AGHagueCert_cb1[0]</t>
        </is>
      </c>
      <c r="F105" s="8" t="inlineStr">
        <is>
          <t>checkbox</t>
        </is>
      </c>
      <c r="G105" s="8" t="inlineStr">
        <is>
          <t>1</t>
        </is>
      </c>
      <c r="H105" s="8" t="inlineStr"/>
      <c r="I105" s="8" t="inlineStr">
        <is>
          <t>78, 398, 87, 407</t>
        </is>
      </c>
      <c r="J105" s="8" t="inlineStr">
        <is>
          <t>court/clerk</t>
        </is>
      </c>
      <c r="K105" s="8" t="inlineStr"/>
      <c r="L105" s="8" t="inlineStr"/>
      <c r="M105" s="8" t="inlineStr"/>
      <c r="N105" s="8" t="inlineStr">
        <is>
          <t>Judge completes.</t>
        </is>
      </c>
      <c r="O105" s="8" t="inlineStr"/>
    </row>
    <row r="106">
      <c r="A106" s="8" t="n">
        <v>105</v>
      </c>
      <c r="B106" s="8" t="n">
        <v>4</v>
      </c>
      <c r="C106" s="8" t="inlineStr">
        <is>
          <t>12 (court)</t>
        </is>
      </c>
      <c r="D106" s="8" t="inlineStr">
        <is>
          <t>For you to exchange your children for court-ordered visits. You must do so briefly and peacefully.</t>
        </is>
      </c>
      <c r="E106" s="8" t="inlineStr">
        <is>
          <t>DV-110[0].Page4[0].List12[0].Li2[0].List[0].Li1[0].AGHagueCert_cb[0]</t>
        </is>
      </c>
      <c r="F106" s="8" t="inlineStr">
        <is>
          <t>checkbox</t>
        </is>
      </c>
      <c r="G106" s="8" t="inlineStr">
        <is>
          <t>1</t>
        </is>
      </c>
      <c r="H106" s="8" t="inlineStr"/>
      <c r="I106" s="8" t="inlineStr">
        <is>
          <t>98, 431, 107, 440</t>
        </is>
      </c>
      <c r="J106" s="8" t="inlineStr">
        <is>
          <t>court/clerk</t>
        </is>
      </c>
      <c r="K106" s="8" t="inlineStr"/>
      <c r="L106" s="8" t="inlineStr"/>
      <c r="M106" s="8" t="inlineStr"/>
      <c r="N106" s="8" t="inlineStr">
        <is>
          <t>Judge completes.</t>
        </is>
      </c>
      <c r="O106" s="8" t="inlineStr"/>
    </row>
    <row r="107">
      <c r="A107" s="8" t="n">
        <v>106</v>
      </c>
      <c r="B107" s="8" t="n">
        <v>4</v>
      </c>
      <c r="C107" s="8" t="inlineStr">
        <is>
          <t>12 (court)</t>
        </is>
      </c>
      <c r="D107" s="8" t="inlineStr">
        <is>
          <t>For you to visit with your children for court-ordered contact or visits.</t>
        </is>
      </c>
      <c r="E107" s="8" t="inlineStr">
        <is>
          <t>DV-110[0].Page4[0].List12[0].Li2[0].List[0].Li2[0].AGHagueCert_cb[0]</t>
        </is>
      </c>
      <c r="F107" s="8" t="inlineStr">
        <is>
          <t>checkbox</t>
        </is>
      </c>
      <c r="G107" s="8" t="inlineStr">
        <is>
          <t>1</t>
        </is>
      </c>
      <c r="H107" s="8" t="inlineStr"/>
      <c r="I107" s="8" t="inlineStr">
        <is>
          <t>98, 447, 107, 456</t>
        </is>
      </c>
      <c r="J107" s="8" t="inlineStr">
        <is>
          <t>court/clerk</t>
        </is>
      </c>
      <c r="K107" s="8" t="inlineStr"/>
      <c r="L107" s="8" t="inlineStr"/>
      <c r="M107" s="8" t="inlineStr"/>
      <c r="N107" s="8" t="inlineStr">
        <is>
          <t>Judge completes.</t>
        </is>
      </c>
      <c r="O107" s="8" t="inlineStr"/>
    </row>
    <row r="108">
      <c r="A108" s="8" t="n">
        <v>107</v>
      </c>
      <c r="B108" s="8" t="n">
        <v>4</v>
      </c>
      <c r="C108" s="8" t="inlineStr">
        <is>
          <t>12 (court)</t>
        </is>
      </c>
      <c r="D108" s="8" t="inlineStr">
        <is>
          <t>Other (explain):</t>
        </is>
      </c>
      <c r="E108" s="8" t="inlineStr">
        <is>
          <t>DV-110[0].Page4[0].List12[0].Li2[0].List[0].Li3[0].AGHagueCert_cb[0]</t>
        </is>
      </c>
      <c r="F108" s="8" t="inlineStr">
        <is>
          <t>checkbox</t>
        </is>
      </c>
      <c r="G108" s="8" t="inlineStr">
        <is>
          <t>1</t>
        </is>
      </c>
      <c r="H108" s="8" t="inlineStr"/>
      <c r="I108" s="8" t="inlineStr">
        <is>
          <t>98, 464, 107, 473</t>
        </is>
      </c>
      <c r="J108" s="8" t="inlineStr">
        <is>
          <t>court/clerk</t>
        </is>
      </c>
      <c r="K108" s="8" t="inlineStr"/>
      <c r="L108" s="8" t="inlineStr"/>
      <c r="M108" s="8" t="inlineStr"/>
      <c r="N108" s="8" t="inlineStr">
        <is>
          <t>Judge completes.</t>
        </is>
      </c>
      <c r="O108" s="8" t="inlineStr"/>
    </row>
    <row r="109">
      <c r="A109" s="8" t="n">
        <v>108</v>
      </c>
      <c r="B109" s="8" t="n">
        <v>4</v>
      </c>
      <c r="C109" s="8" t="inlineStr">
        <is>
          <t>12 (court)</t>
        </is>
      </c>
      <c r="D109" s="8" t="inlineStr">
        <is>
          <t>Other (explain):</t>
        </is>
      </c>
      <c r="E109" s="8" t="inlineStr">
        <is>
          <t>DV-110[0].Page4[0].List12[0].Li2[0].List[0].Li3[0].TextFieldItem9b3[0]</t>
        </is>
      </c>
      <c r="F109" s="8" t="inlineStr">
        <is>
          <t>text</t>
        </is>
      </c>
      <c r="G109" s="8" t="inlineStr"/>
      <c r="H109" s="8" t="inlineStr"/>
      <c r="I109" s="8" t="inlineStr">
        <is>
          <t>186, 463, 562, 475</t>
        </is>
      </c>
      <c r="J109" s="8" t="inlineStr">
        <is>
          <t>court/clerk</t>
        </is>
      </c>
      <c r="K109" s="8" t="inlineStr"/>
      <c r="L109" s="8" t="inlineStr"/>
      <c r="M109" s="8" t="inlineStr"/>
      <c r="N109" s="8" t="inlineStr">
        <is>
          <t>Judge completes.</t>
        </is>
      </c>
      <c r="O109" s="8" t="inlineStr"/>
    </row>
    <row r="110">
      <c r="A110" s="8" t="n">
        <v>109</v>
      </c>
      <c r="B110" s="8" t="n">
        <v>4</v>
      </c>
      <c r="C110" s="8" t="inlineStr">
        <is>
          <t>12 (court)</t>
        </is>
      </c>
      <c r="D110" s="8" t="inlineStr">
        <is>
          <t>Other (explain):</t>
        </is>
      </c>
      <c r="E110" s="8" t="inlineStr">
        <is>
          <t>DV-110[0].Page4[0].List12[0].Li2[0].List[0].Li3[0].TextFieldItem9b3_tf[0]</t>
        </is>
      </c>
      <c r="F110" s="8" t="inlineStr">
        <is>
          <t>text</t>
        </is>
      </c>
      <c r="G110" s="8" t="inlineStr"/>
      <c r="H110" s="8" t="inlineStr"/>
      <c r="I110" s="8" t="inlineStr">
        <is>
          <t>115, 475, 566, 487</t>
        </is>
      </c>
      <c r="J110" s="8" t="inlineStr">
        <is>
          <t>court/clerk</t>
        </is>
      </c>
      <c r="K110" s="8" t="inlineStr"/>
      <c r="L110" s="8" t="inlineStr"/>
      <c r="M110" s="8" t="inlineStr"/>
      <c r="N110" s="8" t="inlineStr">
        <is>
          <t>Judge completes.</t>
        </is>
      </c>
      <c r="O110" s="8" t="inlineStr"/>
    </row>
    <row r="111">
      <c r="A111" s="8" t="n">
        <v>110</v>
      </c>
      <c r="B111" s="8" t="n">
        <v>4</v>
      </c>
      <c r="C111" s="8" t="inlineStr">
        <is>
          <t>13 (court)</t>
        </is>
      </c>
      <c r="D111" s="8" t="inlineStr">
        <is>
          <t>Not requested</t>
        </is>
      </c>
      <c r="E111" s="8" t="inlineStr">
        <is>
          <t>DV-110[0].Page4[0].List13[0].Li1[0].item10_cb[0]</t>
        </is>
      </c>
      <c r="F111" s="8" t="inlineStr">
        <is>
          <t>checkbox</t>
        </is>
      </c>
      <c r="G111" s="8" t="inlineStr">
        <is>
          <t>5</t>
        </is>
      </c>
      <c r="H111" s="8" t="inlineStr"/>
      <c r="I111" s="8" t="inlineStr">
        <is>
          <t>193, 524, 202, 533</t>
        </is>
      </c>
      <c r="J111" s="8" t="inlineStr">
        <is>
          <t>court/clerk</t>
        </is>
      </c>
      <c r="K111" s="8" t="inlineStr"/>
      <c r="L111" s="8" t="inlineStr"/>
      <c r="M111" s="8" t="inlineStr"/>
      <c r="N111" s="8" t="inlineStr">
        <is>
          <t>Judge completes.</t>
        </is>
      </c>
      <c r="O111" s="8" t="inlineStr"/>
    </row>
    <row r="112">
      <c r="A112" s="8" t="n">
        <v>111</v>
      </c>
      <c r="B112" s="8" t="n">
        <v>4</v>
      </c>
      <c r="C112" s="8" t="inlineStr">
        <is>
          <t>13 (court)</t>
        </is>
      </c>
      <c r="D112" s="8" t="inlineStr">
        <is>
          <t>Denied until the hearing</t>
        </is>
      </c>
      <c r="E112" s="8" t="inlineStr">
        <is>
          <t>DV-110[0].Page4[0].List13[0].Li1[0].item10_cb[1]</t>
        </is>
      </c>
      <c r="F112" s="8" t="inlineStr">
        <is>
          <t>checkbox</t>
        </is>
      </c>
      <c r="G112" s="8" t="inlineStr">
        <is>
          <t>12</t>
        </is>
      </c>
      <c r="H112" s="8" t="inlineStr"/>
      <c r="I112" s="8" t="inlineStr">
        <is>
          <t>286, 524, 295, 533</t>
        </is>
      </c>
      <c r="J112" s="8" t="inlineStr">
        <is>
          <t>court/clerk</t>
        </is>
      </c>
      <c r="K112" s="8" t="inlineStr"/>
      <c r="L112" s="8" t="inlineStr"/>
      <c r="M112" s="8" t="inlineStr"/>
      <c r="N112" s="8" t="inlineStr">
        <is>
          <t>Judge completes.</t>
        </is>
      </c>
      <c r="O112" s="8" t="inlineStr"/>
    </row>
    <row r="113">
      <c r="A113" s="8" t="n">
        <v>112</v>
      </c>
      <c r="B113" s="8" t="n">
        <v>4</v>
      </c>
      <c r="C113" s="8" t="inlineStr">
        <is>
          <t>13 (court)</t>
        </is>
      </c>
      <c r="D113" s="8" t="inlineStr">
        <is>
          <t>Granted as follows:</t>
        </is>
      </c>
      <c r="E113" s="8" t="inlineStr">
        <is>
          <t>DV-110[0].Page4[0].List13[0].Li1[0].item10_cb[2]</t>
        </is>
      </c>
      <c r="F113" s="8" t="inlineStr">
        <is>
          <t>checkbox</t>
        </is>
      </c>
      <c r="G113" s="8" t="inlineStr">
        <is>
          <t>23</t>
        </is>
      </c>
      <c r="H113" s="8" t="inlineStr"/>
      <c r="I113" s="8" t="inlineStr">
        <is>
          <t>428, 524, 437, 533</t>
        </is>
      </c>
      <c r="J113" s="8" t="inlineStr">
        <is>
          <t>court/clerk</t>
        </is>
      </c>
      <c r="K113" s="8" t="inlineStr"/>
      <c r="L113" s="8" t="inlineStr"/>
      <c r="M113" s="8" t="inlineStr"/>
      <c r="N113" s="8" t="inlineStr">
        <is>
          <t>Judge completes.</t>
        </is>
      </c>
      <c r="O113" s="8" t="inlineStr"/>
    </row>
    <row r="114">
      <c r="A114" s="8" t="n">
        <v>113</v>
      </c>
      <c r="B114" s="8" t="n">
        <v>4</v>
      </c>
      <c r="C114" s="8" t="inlineStr">
        <is>
          <t>13 (court)</t>
        </is>
      </c>
      <c r="D114" s="8" t="inlineStr">
        <is>
          <t>(address):</t>
        </is>
      </c>
      <c r="E114" s="8" t="inlineStr">
        <is>
          <t>DV-110[0].Page4[0].List13[0].Li1[0].TextField2[0]</t>
        </is>
      </c>
      <c r="F114" s="8" t="inlineStr">
        <is>
          <t>text</t>
        </is>
      </c>
      <c r="G114" s="8" t="inlineStr"/>
      <c r="H114" s="8" t="inlineStr"/>
      <c r="I114" s="8" t="inlineStr">
        <is>
          <t>111, 555, 566, 568</t>
        </is>
      </c>
      <c r="J114" s="8" t="inlineStr">
        <is>
          <t>court/clerk</t>
        </is>
      </c>
      <c r="K114" s="8" t="inlineStr"/>
      <c r="L114" s="8" t="inlineStr"/>
      <c r="M114" s="8" t="inlineStr"/>
      <c r="N114" s="8" t="inlineStr">
        <is>
          <t>Judge completes.</t>
        </is>
      </c>
      <c r="O114" s="8" t="inlineStr"/>
    </row>
    <row r="115">
      <c r="A115" s="8" t="n">
        <v>114</v>
      </c>
      <c r="B115" s="8" t="n">
        <v>4</v>
      </c>
      <c r="C115" s="8" t="inlineStr">
        <is>
          <t>14 (court)</t>
        </is>
      </c>
      <c r="D115" s="8" t="inlineStr">
        <is>
          <t>Not requested</t>
        </is>
      </c>
      <c r="E115" s="8" t="inlineStr">
        <is>
          <t>DV-110[0].Page4[0].List14[0].Li1[0].item11_cb[0]</t>
        </is>
      </c>
      <c r="F115" s="8" t="inlineStr">
        <is>
          <t>checkbox</t>
        </is>
      </c>
      <c r="G115" s="8" t="inlineStr">
        <is>
          <t>5</t>
        </is>
      </c>
      <c r="H115" s="8" t="inlineStr"/>
      <c r="I115" s="8" t="inlineStr">
        <is>
          <t>164, 607, 173, 616</t>
        </is>
      </c>
      <c r="J115" s="8" t="inlineStr">
        <is>
          <t>court/clerk</t>
        </is>
      </c>
      <c r="K115" s="8" t="inlineStr"/>
      <c r="L115" s="8" t="inlineStr"/>
      <c r="M115" s="8" t="inlineStr"/>
      <c r="N115" s="8" t="inlineStr">
        <is>
          <t>Judge completes.</t>
        </is>
      </c>
      <c r="O115" s="8" t="inlineStr"/>
    </row>
    <row r="116">
      <c r="A116" s="8" t="n">
        <v>115</v>
      </c>
      <c r="B116" s="8" t="n">
        <v>4</v>
      </c>
      <c r="C116" s="8" t="inlineStr">
        <is>
          <t>14 (court)</t>
        </is>
      </c>
      <c r="D116" s="8" t="inlineStr">
        <is>
          <t>Denied until the hearing</t>
        </is>
      </c>
      <c r="E116" s="8" t="inlineStr">
        <is>
          <t>DV-110[0].Page4[0].List14[0].Li1[0].item11_cb[1]</t>
        </is>
      </c>
      <c r="F116" s="8" t="inlineStr">
        <is>
          <t>checkbox</t>
        </is>
      </c>
      <c r="G116" s="8" t="inlineStr">
        <is>
          <t>12</t>
        </is>
      </c>
      <c r="H116" s="8" t="inlineStr"/>
      <c r="I116" s="8" t="inlineStr">
        <is>
          <t>257, 607, 266, 616</t>
        </is>
      </c>
      <c r="J116" s="8" t="inlineStr">
        <is>
          <t>court/clerk</t>
        </is>
      </c>
      <c r="K116" s="8" t="inlineStr"/>
      <c r="L116" s="8" t="inlineStr"/>
      <c r="M116" s="8" t="inlineStr"/>
      <c r="N116" s="8" t="inlineStr">
        <is>
          <t>Judge completes.</t>
        </is>
      </c>
      <c r="O116" s="8" t="inlineStr"/>
    </row>
    <row r="117">
      <c r="A117" s="8" t="n">
        <v>116</v>
      </c>
      <c r="B117" s="8" t="n">
        <v>4</v>
      </c>
      <c r="C117" s="8" t="inlineStr">
        <is>
          <t>14 (court)</t>
        </is>
      </c>
      <c r="D117" s="8" t="inlineStr">
        <is>
          <t>Granted as follows:</t>
        </is>
      </c>
      <c r="E117" s="8" t="inlineStr">
        <is>
          <t>DV-110[0].Page4[0].List14[0].Li1[0].item11_cb[2]</t>
        </is>
      </c>
      <c r="F117" s="8" t="inlineStr">
        <is>
          <t>checkbox</t>
        </is>
      </c>
      <c r="G117" s="8" t="inlineStr">
        <is>
          <t>23</t>
        </is>
      </c>
      <c r="H117" s="8" t="inlineStr"/>
      <c r="I117" s="8" t="inlineStr">
        <is>
          <t>399, 607, 408, 616</t>
        </is>
      </c>
      <c r="J117" s="8" t="inlineStr">
        <is>
          <t>court/clerk</t>
        </is>
      </c>
      <c r="K117" s="8" t="inlineStr"/>
      <c r="L117" s="8" t="inlineStr"/>
      <c r="M117" s="8" t="inlineStr"/>
      <c r="N117" s="8" t="inlineStr">
        <is>
          <t>Judge completes.</t>
        </is>
      </c>
      <c r="O117" s="8" t="inlineStr"/>
    </row>
    <row r="118">
      <c r="A118" s="8" t="n">
        <v>117</v>
      </c>
      <c r="B118" s="8" t="n">
        <v>4</v>
      </c>
      <c r="C118" s="8" t="inlineStr">
        <is>
          <t>14 (court)</t>
        </is>
      </c>
      <c r="D118" s="8" t="inlineStr">
        <is>
          <t>other orders</t>
        </is>
      </c>
      <c r="E118" s="8" t="inlineStr">
        <is>
          <t>DV-110[0].Page4[0].List14[0].Li1[0].OtherSpecify_tf[0]</t>
        </is>
      </c>
      <c r="F118" s="8" t="inlineStr">
        <is>
          <t>text</t>
        </is>
      </c>
      <c r="G118" s="8" t="inlineStr"/>
      <c r="H118" s="8" t="inlineStr"/>
      <c r="I118" s="8" t="inlineStr">
        <is>
          <t>63, 621, 567, 684</t>
        </is>
      </c>
      <c r="J118" s="8" t="inlineStr">
        <is>
          <t>court/clerk</t>
        </is>
      </c>
      <c r="K118" s="8" t="inlineStr"/>
      <c r="L118" s="8" t="inlineStr"/>
      <c r="M118" s="8" t="inlineStr"/>
      <c r="N118" s="8" t="inlineStr">
        <is>
          <t>Judge completes.</t>
        </is>
      </c>
      <c r="O118" s="8" t="inlineStr"/>
    </row>
    <row r="119">
      <c r="A119" s="5" t="n">
        <v>118</v>
      </c>
      <c r="B119" s="5" t="n">
        <v>4</v>
      </c>
      <c r="C119" s="5" t="inlineStr">
        <is>
          <t>Caption</t>
        </is>
      </c>
      <c r="D119" s="5" t="inlineStr">
        <is>
          <t>Case Number:</t>
        </is>
      </c>
      <c r="E119" s="5" t="inlineStr">
        <is>
          <t>DV-110[0].Page4[0].PxCaption[0].CaseNumber[0]</t>
        </is>
      </c>
      <c r="F119" s="5" t="inlineStr">
        <is>
          <t>text</t>
        </is>
      </c>
      <c r="G119" s="5" t="inlineStr"/>
      <c r="H119" s="5" t="inlineStr"/>
      <c r="I119" s="5" t="inlineStr">
        <is>
          <t>398, 48, 573, 63</t>
        </is>
      </c>
      <c r="J119" s="5" t="inlineStr">
        <is>
          <t>question</t>
        </is>
      </c>
      <c r="K119" s="5" t="inlineStr">
        <is>
          <t>S3,S4</t>
        </is>
      </c>
      <c r="L119" s="5">
        <f> S4</f>
        <v/>
      </c>
      <c r="M119" s="5" t="inlineStr">
        <is>
          <t>S3 == "update"; otherwise blank for clerk</t>
        </is>
      </c>
      <c r="N119" s="5" t="inlineStr"/>
      <c r="O119" s="5" t="inlineStr"/>
    </row>
    <row r="120">
      <c r="A120" s="5" t="n">
        <v>119</v>
      </c>
      <c r="B120" s="5" t="n">
        <v>5</v>
      </c>
      <c r="C120" s="5" t="inlineStr">
        <is>
          <t>Caption</t>
        </is>
      </c>
      <c r="D120" s="5" t="inlineStr">
        <is>
          <t>Case Number:</t>
        </is>
      </c>
      <c r="E120" s="5" t="inlineStr">
        <is>
          <t>DV-110[0].Page5[0].PxCaption[0].CaseNumber[0]</t>
        </is>
      </c>
      <c r="F120" s="5" t="inlineStr">
        <is>
          <t>text</t>
        </is>
      </c>
      <c r="G120" s="5" t="inlineStr"/>
      <c r="H120" s="5" t="inlineStr"/>
      <c r="I120" s="5" t="inlineStr">
        <is>
          <t>398, 48, 573, 63</t>
        </is>
      </c>
      <c r="J120" s="5" t="inlineStr">
        <is>
          <t>question</t>
        </is>
      </c>
      <c r="K120" s="5" t="inlineStr">
        <is>
          <t>S3,S4</t>
        </is>
      </c>
      <c r="L120" s="5">
        <f> S4</f>
        <v/>
      </c>
      <c r="M120" s="5" t="inlineStr">
        <is>
          <t>S3 == "update"; otherwise blank for clerk</t>
        </is>
      </c>
      <c r="N120" s="5" t="inlineStr"/>
      <c r="O120" s="5" t="inlineStr"/>
    </row>
    <row r="121">
      <c r="A121" s="8" t="n">
        <v>120</v>
      </c>
      <c r="B121" s="8" t="n">
        <v>5</v>
      </c>
      <c r="C121" s="8" t="inlineStr">
        <is>
          <t>15 (court)</t>
        </is>
      </c>
      <c r="D121" s="8" t="inlineStr">
        <is>
          <t>Not requested</t>
        </is>
      </c>
      <c r="E121" s="8" t="inlineStr">
        <is>
          <t>DV-110[0].Page5[0].List15[0].Li1[0].item12_cb[0]</t>
        </is>
      </c>
      <c r="F121" s="8" t="inlineStr">
        <is>
          <t>checkbox</t>
        </is>
      </c>
      <c r="G121" s="8" t="inlineStr">
        <is>
          <t>5</t>
        </is>
      </c>
      <c r="H121" s="8" t="inlineStr"/>
      <c r="I121" s="8" t="inlineStr">
        <is>
          <t>244, 90, 253, 99</t>
        </is>
      </c>
      <c r="J121" s="8" t="inlineStr">
        <is>
          <t>court/clerk</t>
        </is>
      </c>
      <c r="K121" s="8" t="inlineStr"/>
      <c r="L121" s="8" t="inlineStr"/>
      <c r="M121" s="8" t="inlineStr"/>
      <c r="N121" s="8" t="inlineStr">
        <is>
          <t>Judge completes.</t>
        </is>
      </c>
      <c r="O121" s="8" t="inlineStr"/>
    </row>
    <row r="122">
      <c r="A122" s="8" t="n">
        <v>121</v>
      </c>
      <c r="B122" s="8" t="n">
        <v>5</v>
      </c>
      <c r="C122" s="8" t="inlineStr">
        <is>
          <t>15 (court)</t>
        </is>
      </c>
      <c r="D122" s="8" t="inlineStr">
        <is>
          <t>Denied until the hearing</t>
        </is>
      </c>
      <c r="E122" s="8" t="inlineStr">
        <is>
          <t>DV-110[0].Page5[0].List15[0].Li1[0].item12_cb[1]</t>
        </is>
      </c>
      <c r="F122" s="8" t="inlineStr">
        <is>
          <t>checkbox</t>
        </is>
      </c>
      <c r="G122" s="8" t="inlineStr">
        <is>
          <t>12</t>
        </is>
      </c>
      <c r="H122" s="8" t="inlineStr"/>
      <c r="I122" s="8" t="inlineStr">
        <is>
          <t>332, 90, 341, 99</t>
        </is>
      </c>
      <c r="J122" s="8" t="inlineStr">
        <is>
          <t>court/clerk</t>
        </is>
      </c>
      <c r="K122" s="8" t="inlineStr"/>
      <c r="L122" s="8" t="inlineStr"/>
      <c r="M122" s="8" t="inlineStr"/>
      <c r="N122" s="8" t="inlineStr">
        <is>
          <t>Judge completes.</t>
        </is>
      </c>
      <c r="O122" s="8" t="inlineStr"/>
    </row>
    <row r="123">
      <c r="A123" s="8" t="n">
        <v>122</v>
      </c>
      <c r="B123" s="8" t="n">
        <v>5</v>
      </c>
      <c r="C123" s="8" t="inlineStr">
        <is>
          <t>15 (court)</t>
        </is>
      </c>
      <c r="D123" s="8" t="inlineStr">
        <is>
          <t>Granted as follows:</t>
        </is>
      </c>
      <c r="E123" s="8" t="inlineStr">
        <is>
          <t>DV-110[0].Page5[0].List15[0].Li1[0].item12_cb[2]</t>
        </is>
      </c>
      <c r="F123" s="8" t="inlineStr">
        <is>
          <t>checkbox</t>
        </is>
      </c>
      <c r="G123" s="8" t="inlineStr">
        <is>
          <t>23</t>
        </is>
      </c>
      <c r="H123" s="8" t="inlineStr"/>
      <c r="I123" s="8" t="inlineStr">
        <is>
          <t>469, 90, 478, 99</t>
        </is>
      </c>
      <c r="J123" s="8" t="inlineStr">
        <is>
          <t>court/clerk</t>
        </is>
      </c>
      <c r="K123" s="8" t="inlineStr"/>
      <c r="L123" s="8" t="inlineStr"/>
      <c r="M123" s="8" t="inlineStr"/>
      <c r="N123" s="8" t="inlineStr">
        <is>
          <t>Judge completes.</t>
        </is>
      </c>
      <c r="O123" s="8" t="inlineStr"/>
    </row>
    <row r="124">
      <c r="A124" s="8" t="n">
        <v>123</v>
      </c>
      <c r="B124" s="8" t="n">
        <v>5</v>
      </c>
      <c r="C124" s="8" t="inlineStr">
        <is>
          <t>15 (court)</t>
        </is>
      </c>
      <c r="D124" s="8" t="inlineStr">
        <is>
          <t>(list other form):</t>
        </is>
      </c>
      <c r="E124" s="8" t="inlineStr">
        <is>
          <t>DV-110[0].Page5[0].List15[0].Li1[0].AGHagueCert11_cb[0]</t>
        </is>
      </c>
      <c r="F124" s="8" t="inlineStr">
        <is>
          <t>checkbox</t>
        </is>
      </c>
      <c r="G124" s="8" t="inlineStr">
        <is>
          <t>5</t>
        </is>
      </c>
      <c r="H124" s="8" t="inlineStr"/>
      <c r="I124" s="8" t="inlineStr">
        <is>
          <t>63, 124, 72, 133</t>
        </is>
      </c>
      <c r="J124" s="8" t="inlineStr">
        <is>
          <t>court/clerk</t>
        </is>
      </c>
      <c r="K124" s="8" t="inlineStr"/>
      <c r="L124" s="8" t="inlineStr"/>
      <c r="M124" s="8" t="inlineStr"/>
      <c r="N124" s="8" t="inlineStr">
        <is>
          <t>Judge completes.</t>
        </is>
      </c>
      <c r="O124" s="8" t="inlineStr"/>
    </row>
    <row r="125">
      <c r="A125" s="8" t="n">
        <v>124</v>
      </c>
      <c r="B125" s="8" t="n">
        <v>5</v>
      </c>
      <c r="C125" s="8" t="inlineStr">
        <is>
          <t>15 (court)</t>
        </is>
      </c>
      <c r="D125" s="8" t="inlineStr">
        <is>
          <t>list other form</t>
        </is>
      </c>
      <c r="E125" s="8" t="inlineStr">
        <is>
          <t>DV-110[0].Page5[0].List15[0].Li1[0].TextField[0]</t>
        </is>
      </c>
      <c r="F125" s="8" t="inlineStr">
        <is>
          <t>text</t>
        </is>
      </c>
      <c r="G125" s="8" t="inlineStr"/>
      <c r="H125" s="8" t="inlineStr"/>
      <c r="I125" s="8" t="inlineStr">
        <is>
          <t>159, 120, 473, 135</t>
        </is>
      </c>
      <c r="J125" s="8" t="inlineStr">
        <is>
          <t>court/clerk</t>
        </is>
      </c>
      <c r="K125" s="8" t="inlineStr"/>
      <c r="L125" s="8" t="inlineStr"/>
      <c r="M125" s="8" t="inlineStr"/>
      <c r="N125" s="8" t="inlineStr">
        <is>
          <t>Judge completes.</t>
        </is>
      </c>
      <c r="O125" s="8" t="inlineStr"/>
    </row>
    <row r="126">
      <c r="A126" s="8" t="n">
        <v>125</v>
      </c>
      <c r="B126" s="8" t="n">
        <v>5</v>
      </c>
      <c r="C126" s="8" t="inlineStr">
        <is>
          <t>16 (court)</t>
        </is>
      </c>
      <c r="D126" s="8" t="inlineStr">
        <is>
          <t>Not requested</t>
        </is>
      </c>
      <c r="E126" s="8" t="inlineStr">
        <is>
          <t>DV-110[0].Page5[0].List16[0].item13_cb[0]</t>
        </is>
      </c>
      <c r="F126" s="8" t="inlineStr">
        <is>
          <t>checkbox</t>
        </is>
      </c>
      <c r="G126" s="8" t="inlineStr">
        <is>
          <t>5</t>
        </is>
      </c>
      <c r="H126" s="8" t="inlineStr"/>
      <c r="I126" s="8" t="inlineStr">
        <is>
          <t>178, 184, 187, 193</t>
        </is>
      </c>
      <c r="J126" s="8" t="inlineStr">
        <is>
          <t>court/clerk</t>
        </is>
      </c>
      <c r="K126" s="8" t="inlineStr"/>
      <c r="L126" s="8" t="inlineStr"/>
      <c r="M126" s="8" t="inlineStr"/>
      <c r="N126" s="8" t="inlineStr">
        <is>
          <t>Judge completes.</t>
        </is>
      </c>
      <c r="O126" s="8" t="inlineStr"/>
    </row>
    <row r="127">
      <c r="A127" s="8" t="n">
        <v>126</v>
      </c>
      <c r="B127" s="8" t="n">
        <v>5</v>
      </c>
      <c r="C127" s="8" t="inlineStr">
        <is>
          <t>16 (court)</t>
        </is>
      </c>
      <c r="D127" s="8" t="inlineStr">
        <is>
          <t>Denied until the hearing</t>
        </is>
      </c>
      <c r="E127" s="8" t="inlineStr">
        <is>
          <t>DV-110[0].Page5[0].List16[0].item13_cb[1]</t>
        </is>
      </c>
      <c r="F127" s="8" t="inlineStr">
        <is>
          <t>checkbox</t>
        </is>
      </c>
      <c r="G127" s="8" t="inlineStr">
        <is>
          <t>12</t>
        </is>
      </c>
      <c r="H127" s="8" t="inlineStr"/>
      <c r="I127" s="8" t="inlineStr">
        <is>
          <t>271, 184, 280, 193</t>
        </is>
      </c>
      <c r="J127" s="8" t="inlineStr">
        <is>
          <t>court/clerk</t>
        </is>
      </c>
      <c r="K127" s="8" t="inlineStr"/>
      <c r="L127" s="8" t="inlineStr"/>
      <c r="M127" s="8" t="inlineStr"/>
      <c r="N127" s="8" t="inlineStr">
        <is>
          <t>Judge completes.</t>
        </is>
      </c>
      <c r="O127" s="8" t="inlineStr"/>
    </row>
    <row r="128">
      <c r="A128" s="8" t="n">
        <v>127</v>
      </c>
      <c r="B128" s="8" t="n">
        <v>5</v>
      </c>
      <c r="C128" s="8" t="inlineStr">
        <is>
          <t>16 (court)</t>
        </is>
      </c>
      <c r="D128" s="8" t="inlineStr">
        <is>
          <t>Granted as follows:</t>
        </is>
      </c>
      <c r="E128" s="8" t="inlineStr">
        <is>
          <t>DV-110[0].Page5[0].List16[0].item13_cb[2]</t>
        </is>
      </c>
      <c r="F128" s="8" t="inlineStr">
        <is>
          <t>checkbox</t>
        </is>
      </c>
      <c r="G128" s="8" t="inlineStr">
        <is>
          <t>23</t>
        </is>
      </c>
      <c r="H128" s="8" t="inlineStr"/>
      <c r="I128" s="8" t="inlineStr">
        <is>
          <t>413, 184, 422, 193</t>
        </is>
      </c>
      <c r="J128" s="8" t="inlineStr">
        <is>
          <t>court/clerk</t>
        </is>
      </c>
      <c r="K128" s="8" t="inlineStr"/>
      <c r="L128" s="8" t="inlineStr"/>
      <c r="M128" s="8" t="inlineStr"/>
      <c r="N128" s="8" t="inlineStr">
        <is>
          <t>Judge completes.</t>
        </is>
      </c>
      <c r="O128" s="8" t="inlineStr"/>
    </row>
    <row r="129">
      <c r="A129" s="8" t="n">
        <v>128</v>
      </c>
      <c r="B129" s="8" t="n">
        <v>5</v>
      </c>
      <c r="C129" s="8" t="inlineStr">
        <is>
          <t>16 (court)</t>
        </is>
      </c>
      <c r="D129" s="8" t="inlineStr">
        <is>
          <t>You must stay at least</t>
        </is>
      </c>
      <c r="E129" s="8" t="inlineStr">
        <is>
          <t>DV-110[0].Page5[0].List16[0].Li1[0].AGHagueCert11_cb[0]</t>
        </is>
      </c>
      <c r="F129" s="8" t="inlineStr">
        <is>
          <t>checkbox</t>
        </is>
      </c>
      <c r="G129" s="8" t="inlineStr">
        <is>
          <t>5</t>
        </is>
      </c>
      <c r="H129" s="8" t="inlineStr"/>
      <c r="I129" s="8" t="inlineStr">
        <is>
          <t>78, 204, 87, 213</t>
        </is>
      </c>
      <c r="J129" s="8" t="inlineStr">
        <is>
          <t>court/clerk</t>
        </is>
      </c>
      <c r="K129" s="8" t="inlineStr"/>
      <c r="L129" s="8" t="inlineStr"/>
      <c r="M129" s="8" t="inlineStr"/>
      <c r="N129" s="8" t="inlineStr">
        <is>
          <t>Judge completes.</t>
        </is>
      </c>
      <c r="O129" s="8" t="inlineStr"/>
    </row>
    <row r="130">
      <c r="A130" s="8" t="n">
        <v>129</v>
      </c>
      <c r="B130" s="8" t="n">
        <v>5</v>
      </c>
      <c r="C130" s="8" t="inlineStr">
        <is>
          <t>16 (court)</t>
        </is>
      </c>
      <c r="D130" s="8" t="inlineStr">
        <is>
          <t>number of yards</t>
        </is>
      </c>
      <c r="E130" s="8" t="inlineStr">
        <is>
          <t>DV-110[0].Page5[0].List16[0].Li1[0].FillText11\.yards[0]</t>
        </is>
      </c>
      <c r="F130" s="8" t="inlineStr">
        <is>
          <t>text</t>
        </is>
      </c>
      <c r="G130" s="8" t="inlineStr"/>
      <c r="H130" s="8" t="inlineStr"/>
      <c r="I130" s="8" t="inlineStr">
        <is>
          <t>193, 202, 243, 215</t>
        </is>
      </c>
      <c r="J130" s="8" t="inlineStr">
        <is>
          <t>court/clerk</t>
        </is>
      </c>
      <c r="K130" s="8" t="inlineStr"/>
      <c r="L130" s="8" t="inlineStr"/>
      <c r="M130" s="8" t="inlineStr"/>
      <c r="N130" s="8" t="inlineStr">
        <is>
          <t>Judge completes.</t>
        </is>
      </c>
      <c r="O130" s="8" t="inlineStr"/>
    </row>
    <row r="131">
      <c r="A131" s="8" t="n">
        <v>130</v>
      </c>
      <c r="B131" s="8" t="n">
        <v>5</v>
      </c>
      <c r="C131" s="8" t="inlineStr">
        <is>
          <t>16 (court)</t>
        </is>
      </c>
      <c r="D131" s="8" t="inlineStr">
        <is>
          <t>You must not take, sell, hide, molest, attack, strike, threaten, harm, get rid of, transfer, or borrow against the animals.</t>
        </is>
      </c>
      <c r="E131" s="8" t="inlineStr">
        <is>
          <t>DV-110[0].Page5[0].List16[0].Li2[0].AGHagueCert_cb[0]</t>
        </is>
      </c>
      <c r="F131" s="8" t="inlineStr">
        <is>
          <t>checkbox</t>
        </is>
      </c>
      <c r="G131" s="8" t="inlineStr">
        <is>
          <t>1</t>
        </is>
      </c>
      <c r="H131" s="8" t="inlineStr"/>
      <c r="I131" s="8" t="inlineStr">
        <is>
          <t>78, 223, 87, 232</t>
        </is>
      </c>
      <c r="J131" s="8" t="inlineStr">
        <is>
          <t>court/clerk</t>
        </is>
      </c>
      <c r="K131" s="8" t="inlineStr"/>
      <c r="L131" s="8" t="inlineStr"/>
      <c r="M131" s="8" t="inlineStr"/>
      <c r="N131" s="8" t="inlineStr">
        <is>
          <t>Judge completes.</t>
        </is>
      </c>
      <c r="O131" s="8" t="inlineStr"/>
    </row>
    <row r="132">
      <c r="A132" s="8" t="n">
        <v>131</v>
      </c>
      <c r="B132" s="8" t="n">
        <v>5</v>
      </c>
      <c r="C132" s="8" t="inlineStr">
        <is>
          <t>16 (court)</t>
        </is>
      </c>
      <c r="D132" s="8" t="inlineStr">
        <is>
          <t>The person in item 1 is given the sole possession, care, and control of the animals listed below.</t>
        </is>
      </c>
      <c r="E132" s="8" t="inlineStr">
        <is>
          <t>DV-110[0].Page5[0].List16[0].Li3[0].AGHagueCert11_cb[0]</t>
        </is>
      </c>
      <c r="F132" s="8" t="inlineStr">
        <is>
          <t>checkbox</t>
        </is>
      </c>
      <c r="G132" s="8" t="inlineStr">
        <is>
          <t>5</t>
        </is>
      </c>
      <c r="H132" s="8" t="inlineStr"/>
      <c r="I132" s="8" t="inlineStr">
        <is>
          <t>78, 260, 87, 269</t>
        </is>
      </c>
      <c r="J132" s="8" t="inlineStr">
        <is>
          <t>court/clerk</t>
        </is>
      </c>
      <c r="K132" s="8" t="inlineStr"/>
      <c r="L132" s="8" t="inlineStr"/>
      <c r="M132" s="8" t="inlineStr"/>
      <c r="N132" s="8" t="inlineStr">
        <is>
          <t>Judge completes.</t>
        </is>
      </c>
      <c r="O132" s="8" t="inlineStr"/>
    </row>
    <row r="133">
      <c r="A133" s="8" t="n">
        <v>132</v>
      </c>
      <c r="B133" s="8" t="n">
        <v>5</v>
      </c>
      <c r="C133" s="8" t="inlineStr">
        <is>
          <t>16 (court)</t>
        </is>
      </c>
      <c r="D133" s="8" t="inlineStr">
        <is>
          <t>Name or other way to ID animal</t>
        </is>
      </c>
      <c r="E133" s="8" t="inlineStr">
        <is>
          <t>DV-110[0].Page5[0].List16[0].Li3[0].item3FullName3_tf1[0]</t>
        </is>
      </c>
      <c r="F133" s="8" t="inlineStr">
        <is>
          <t>text</t>
        </is>
      </c>
      <c r="G133" s="8" t="inlineStr"/>
      <c r="H133" s="8" t="inlineStr"/>
      <c r="I133" s="8" t="inlineStr">
        <is>
          <t>78, 295, 237, 308</t>
        </is>
      </c>
      <c r="J133" s="8" t="inlineStr">
        <is>
          <t>court/clerk</t>
        </is>
      </c>
      <c r="K133" s="8" t="inlineStr"/>
      <c r="L133" s="8" t="inlineStr"/>
      <c r="M133" s="8" t="inlineStr"/>
      <c r="N133" s="8" t="inlineStr">
        <is>
          <t>Judge completes.</t>
        </is>
      </c>
      <c r="O133" s="8" t="inlineStr"/>
    </row>
    <row r="134">
      <c r="A134" s="8" t="n">
        <v>133</v>
      </c>
      <c r="B134" s="8" t="n">
        <v>5</v>
      </c>
      <c r="C134" s="8" t="inlineStr">
        <is>
          <t>16 (court)</t>
        </is>
      </c>
      <c r="D134" s="8" t="inlineStr">
        <is>
          <t>Type of animal</t>
        </is>
      </c>
      <c r="E134" s="8" t="inlineStr">
        <is>
          <t>DV-110[0].Page5[0].List16[0].Li3[0].item3relation2_tf1[0]</t>
        </is>
      </c>
      <c r="F134" s="8" t="inlineStr">
        <is>
          <t>text</t>
        </is>
      </c>
      <c r="G134" s="8" t="inlineStr"/>
      <c r="H134" s="8" t="inlineStr"/>
      <c r="I134" s="8" t="inlineStr">
        <is>
          <t>240, 294, 345, 307</t>
        </is>
      </c>
      <c r="J134" s="8" t="inlineStr">
        <is>
          <t>court/clerk</t>
        </is>
      </c>
      <c r="K134" s="8" t="inlineStr"/>
      <c r="L134" s="8" t="inlineStr"/>
      <c r="M134" s="8" t="inlineStr"/>
      <c r="N134" s="8" t="inlineStr">
        <is>
          <t>Judge completes.</t>
        </is>
      </c>
      <c r="O134" s="8" t="inlineStr"/>
    </row>
    <row r="135">
      <c r="A135" s="8" t="n">
        <v>134</v>
      </c>
      <c r="B135" s="8" t="n">
        <v>5</v>
      </c>
      <c r="C135" s="8" t="inlineStr">
        <is>
          <t>16 (court)</t>
        </is>
      </c>
      <c r="D135" s="8" t="inlineStr">
        <is>
          <t>Breed (if known)</t>
        </is>
      </c>
      <c r="E135" s="8" t="inlineStr">
        <is>
          <t>DV-110[0].Page5[0].List16[0].Li3[0].item3relation1_tf2[0]</t>
        </is>
      </c>
      <c r="F135" s="8" t="inlineStr">
        <is>
          <t>text</t>
        </is>
      </c>
      <c r="G135" s="8" t="inlineStr"/>
      <c r="H135" s="8" t="inlineStr"/>
      <c r="I135" s="8" t="inlineStr">
        <is>
          <t>351, 294, 454, 307</t>
        </is>
      </c>
      <c r="J135" s="8" t="inlineStr">
        <is>
          <t>court/clerk</t>
        </is>
      </c>
      <c r="K135" s="8" t="inlineStr"/>
      <c r="L135" s="8" t="inlineStr"/>
      <c r="M135" s="8" t="inlineStr"/>
      <c r="N135" s="8" t="inlineStr">
        <is>
          <t>Judge completes.</t>
        </is>
      </c>
      <c r="O135" s="8" t="inlineStr"/>
    </row>
    <row r="136">
      <c r="A136" s="8" t="n">
        <v>135</v>
      </c>
      <c r="B136" s="8" t="n">
        <v>5</v>
      </c>
      <c r="C136" s="8" t="inlineStr">
        <is>
          <t>16 (court)</t>
        </is>
      </c>
      <c r="D136" s="8" t="inlineStr">
        <is>
          <t>Color</t>
        </is>
      </c>
      <c r="E136" s="8" t="inlineStr">
        <is>
          <t>DV-110[0].Page5[0].List16[0].Li3[0].item3relation1_tf3[0]</t>
        </is>
      </c>
      <c r="F136" s="8" t="inlineStr">
        <is>
          <t>text</t>
        </is>
      </c>
      <c r="G136" s="8" t="inlineStr"/>
      <c r="H136" s="8" t="inlineStr"/>
      <c r="I136" s="8" t="inlineStr">
        <is>
          <t>459, 294, 564, 307</t>
        </is>
      </c>
      <c r="J136" s="8" t="inlineStr">
        <is>
          <t>court/clerk</t>
        </is>
      </c>
      <c r="K136" s="8" t="inlineStr"/>
      <c r="L136" s="8" t="inlineStr"/>
      <c r="M136" s="8" t="inlineStr"/>
      <c r="N136" s="8" t="inlineStr">
        <is>
          <t>Judge completes.</t>
        </is>
      </c>
      <c r="O136" s="8" t="inlineStr"/>
    </row>
    <row r="137">
      <c r="A137" s="8" t="n">
        <v>136</v>
      </c>
      <c r="B137" s="8" t="n">
        <v>5</v>
      </c>
      <c r="C137" s="8" t="inlineStr">
        <is>
          <t>16 (court)</t>
        </is>
      </c>
      <c r="D137" s="8" t="inlineStr">
        <is>
          <t>Name or other way to ID animal</t>
        </is>
      </c>
      <c r="E137" s="8" t="inlineStr">
        <is>
          <t>DV-110[0].Page5[0].List16[0].Li3[0].item3FullName3_tf2[0]</t>
        </is>
      </c>
      <c r="F137" s="8" t="inlineStr">
        <is>
          <t>text</t>
        </is>
      </c>
      <c r="G137" s="8" t="inlineStr"/>
      <c r="H137" s="8" t="inlineStr"/>
      <c r="I137" s="8" t="inlineStr">
        <is>
          <t>78, 309, 237, 322</t>
        </is>
      </c>
      <c r="J137" s="8" t="inlineStr">
        <is>
          <t>court/clerk</t>
        </is>
      </c>
      <c r="K137" s="8" t="inlineStr"/>
      <c r="L137" s="8" t="inlineStr"/>
      <c r="M137" s="8" t="inlineStr"/>
      <c r="N137" s="8" t="inlineStr">
        <is>
          <t>Judge completes.</t>
        </is>
      </c>
      <c r="O137" s="8" t="inlineStr"/>
    </row>
    <row r="138">
      <c r="A138" s="8" t="n">
        <v>137</v>
      </c>
      <c r="B138" s="8" t="n">
        <v>5</v>
      </c>
      <c r="C138" s="8" t="inlineStr">
        <is>
          <t>16 (court)</t>
        </is>
      </c>
      <c r="D138" s="8" t="inlineStr">
        <is>
          <t>Type of animal</t>
        </is>
      </c>
      <c r="E138" s="8" t="inlineStr">
        <is>
          <t>DV-110[0].Page5[0].List16[0].Li3[0].item3relation2_tf4[0]</t>
        </is>
      </c>
      <c r="F138" s="8" t="inlineStr">
        <is>
          <t>text</t>
        </is>
      </c>
      <c r="G138" s="8" t="inlineStr"/>
      <c r="H138" s="8" t="inlineStr"/>
      <c r="I138" s="8" t="inlineStr">
        <is>
          <t>240, 309, 345, 322</t>
        </is>
      </c>
      <c r="J138" s="8" t="inlineStr">
        <is>
          <t>court/clerk</t>
        </is>
      </c>
      <c r="K138" s="8" t="inlineStr"/>
      <c r="L138" s="8" t="inlineStr"/>
      <c r="M138" s="8" t="inlineStr"/>
      <c r="N138" s="8" t="inlineStr">
        <is>
          <t>Judge completes.</t>
        </is>
      </c>
      <c r="O138" s="8" t="inlineStr"/>
    </row>
    <row r="139">
      <c r="A139" s="8" t="n">
        <v>138</v>
      </c>
      <c r="B139" s="8" t="n">
        <v>5</v>
      </c>
      <c r="C139" s="8" t="inlineStr">
        <is>
          <t>16 (court)</t>
        </is>
      </c>
      <c r="D139" s="8" t="inlineStr">
        <is>
          <t>Breed (if known)</t>
        </is>
      </c>
      <c r="E139" s="8" t="inlineStr">
        <is>
          <t>DV-110[0].Page5[0].List16[0].Li3[0].item3relation1_tf5[0]</t>
        </is>
      </c>
      <c r="F139" s="8" t="inlineStr">
        <is>
          <t>text</t>
        </is>
      </c>
      <c r="G139" s="8" t="inlineStr"/>
      <c r="H139" s="8" t="inlineStr"/>
      <c r="I139" s="8" t="inlineStr">
        <is>
          <t>351, 309, 454, 322</t>
        </is>
      </c>
      <c r="J139" s="8" t="inlineStr">
        <is>
          <t>court/clerk</t>
        </is>
      </c>
      <c r="K139" s="8" t="inlineStr"/>
      <c r="L139" s="8" t="inlineStr"/>
      <c r="M139" s="8" t="inlineStr"/>
      <c r="N139" s="8" t="inlineStr">
        <is>
          <t>Judge completes.</t>
        </is>
      </c>
      <c r="O139" s="8" t="inlineStr"/>
    </row>
    <row r="140">
      <c r="A140" s="8" t="n">
        <v>139</v>
      </c>
      <c r="B140" s="8" t="n">
        <v>5</v>
      </c>
      <c r="C140" s="8" t="inlineStr">
        <is>
          <t>16 (court)</t>
        </is>
      </c>
      <c r="D140" s="8" t="inlineStr">
        <is>
          <t>Color</t>
        </is>
      </c>
      <c r="E140" s="8" t="inlineStr">
        <is>
          <t>DV-110[0].Page5[0].List16[0].Li3[0].item3relation1_tf6[0]</t>
        </is>
      </c>
      <c r="F140" s="8" t="inlineStr">
        <is>
          <t>text</t>
        </is>
      </c>
      <c r="G140" s="8" t="inlineStr"/>
      <c r="H140" s="8" t="inlineStr"/>
      <c r="I140" s="8" t="inlineStr">
        <is>
          <t>459, 309, 564, 322</t>
        </is>
      </c>
      <c r="J140" s="8" t="inlineStr">
        <is>
          <t>court/clerk</t>
        </is>
      </c>
      <c r="K140" s="8" t="inlineStr"/>
      <c r="L140" s="8" t="inlineStr"/>
      <c r="M140" s="8" t="inlineStr"/>
      <c r="N140" s="8" t="inlineStr">
        <is>
          <t>Judge completes.</t>
        </is>
      </c>
      <c r="O140" s="8" t="inlineStr"/>
    </row>
    <row r="141">
      <c r="A141" s="8" t="n">
        <v>140</v>
      </c>
      <c r="B141" s="8" t="n">
        <v>5</v>
      </c>
      <c r="C141" s="8" t="inlineStr">
        <is>
          <t>16 (court)</t>
        </is>
      </c>
      <c r="D141" s="8" t="inlineStr">
        <is>
          <t>Name or other way to ID animal</t>
        </is>
      </c>
      <c r="E141" s="8" t="inlineStr">
        <is>
          <t>DV-110[0].Page5[0].List16[0].Li3[0].item3FullName3_tf7[0]</t>
        </is>
      </c>
      <c r="F141" s="8" t="inlineStr">
        <is>
          <t>text</t>
        </is>
      </c>
      <c r="G141" s="8" t="inlineStr"/>
      <c r="H141" s="8" t="inlineStr"/>
      <c r="I141" s="8" t="inlineStr">
        <is>
          <t>78, 324, 237, 337</t>
        </is>
      </c>
      <c r="J141" s="8" t="inlineStr">
        <is>
          <t>court/clerk</t>
        </is>
      </c>
      <c r="K141" s="8" t="inlineStr"/>
      <c r="L141" s="8" t="inlineStr"/>
      <c r="M141" s="8" t="inlineStr"/>
      <c r="N141" s="8" t="inlineStr">
        <is>
          <t>Judge completes.</t>
        </is>
      </c>
      <c r="O141" s="8" t="inlineStr"/>
    </row>
    <row r="142">
      <c r="A142" s="8" t="n">
        <v>141</v>
      </c>
      <c r="B142" s="8" t="n">
        <v>5</v>
      </c>
      <c r="C142" s="8" t="inlineStr">
        <is>
          <t>16 (court)</t>
        </is>
      </c>
      <c r="D142" s="8" t="inlineStr">
        <is>
          <t>Type of animal</t>
        </is>
      </c>
      <c r="E142" s="8" t="inlineStr">
        <is>
          <t>DV-110[0].Page5[0].List16[0].Li3[0].item3relation2_tf8[0]</t>
        </is>
      </c>
      <c r="F142" s="8" t="inlineStr">
        <is>
          <t>text</t>
        </is>
      </c>
      <c r="G142" s="8" t="inlineStr"/>
      <c r="H142" s="8" t="inlineStr"/>
      <c r="I142" s="8" t="inlineStr">
        <is>
          <t>240, 324, 345, 337</t>
        </is>
      </c>
      <c r="J142" s="8" t="inlineStr">
        <is>
          <t>court/clerk</t>
        </is>
      </c>
      <c r="K142" s="8" t="inlineStr"/>
      <c r="L142" s="8" t="inlineStr"/>
      <c r="M142" s="8" t="inlineStr"/>
      <c r="N142" s="8" t="inlineStr">
        <is>
          <t>Judge completes.</t>
        </is>
      </c>
      <c r="O142" s="8" t="inlineStr"/>
    </row>
    <row r="143">
      <c r="A143" s="8" t="n">
        <v>142</v>
      </c>
      <c r="B143" s="8" t="n">
        <v>5</v>
      </c>
      <c r="C143" s="8" t="inlineStr">
        <is>
          <t>16 (court)</t>
        </is>
      </c>
      <c r="D143" s="8" t="inlineStr">
        <is>
          <t>Breed (if known)</t>
        </is>
      </c>
      <c r="E143" s="8" t="inlineStr">
        <is>
          <t>DV-110[0].Page5[0].List16[0].Li3[0].item3relation1_tf9[0]</t>
        </is>
      </c>
      <c r="F143" s="8" t="inlineStr">
        <is>
          <t>text</t>
        </is>
      </c>
      <c r="G143" s="8" t="inlineStr"/>
      <c r="H143" s="8" t="inlineStr"/>
      <c r="I143" s="8" t="inlineStr">
        <is>
          <t>351, 324, 454, 337</t>
        </is>
      </c>
      <c r="J143" s="8" t="inlineStr">
        <is>
          <t>court/clerk</t>
        </is>
      </c>
      <c r="K143" s="8" t="inlineStr"/>
      <c r="L143" s="8" t="inlineStr"/>
      <c r="M143" s="8" t="inlineStr"/>
      <c r="N143" s="8" t="inlineStr">
        <is>
          <t>Judge completes.</t>
        </is>
      </c>
      <c r="O143" s="8" t="inlineStr"/>
    </row>
    <row r="144">
      <c r="A144" s="8" t="n">
        <v>143</v>
      </c>
      <c r="B144" s="8" t="n">
        <v>5</v>
      </c>
      <c r="C144" s="8" t="inlineStr">
        <is>
          <t>16 (court)</t>
        </is>
      </c>
      <c r="D144" s="8" t="inlineStr">
        <is>
          <t>Color</t>
        </is>
      </c>
      <c r="E144" s="8" t="inlineStr">
        <is>
          <t>DV-110[0].Page5[0].List16[0].Li3[0].item3relation1_tf10[0]</t>
        </is>
      </c>
      <c r="F144" s="8" t="inlineStr">
        <is>
          <t>text</t>
        </is>
      </c>
      <c r="G144" s="8" t="inlineStr"/>
      <c r="H144" s="8" t="inlineStr"/>
      <c r="I144" s="8" t="inlineStr">
        <is>
          <t>459, 324, 564, 337</t>
        </is>
      </c>
      <c r="J144" s="8" t="inlineStr">
        <is>
          <t>court/clerk</t>
        </is>
      </c>
      <c r="K144" s="8" t="inlineStr"/>
      <c r="L144" s="8" t="inlineStr"/>
      <c r="M144" s="8" t="inlineStr"/>
      <c r="N144" s="8" t="inlineStr">
        <is>
          <t>Judge completes.</t>
        </is>
      </c>
      <c r="O144" s="8" t="inlineStr"/>
    </row>
    <row r="145">
      <c r="A145" s="8" t="n">
        <v>144</v>
      </c>
      <c r="B145" s="8" t="n">
        <v>5</v>
      </c>
      <c r="C145" s="8" t="inlineStr">
        <is>
          <t>16 (court)</t>
        </is>
      </c>
      <c r="D145" s="8" t="inlineStr">
        <is>
          <t>Name or other way to ID animal</t>
        </is>
      </c>
      <c r="E145" s="8" t="inlineStr">
        <is>
          <t>DV-110[0].Page5[0].List16[0].Li3[0].item3FullName3_tf11[0]</t>
        </is>
      </c>
      <c r="F145" s="8" t="inlineStr">
        <is>
          <t>text</t>
        </is>
      </c>
      <c r="G145" s="8" t="inlineStr"/>
      <c r="H145" s="8" t="inlineStr"/>
      <c r="I145" s="8" t="inlineStr">
        <is>
          <t>78, 339, 237, 352</t>
        </is>
      </c>
      <c r="J145" s="8" t="inlineStr">
        <is>
          <t>court/clerk</t>
        </is>
      </c>
      <c r="K145" s="8" t="inlineStr"/>
      <c r="L145" s="8" t="inlineStr"/>
      <c r="M145" s="8" t="inlineStr"/>
      <c r="N145" s="8" t="inlineStr">
        <is>
          <t>Judge completes.</t>
        </is>
      </c>
      <c r="O145" s="8" t="inlineStr"/>
    </row>
    <row r="146">
      <c r="A146" s="8" t="n">
        <v>145</v>
      </c>
      <c r="B146" s="8" t="n">
        <v>5</v>
      </c>
      <c r="C146" s="8" t="inlineStr">
        <is>
          <t>16 (court)</t>
        </is>
      </c>
      <c r="D146" s="8" t="inlineStr">
        <is>
          <t>Type of animal</t>
        </is>
      </c>
      <c r="E146" s="8" t="inlineStr">
        <is>
          <t>DV-110[0].Page5[0].List16[0].Li3[0].item3relation2_tf12[0]</t>
        </is>
      </c>
      <c r="F146" s="8" t="inlineStr">
        <is>
          <t>text</t>
        </is>
      </c>
      <c r="G146" s="8" t="inlineStr"/>
      <c r="H146" s="8" t="inlineStr"/>
      <c r="I146" s="8" t="inlineStr">
        <is>
          <t>240, 339, 345, 352</t>
        </is>
      </c>
      <c r="J146" s="8" t="inlineStr">
        <is>
          <t>court/clerk</t>
        </is>
      </c>
      <c r="K146" s="8" t="inlineStr"/>
      <c r="L146" s="8" t="inlineStr"/>
      <c r="M146" s="8" t="inlineStr"/>
      <c r="N146" s="8" t="inlineStr">
        <is>
          <t>Judge completes.</t>
        </is>
      </c>
      <c r="O146" s="8" t="inlineStr"/>
    </row>
    <row r="147">
      <c r="A147" s="8" t="n">
        <v>146</v>
      </c>
      <c r="B147" s="8" t="n">
        <v>5</v>
      </c>
      <c r="C147" s="8" t="inlineStr">
        <is>
          <t>16 (court)</t>
        </is>
      </c>
      <c r="D147" s="8" t="inlineStr">
        <is>
          <t>Breed (if known)</t>
        </is>
      </c>
      <c r="E147" s="8" t="inlineStr">
        <is>
          <t>DV-110[0].Page5[0].List16[0].Li3[0].item3relation1_tf13[0]</t>
        </is>
      </c>
      <c r="F147" s="8" t="inlineStr">
        <is>
          <t>text</t>
        </is>
      </c>
      <c r="G147" s="8" t="inlineStr"/>
      <c r="H147" s="8" t="inlineStr"/>
      <c r="I147" s="8" t="inlineStr">
        <is>
          <t>351, 339, 454, 352</t>
        </is>
      </c>
      <c r="J147" s="8" t="inlineStr">
        <is>
          <t>court/clerk</t>
        </is>
      </c>
      <c r="K147" s="8" t="inlineStr"/>
      <c r="L147" s="8" t="inlineStr"/>
      <c r="M147" s="8" t="inlineStr"/>
      <c r="N147" s="8" t="inlineStr">
        <is>
          <t>Judge completes.</t>
        </is>
      </c>
      <c r="O147" s="8" t="inlineStr"/>
    </row>
    <row r="148">
      <c r="A148" s="8" t="n">
        <v>147</v>
      </c>
      <c r="B148" s="8" t="n">
        <v>5</v>
      </c>
      <c r="C148" s="8" t="inlineStr">
        <is>
          <t>16 (court)</t>
        </is>
      </c>
      <c r="D148" s="8" t="inlineStr">
        <is>
          <t>Color</t>
        </is>
      </c>
      <c r="E148" s="8" t="inlineStr">
        <is>
          <t>DV-110[0].Page5[0].List16[0].Li3[0].item3relation1_tf[0]</t>
        </is>
      </c>
      <c r="F148" s="8" t="inlineStr">
        <is>
          <t>text</t>
        </is>
      </c>
      <c r="G148" s="8" t="inlineStr"/>
      <c r="H148" s="8" t="inlineStr"/>
      <c r="I148" s="8" t="inlineStr">
        <is>
          <t>459, 339, 564, 352</t>
        </is>
      </c>
      <c r="J148" s="8" t="inlineStr">
        <is>
          <t>court/clerk</t>
        </is>
      </c>
      <c r="K148" s="8" t="inlineStr"/>
      <c r="L148" s="8" t="inlineStr"/>
      <c r="M148" s="8" t="inlineStr"/>
      <c r="N148" s="8" t="inlineStr">
        <is>
          <t>Judge completes.</t>
        </is>
      </c>
      <c r="O148" s="8" t="inlineStr"/>
    </row>
    <row r="149">
      <c r="A149" s="8" t="n">
        <v>148</v>
      </c>
      <c r="B149" s="8" t="n">
        <v>5</v>
      </c>
      <c r="C149" s="8" t="inlineStr">
        <is>
          <t>17 (court)</t>
        </is>
      </c>
      <c r="D149" s="8" t="inlineStr">
        <is>
          <t>Not requested</t>
        </is>
      </c>
      <c r="E149" s="8" t="inlineStr">
        <is>
          <t>DV-110[0].Page5[0].List17[0].Li1[0].item14_cb[0]</t>
        </is>
      </c>
      <c r="F149" s="8" t="inlineStr">
        <is>
          <t>checkbox</t>
        </is>
      </c>
      <c r="G149" s="8" t="inlineStr">
        <is>
          <t>5</t>
        </is>
      </c>
      <c r="H149" s="8" t="inlineStr"/>
      <c r="I149" s="8" t="inlineStr">
        <is>
          <t>196, 392, 205, 401</t>
        </is>
      </c>
      <c r="J149" s="8" t="inlineStr">
        <is>
          <t>court/clerk</t>
        </is>
      </c>
      <c r="K149" s="8" t="inlineStr"/>
      <c r="L149" s="8" t="inlineStr"/>
      <c r="M149" s="8" t="inlineStr"/>
      <c r="N149" s="8" t="inlineStr">
        <is>
          <t>Judge completes.</t>
        </is>
      </c>
      <c r="O149" s="8" t="inlineStr"/>
    </row>
    <row r="150">
      <c r="A150" s="8" t="n">
        <v>149</v>
      </c>
      <c r="B150" s="8" t="n">
        <v>5</v>
      </c>
      <c r="C150" s="8" t="inlineStr">
        <is>
          <t>17 (court)</t>
        </is>
      </c>
      <c r="D150" s="8" t="inlineStr">
        <is>
          <t>Denied until the hearing</t>
        </is>
      </c>
      <c r="E150" s="8" t="inlineStr">
        <is>
          <t>DV-110[0].Page5[0].List17[0].Li1[0].item14_cb[1]</t>
        </is>
      </c>
      <c r="F150" s="8" t="inlineStr">
        <is>
          <t>checkbox</t>
        </is>
      </c>
      <c r="G150" s="8" t="inlineStr">
        <is>
          <t>12</t>
        </is>
      </c>
      <c r="H150" s="8" t="inlineStr"/>
      <c r="I150" s="8" t="inlineStr">
        <is>
          <t>289, 392, 298, 401</t>
        </is>
      </c>
      <c r="J150" s="8" t="inlineStr">
        <is>
          <t>court/clerk</t>
        </is>
      </c>
      <c r="K150" s="8" t="inlineStr"/>
      <c r="L150" s="8" t="inlineStr"/>
      <c r="M150" s="8" t="inlineStr"/>
      <c r="N150" s="8" t="inlineStr">
        <is>
          <t>Judge completes.</t>
        </is>
      </c>
      <c r="O150" s="8" t="inlineStr"/>
    </row>
    <row r="151">
      <c r="A151" s="8" t="n">
        <v>150</v>
      </c>
      <c r="B151" s="8" t="n">
        <v>5</v>
      </c>
      <c r="C151" s="8" t="inlineStr">
        <is>
          <t>17 (court)</t>
        </is>
      </c>
      <c r="D151" s="8" t="inlineStr">
        <is>
          <t>Granted as follows:</t>
        </is>
      </c>
      <c r="E151" s="8" t="inlineStr">
        <is>
          <t>DV-110[0].Page5[0].List17[0].Li1[0].item14_cb[2]</t>
        </is>
      </c>
      <c r="F151" s="8" t="inlineStr">
        <is>
          <t>checkbox</t>
        </is>
      </c>
      <c r="G151" s="8" t="inlineStr">
        <is>
          <t>23</t>
        </is>
      </c>
      <c r="H151" s="8" t="inlineStr"/>
      <c r="I151" s="8" t="inlineStr">
        <is>
          <t>431, 392, 440, 401</t>
        </is>
      </c>
      <c r="J151" s="8" t="inlineStr">
        <is>
          <t>court/clerk</t>
        </is>
      </c>
      <c r="K151" s="8" t="inlineStr"/>
      <c r="L151" s="8" t="inlineStr"/>
      <c r="M151" s="8" t="inlineStr"/>
      <c r="N151" s="8" t="inlineStr">
        <is>
          <t>Judge completes.</t>
        </is>
      </c>
      <c r="O151" s="8" t="inlineStr"/>
    </row>
    <row r="152">
      <c r="A152" s="8" t="n">
        <v>151</v>
      </c>
      <c r="B152" s="8" t="n">
        <v>5</v>
      </c>
      <c r="C152" s="8" t="inlineStr">
        <is>
          <t>17 (court)</t>
        </is>
      </c>
      <c r="D152" s="8" t="inlineStr">
        <is>
          <t>Until the hearing, only the person in item 1 can use, control, and possess the following property</t>
        </is>
      </c>
      <c r="E152" s="8" t="inlineStr">
        <is>
          <t>DV-110[0].Page5[0].List17[0].Li1[0].OtherSpecify_tf[0]</t>
        </is>
      </c>
      <c r="F152" s="8" t="inlineStr">
        <is>
          <t>text</t>
        </is>
      </c>
      <c r="G152" s="8" t="inlineStr"/>
      <c r="H152" s="8" t="inlineStr"/>
      <c r="I152" s="8" t="inlineStr">
        <is>
          <t>62, 425, 566, 468</t>
        </is>
      </c>
      <c r="J152" s="8" t="inlineStr">
        <is>
          <t>court/clerk</t>
        </is>
      </c>
      <c r="K152" s="8" t="inlineStr"/>
      <c r="L152" s="8" t="inlineStr"/>
      <c r="M152" s="8" t="inlineStr"/>
      <c r="N152" s="8" t="inlineStr">
        <is>
          <t>Judge completes.</t>
        </is>
      </c>
      <c r="O152" s="8" t="inlineStr"/>
    </row>
    <row r="153">
      <c r="A153" s="8" t="n">
        <v>152</v>
      </c>
      <c r="B153" s="8" t="n">
        <v>5</v>
      </c>
      <c r="C153" s="8" t="inlineStr">
        <is>
          <t>18 (court)</t>
        </is>
      </c>
      <c r="D153" s="8" t="inlineStr">
        <is>
          <t>Not requested</t>
        </is>
      </c>
      <c r="E153" s="8" t="inlineStr">
        <is>
          <t>DV-110[0].Page5[0].List18[0].Li1[0].item15_cb[0]</t>
        </is>
      </c>
      <c r="F153" s="8" t="inlineStr">
        <is>
          <t>checkbox</t>
        </is>
      </c>
      <c r="G153" s="8" t="inlineStr">
        <is>
          <t>5</t>
        </is>
      </c>
      <c r="H153" s="8" t="inlineStr"/>
      <c r="I153" s="8" t="inlineStr">
        <is>
          <t>239, 510, 248, 519</t>
        </is>
      </c>
      <c r="J153" s="8" t="inlineStr">
        <is>
          <t>court/clerk</t>
        </is>
      </c>
      <c r="K153" s="8" t="inlineStr"/>
      <c r="L153" s="8" t="inlineStr"/>
      <c r="M153" s="8" t="inlineStr"/>
      <c r="N153" s="8" t="inlineStr">
        <is>
          <t>Judge completes.</t>
        </is>
      </c>
      <c r="O153" s="8" t="inlineStr"/>
    </row>
    <row r="154">
      <c r="A154" s="8" t="n">
        <v>153</v>
      </c>
      <c r="B154" s="8" t="n">
        <v>5</v>
      </c>
      <c r="C154" s="8" t="inlineStr">
        <is>
          <t>18 (court)</t>
        </is>
      </c>
      <c r="D154" s="8" t="inlineStr">
        <is>
          <t>Denied until the hearing</t>
        </is>
      </c>
      <c r="E154" s="8" t="inlineStr">
        <is>
          <t>DV-110[0].Page5[0].List18[0].Li1[0].item15_cb[1]</t>
        </is>
      </c>
      <c r="F154" s="8" t="inlineStr">
        <is>
          <t>checkbox</t>
        </is>
      </c>
      <c r="G154" s="8" t="inlineStr">
        <is>
          <t>12</t>
        </is>
      </c>
      <c r="H154" s="8" t="inlineStr"/>
      <c r="I154" s="8" t="inlineStr">
        <is>
          <t>326, 510, 335, 519</t>
        </is>
      </c>
      <c r="J154" s="8" t="inlineStr">
        <is>
          <t>court/clerk</t>
        </is>
      </c>
      <c r="K154" s="8" t="inlineStr"/>
      <c r="L154" s="8" t="inlineStr"/>
      <c r="M154" s="8" t="inlineStr"/>
      <c r="N154" s="8" t="inlineStr">
        <is>
          <t>Judge completes.</t>
        </is>
      </c>
      <c r="O154" s="8" t="inlineStr"/>
    </row>
    <row r="155">
      <c r="A155" s="8" t="n">
        <v>154</v>
      </c>
      <c r="B155" s="8" t="n">
        <v>5</v>
      </c>
      <c r="C155" s="8" t="inlineStr">
        <is>
          <t>18 (court)</t>
        </is>
      </c>
      <c r="D155" s="8" t="inlineStr">
        <is>
          <t>Granted as follows:</t>
        </is>
      </c>
      <c r="E155" s="8" t="inlineStr">
        <is>
          <t>DV-110[0].Page5[0].List18[0].Li1[0].item15_cb[2]</t>
        </is>
      </c>
      <c r="F155" s="8" t="inlineStr">
        <is>
          <t>checkbox</t>
        </is>
      </c>
      <c r="G155" s="8" t="inlineStr">
        <is>
          <t>23</t>
        </is>
      </c>
      <c r="H155" s="8" t="inlineStr"/>
      <c r="I155" s="8" t="inlineStr">
        <is>
          <t>462, 510, 471, 519</t>
        </is>
      </c>
      <c r="J155" s="8" t="inlineStr">
        <is>
          <t>court/clerk</t>
        </is>
      </c>
      <c r="K155" s="8" t="inlineStr"/>
      <c r="L155" s="8" t="inlineStr"/>
      <c r="M155" s="8" t="inlineStr"/>
      <c r="N155" s="8" t="inlineStr">
        <is>
          <t>Judge completes.</t>
        </is>
      </c>
      <c r="O155" s="8" t="inlineStr"/>
    </row>
    <row r="156">
      <c r="A156" s="8" t="n">
        <v>155</v>
      </c>
      <c r="B156" s="8" t="n">
        <v>5</v>
      </c>
      <c r="C156" s="8" t="inlineStr">
        <is>
          <t>18 (court)</t>
        </is>
      </c>
      <c r="D156" s="8" t="inlineStr">
        <is>
          <t>in 1</t>
        </is>
      </c>
      <c r="E156" s="8" t="inlineStr">
        <is>
          <t>DV-110[0].Page5[0].List18[0].Li1[0].PersonIn1_cb[0]</t>
        </is>
      </c>
      <c r="F156" s="8" t="inlineStr">
        <is>
          <t>checkbox</t>
        </is>
      </c>
      <c r="G156" s="8" t="inlineStr">
        <is>
          <t>1</t>
        </is>
      </c>
      <c r="H156" s="8" t="inlineStr"/>
      <c r="I156" s="8" t="inlineStr">
        <is>
          <t>123, 530, 132, 539</t>
        </is>
      </c>
      <c r="J156" s="8" t="inlineStr">
        <is>
          <t>court/clerk</t>
        </is>
      </c>
      <c r="K156" s="8" t="inlineStr"/>
      <c r="L156" s="8" t="inlineStr"/>
      <c r="M156" s="8" t="inlineStr"/>
      <c r="N156" s="8" t="inlineStr">
        <is>
          <t>Judge completes.</t>
        </is>
      </c>
      <c r="O156" s="8" t="inlineStr"/>
    </row>
    <row r="157">
      <c r="A157" s="8" t="n">
        <v>156</v>
      </c>
      <c r="B157" s="8" t="n">
        <v>5</v>
      </c>
      <c r="C157" s="8" t="inlineStr">
        <is>
          <t>18 (court)</t>
        </is>
      </c>
      <c r="D157" s="8" t="inlineStr">
        <is>
          <t>in 2</t>
        </is>
      </c>
      <c r="E157" s="8" t="inlineStr">
        <is>
          <t>DV-110[0].Page5[0].List18[0].Li1[0].PersonIn2_cb[0]</t>
        </is>
      </c>
      <c r="F157" s="8" t="inlineStr">
        <is>
          <t>checkbox</t>
        </is>
      </c>
      <c r="G157" s="8" t="inlineStr">
        <is>
          <t>1</t>
        </is>
      </c>
      <c r="H157" s="8" t="inlineStr"/>
      <c r="I157" s="8" t="inlineStr">
        <is>
          <t>170, 530, 179, 539</t>
        </is>
      </c>
      <c r="J157" s="8" t="inlineStr">
        <is>
          <t>court/clerk</t>
        </is>
      </c>
      <c r="K157" s="8" t="inlineStr"/>
      <c r="L157" s="8" t="inlineStr"/>
      <c r="M157" s="8" t="inlineStr"/>
      <c r="N157" s="8" t="inlineStr">
        <is>
          <t>Judge completes.</t>
        </is>
      </c>
      <c r="O157" s="8" t="inlineStr"/>
    </row>
    <row r="158">
      <c r="A158" s="8" t="n">
        <v>157</v>
      </c>
      <c r="B158" s="8" t="n">
        <v>5</v>
      </c>
      <c r="C158" s="8" t="inlineStr">
        <is>
          <t>19 (court)</t>
        </is>
      </c>
      <c r="D158" s="8" t="inlineStr">
        <is>
          <t>Not requested</t>
        </is>
      </c>
      <c r="E158" s="8" t="inlineStr">
        <is>
          <t>DV-110[0].Page5[0].List19[0].Li1[0].item16_cb[0]</t>
        </is>
      </c>
      <c r="F158" s="8" t="inlineStr">
        <is>
          <t>checkbox</t>
        </is>
      </c>
      <c r="G158" s="8" t="inlineStr">
        <is>
          <t>5</t>
        </is>
      </c>
      <c r="H158" s="8" t="inlineStr"/>
      <c r="I158" s="8" t="inlineStr">
        <is>
          <t>227, 612, 236, 621</t>
        </is>
      </c>
      <c r="J158" s="8" t="inlineStr">
        <is>
          <t>court/clerk</t>
        </is>
      </c>
      <c r="K158" s="8" t="inlineStr"/>
      <c r="L158" s="8" t="inlineStr"/>
      <c r="M158" s="8" t="inlineStr"/>
      <c r="N158" s="8" t="inlineStr">
        <is>
          <t>Judge completes.</t>
        </is>
      </c>
      <c r="O158" s="8" t="inlineStr"/>
    </row>
    <row r="159">
      <c r="A159" s="8" t="n">
        <v>158</v>
      </c>
      <c r="B159" s="8" t="n">
        <v>5</v>
      </c>
      <c r="C159" s="8" t="inlineStr">
        <is>
          <t>19 (court)</t>
        </is>
      </c>
      <c r="D159" s="8" t="inlineStr">
        <is>
          <t>Denied until the hearing</t>
        </is>
      </c>
      <c r="E159" s="8" t="inlineStr">
        <is>
          <t>DV-110[0].Page5[0].List19[0].Li1[0].item16_cb[1]</t>
        </is>
      </c>
      <c r="F159" s="8" t="inlineStr">
        <is>
          <t>checkbox</t>
        </is>
      </c>
      <c r="G159" s="8" t="inlineStr">
        <is>
          <t>12</t>
        </is>
      </c>
      <c r="H159" s="8" t="inlineStr"/>
      <c r="I159" s="8" t="inlineStr">
        <is>
          <t>320, 612, 329, 621</t>
        </is>
      </c>
      <c r="J159" s="8" t="inlineStr">
        <is>
          <t>court/clerk</t>
        </is>
      </c>
      <c r="K159" s="8" t="inlineStr"/>
      <c r="L159" s="8" t="inlineStr"/>
      <c r="M159" s="8" t="inlineStr"/>
      <c r="N159" s="8" t="inlineStr">
        <is>
          <t>Judge completes.</t>
        </is>
      </c>
      <c r="O159" s="8" t="inlineStr"/>
    </row>
    <row r="160">
      <c r="A160" s="8" t="n">
        <v>159</v>
      </c>
      <c r="B160" s="8" t="n">
        <v>5</v>
      </c>
      <c r="C160" s="8" t="inlineStr">
        <is>
          <t>19 (court)</t>
        </is>
      </c>
      <c r="D160" s="8" t="inlineStr">
        <is>
          <t>Granted as follows:</t>
        </is>
      </c>
      <c r="E160" s="8" t="inlineStr">
        <is>
          <t>DV-110[0].Page5[0].List19[0].Li1[0].item16_cb[2]</t>
        </is>
      </c>
      <c r="F160" s="8" t="inlineStr">
        <is>
          <t>checkbox</t>
        </is>
      </c>
      <c r="G160" s="8" t="inlineStr">
        <is>
          <t>23</t>
        </is>
      </c>
      <c r="H160" s="8" t="inlineStr"/>
      <c r="I160" s="8" t="inlineStr">
        <is>
          <t>462, 612, 471, 621</t>
        </is>
      </c>
      <c r="J160" s="8" t="inlineStr">
        <is>
          <t>court/clerk</t>
        </is>
      </c>
      <c r="K160" s="8" t="inlineStr"/>
      <c r="L160" s="8" t="inlineStr"/>
      <c r="M160" s="8" t="inlineStr"/>
      <c r="N160" s="8" t="inlineStr">
        <is>
          <t>Judge completes.</t>
        </is>
      </c>
      <c r="O160" s="8" t="inlineStr"/>
    </row>
    <row r="161">
      <c r="A161" s="5" t="n">
        <v>160</v>
      </c>
      <c r="B161" s="5" t="n">
        <v>6</v>
      </c>
      <c r="C161" s="5" t="inlineStr">
        <is>
          <t>Caption</t>
        </is>
      </c>
      <c r="D161" s="5" t="inlineStr">
        <is>
          <t>Case Number:</t>
        </is>
      </c>
      <c r="E161" s="5" t="inlineStr">
        <is>
          <t>DV-110[0].Page6[0].PxCaption[0].CaseNumber[0]</t>
        </is>
      </c>
      <c r="F161" s="5" t="inlineStr">
        <is>
          <t>text</t>
        </is>
      </c>
      <c r="G161" s="5" t="inlineStr"/>
      <c r="H161" s="5" t="inlineStr"/>
      <c r="I161" s="5" t="inlineStr">
        <is>
          <t>398, 48, 573, 63</t>
        </is>
      </c>
      <c r="J161" s="5" t="inlineStr">
        <is>
          <t>question</t>
        </is>
      </c>
      <c r="K161" s="5" t="inlineStr">
        <is>
          <t>S3,S4</t>
        </is>
      </c>
      <c r="L161" s="5">
        <f> S4</f>
        <v/>
      </c>
      <c r="M161" s="5" t="inlineStr">
        <is>
          <t>S3 == "update"; otherwise blank for clerk</t>
        </is>
      </c>
      <c r="N161" s="5" t="inlineStr"/>
      <c r="O161" s="5" t="inlineStr"/>
    </row>
    <row r="162">
      <c r="A162" s="8" t="n">
        <v>161</v>
      </c>
      <c r="B162" s="8" t="n">
        <v>6</v>
      </c>
      <c r="C162" s="8" t="inlineStr">
        <is>
          <t>20 (court)</t>
        </is>
      </c>
      <c r="D162" s="8" t="inlineStr">
        <is>
          <t>Not requested</t>
        </is>
      </c>
      <c r="E162" s="8" t="inlineStr">
        <is>
          <t>DV-110[0].Page6[0].List20[0].Li1[0].item17_cb[0]</t>
        </is>
      </c>
      <c r="F162" s="8" t="inlineStr">
        <is>
          <t>checkbox</t>
        </is>
      </c>
      <c r="G162" s="8" t="inlineStr">
        <is>
          <t>5</t>
        </is>
      </c>
      <c r="H162" s="8" t="inlineStr"/>
      <c r="I162" s="8" t="inlineStr">
        <is>
          <t>196, 89, 205, 98</t>
        </is>
      </c>
      <c r="J162" s="8" t="inlineStr">
        <is>
          <t>court/clerk</t>
        </is>
      </c>
      <c r="K162" s="8" t="inlineStr"/>
      <c r="L162" s="8" t="inlineStr"/>
      <c r="M162" s="8" t="inlineStr"/>
      <c r="N162" s="8" t="inlineStr">
        <is>
          <t>Judge completes.</t>
        </is>
      </c>
      <c r="O162" s="8" t="inlineStr"/>
    </row>
    <row r="163">
      <c r="A163" s="8" t="n">
        <v>162</v>
      </c>
      <c r="B163" s="8" t="n">
        <v>6</v>
      </c>
      <c r="C163" s="8" t="inlineStr">
        <is>
          <t>20 (court)</t>
        </is>
      </c>
      <c r="D163" s="8" t="inlineStr">
        <is>
          <t>Denied until the hearing</t>
        </is>
      </c>
      <c r="E163" s="8" t="inlineStr">
        <is>
          <t>DV-110[0].Page6[0].List20[0].Li1[0].item17_cb[1]</t>
        </is>
      </c>
      <c r="F163" s="8" t="inlineStr">
        <is>
          <t>checkbox</t>
        </is>
      </c>
      <c r="G163" s="8" t="inlineStr">
        <is>
          <t>12</t>
        </is>
      </c>
      <c r="H163" s="8" t="inlineStr"/>
      <c r="I163" s="8" t="inlineStr">
        <is>
          <t>289, 89, 298, 98</t>
        </is>
      </c>
      <c r="J163" s="8" t="inlineStr">
        <is>
          <t>court/clerk</t>
        </is>
      </c>
      <c r="K163" s="8" t="inlineStr"/>
      <c r="L163" s="8" t="inlineStr"/>
      <c r="M163" s="8" t="inlineStr"/>
      <c r="N163" s="8" t="inlineStr">
        <is>
          <t>Judge completes.</t>
        </is>
      </c>
      <c r="O163" s="8" t="inlineStr"/>
    </row>
    <row r="164">
      <c r="A164" s="8" t="n">
        <v>163</v>
      </c>
      <c r="B164" s="8" t="n">
        <v>6</v>
      </c>
      <c r="C164" s="8" t="inlineStr">
        <is>
          <t>20 (court)</t>
        </is>
      </c>
      <c r="D164" s="8" t="inlineStr">
        <is>
          <t>Granted as follows:</t>
        </is>
      </c>
      <c r="E164" s="8" t="inlineStr">
        <is>
          <t>DV-110[0].Page6[0].List20[0].Li1[0].item17_cb[2]</t>
        </is>
      </c>
      <c r="F164" s="8" t="inlineStr">
        <is>
          <t>checkbox</t>
        </is>
      </c>
      <c r="G164" s="8" t="inlineStr">
        <is>
          <t>23</t>
        </is>
      </c>
      <c r="H164" s="8" t="inlineStr"/>
      <c r="I164" s="8" t="inlineStr">
        <is>
          <t>431, 89, 440, 98</t>
        </is>
      </c>
      <c r="J164" s="8" t="inlineStr">
        <is>
          <t>court/clerk</t>
        </is>
      </c>
      <c r="K164" s="8" t="inlineStr"/>
      <c r="L164" s="8" t="inlineStr"/>
      <c r="M164" s="8" t="inlineStr"/>
      <c r="N164" s="8" t="inlineStr">
        <is>
          <t>Judge completes.</t>
        </is>
      </c>
      <c r="O164" s="8" t="inlineStr"/>
    </row>
    <row r="165">
      <c r="A165" s="8" t="n">
        <v>164</v>
      </c>
      <c r="B165" s="8" t="n">
        <v>6</v>
      </c>
      <c r="C165" s="8" t="inlineStr">
        <is>
          <t>20 (court)</t>
        </is>
      </c>
      <c r="D165" s="8" t="inlineStr">
        <is>
          <t>in 1</t>
        </is>
      </c>
      <c r="E165" s="8" t="inlineStr">
        <is>
          <t>DV-110[0].Page6[0].List20[0].Li1[0].PersonIn1_cb[0]</t>
        </is>
      </c>
      <c r="F165" s="8" t="inlineStr">
        <is>
          <t>checkbox</t>
        </is>
      </c>
      <c r="G165" s="8" t="inlineStr">
        <is>
          <t>1</t>
        </is>
      </c>
      <c r="H165" s="8" t="inlineStr"/>
      <c r="I165" s="8" t="inlineStr">
        <is>
          <t>121, 104, 130, 113</t>
        </is>
      </c>
      <c r="J165" s="8" t="inlineStr">
        <is>
          <t>court/clerk</t>
        </is>
      </c>
      <c r="K165" s="8" t="inlineStr"/>
      <c r="L165" s="8" t="inlineStr"/>
      <c r="M165" s="8" t="inlineStr"/>
      <c r="N165" s="8" t="inlineStr">
        <is>
          <t>Judge completes.</t>
        </is>
      </c>
      <c r="O165" s="8" t="inlineStr"/>
    </row>
    <row r="166">
      <c r="A166" s="8" t="n">
        <v>165</v>
      </c>
      <c r="B166" s="8" t="n">
        <v>6</v>
      </c>
      <c r="C166" s="8" t="inlineStr">
        <is>
          <t>20 (court)</t>
        </is>
      </c>
      <c r="D166" s="8" t="inlineStr">
        <is>
          <t>in 2</t>
        </is>
      </c>
      <c r="E166" s="8" t="inlineStr">
        <is>
          <t>DV-110[0].Page6[0].List20[0].Li1[0].PersonIn2_cb[0]</t>
        </is>
      </c>
      <c r="F166" s="8" t="inlineStr">
        <is>
          <t>checkbox</t>
        </is>
      </c>
      <c r="G166" s="8" t="inlineStr">
        <is>
          <t>1</t>
        </is>
      </c>
      <c r="H166" s="8" t="inlineStr"/>
      <c r="I166" s="8" t="inlineStr">
        <is>
          <t>165, 104, 174, 113</t>
        </is>
      </c>
      <c r="J166" s="8" t="inlineStr">
        <is>
          <t>court/clerk</t>
        </is>
      </c>
      <c r="K166" s="8" t="inlineStr"/>
      <c r="L166" s="8" t="inlineStr"/>
      <c r="M166" s="8" t="inlineStr"/>
      <c r="N166" s="8" t="inlineStr">
        <is>
          <t>Judge completes.</t>
        </is>
      </c>
      <c r="O166" s="8" t="inlineStr"/>
    </row>
    <row r="167">
      <c r="A167" s="8" t="n">
        <v>166</v>
      </c>
      <c r="B167" s="8" t="n">
        <v>6</v>
      </c>
      <c r="C167" s="8" t="inlineStr">
        <is>
          <t>21 (court)</t>
        </is>
      </c>
      <c r="D167" s="8" t="inlineStr">
        <is>
          <t>Not requested</t>
        </is>
      </c>
      <c r="E167" s="8" t="inlineStr">
        <is>
          <t>DV-110[0].Page6[0].List21[0].Li1[0].item18_cb[0]</t>
        </is>
      </c>
      <c r="F167" s="8" t="inlineStr">
        <is>
          <t>checkbox</t>
        </is>
      </c>
      <c r="G167" s="8" t="inlineStr">
        <is>
          <t>5</t>
        </is>
      </c>
      <c r="H167" s="8" t="inlineStr"/>
      <c r="I167" s="8" t="inlineStr">
        <is>
          <t>247, 216, 256, 225</t>
        </is>
      </c>
      <c r="J167" s="8" t="inlineStr">
        <is>
          <t>court/clerk</t>
        </is>
      </c>
      <c r="K167" s="8" t="inlineStr"/>
      <c r="L167" s="8" t="inlineStr"/>
      <c r="M167" s="8" t="inlineStr"/>
      <c r="N167" s="8" t="inlineStr">
        <is>
          <t>Judge completes.</t>
        </is>
      </c>
      <c r="O167" s="8" t="inlineStr"/>
    </row>
    <row r="168">
      <c r="A168" s="8" t="n">
        <v>167</v>
      </c>
      <c r="B168" s="8" t="n">
        <v>6</v>
      </c>
      <c r="C168" s="8" t="inlineStr">
        <is>
          <t>21 (court)</t>
        </is>
      </c>
      <c r="D168" s="8" t="inlineStr">
        <is>
          <t>Denied until the hearing</t>
        </is>
      </c>
      <c r="E168" s="8" t="inlineStr">
        <is>
          <t>DV-110[0].Page6[0].List21[0].Li1[0].item18_cb[1]</t>
        </is>
      </c>
      <c r="F168" s="8" t="inlineStr">
        <is>
          <t>checkbox</t>
        </is>
      </c>
      <c r="G168" s="8" t="inlineStr">
        <is>
          <t>12</t>
        </is>
      </c>
      <c r="H168" s="8" t="inlineStr"/>
      <c r="I168" s="8" t="inlineStr">
        <is>
          <t>338, 217, 347, 226</t>
        </is>
      </c>
      <c r="J168" s="8" t="inlineStr">
        <is>
          <t>court/clerk</t>
        </is>
      </c>
      <c r="K168" s="8" t="inlineStr"/>
      <c r="L168" s="8" t="inlineStr"/>
      <c r="M168" s="8" t="inlineStr"/>
      <c r="N168" s="8" t="inlineStr">
        <is>
          <t>Judge completes.</t>
        </is>
      </c>
      <c r="O168" s="8" t="inlineStr"/>
    </row>
    <row r="169">
      <c r="A169" s="8" t="n">
        <v>168</v>
      </c>
      <c r="B169" s="8" t="n">
        <v>6</v>
      </c>
      <c r="C169" s="8" t="inlineStr">
        <is>
          <t>21 (court)</t>
        </is>
      </c>
      <c r="D169" s="8" t="inlineStr">
        <is>
          <t>Granted as follows:</t>
        </is>
      </c>
      <c r="E169" s="8" t="inlineStr">
        <is>
          <t>DV-110[0].Page6[0].List21[0].Li1[0].item18_cb[2]</t>
        </is>
      </c>
      <c r="F169" s="8" t="inlineStr">
        <is>
          <t>checkbox</t>
        </is>
      </c>
      <c r="G169" s="8" t="inlineStr">
        <is>
          <t>23</t>
        </is>
      </c>
      <c r="H169" s="8" t="inlineStr"/>
      <c r="I169" s="8" t="inlineStr">
        <is>
          <t>471, 217, 480, 226</t>
        </is>
      </c>
      <c r="J169" s="8" t="inlineStr">
        <is>
          <t>court/clerk</t>
        </is>
      </c>
      <c r="K169" s="8" t="inlineStr"/>
      <c r="L169" s="8" t="inlineStr"/>
      <c r="M169" s="8" t="inlineStr"/>
      <c r="N169" s="8" t="inlineStr">
        <is>
          <t>Judge completes.</t>
        </is>
      </c>
      <c r="O169" s="8" t="inlineStr"/>
    </row>
    <row r="170">
      <c r="A170" s="8" t="n">
        <v>169</v>
      </c>
      <c r="B170" s="8" t="n">
        <v>6</v>
      </c>
      <c r="C170" s="8" t="inlineStr">
        <is>
          <t>21 (court)</t>
        </is>
      </c>
      <c r="D170" s="8" t="inlineStr">
        <is>
          <t>Pay to:</t>
        </is>
      </c>
      <c r="E170" s="8" t="inlineStr">
        <is>
          <t>DV-110[0].Page6[0].List21[0].Li1[0].T241[0]</t>
        </is>
      </c>
      <c r="F170" s="8" t="inlineStr">
        <is>
          <t>text</t>
        </is>
      </c>
      <c r="G170" s="8" t="inlineStr"/>
      <c r="H170" s="8" t="inlineStr"/>
      <c r="I170" s="8" t="inlineStr">
        <is>
          <t>96, 249, 212, 260</t>
        </is>
      </c>
      <c r="J170" s="8" t="inlineStr">
        <is>
          <t>court/clerk</t>
        </is>
      </c>
      <c r="K170" s="8" t="inlineStr"/>
      <c r="L170" s="8" t="inlineStr"/>
      <c r="M170" s="8" t="inlineStr"/>
      <c r="N170" s="8" t="inlineStr">
        <is>
          <t>Judge completes.</t>
        </is>
      </c>
      <c r="O170" s="8" t="inlineStr"/>
    </row>
    <row r="171">
      <c r="A171" s="8" t="n">
        <v>170</v>
      </c>
      <c r="B171" s="8" t="n">
        <v>6</v>
      </c>
      <c r="C171" s="8" t="inlineStr">
        <is>
          <t>21 (court)</t>
        </is>
      </c>
      <c r="D171" s="8" t="inlineStr">
        <is>
          <t>For:</t>
        </is>
      </c>
      <c r="E171" s="8" t="inlineStr">
        <is>
          <t>DV-110[0].Page6[0].List21[0].Li1[0].T244[0]</t>
        </is>
      </c>
      <c r="F171" s="8" t="inlineStr">
        <is>
          <t>text</t>
        </is>
      </c>
      <c r="G171" s="8" t="inlineStr"/>
      <c r="H171" s="8" t="inlineStr"/>
      <c r="I171" s="8" t="inlineStr">
        <is>
          <t>239, 249, 308, 260</t>
        </is>
      </c>
      <c r="J171" s="8" t="inlineStr">
        <is>
          <t>court/clerk</t>
        </is>
      </c>
      <c r="K171" s="8" t="inlineStr"/>
      <c r="L171" s="8" t="inlineStr"/>
      <c r="M171" s="8" t="inlineStr"/>
      <c r="N171" s="8" t="inlineStr">
        <is>
          <t>Judge completes.</t>
        </is>
      </c>
      <c r="O171" s="8" t="inlineStr"/>
    </row>
    <row r="172">
      <c r="A172" s="8" t="n">
        <v>171</v>
      </c>
      <c r="B172" s="8" t="n">
        <v>6</v>
      </c>
      <c r="C172" s="8" t="inlineStr">
        <is>
          <t>21 (court)</t>
        </is>
      </c>
      <c r="D172" s="8" t="inlineStr">
        <is>
          <t>Amount: $</t>
        </is>
      </c>
      <c r="E172" s="8" t="inlineStr">
        <is>
          <t>DV-110[0].Page6[0].List21[0].Li1[0].T247[0]</t>
        </is>
      </c>
      <c r="F172" s="8" t="inlineStr">
        <is>
          <t>text</t>
        </is>
      </c>
      <c r="G172" s="8" t="inlineStr"/>
      <c r="H172" s="8" t="inlineStr"/>
      <c r="I172" s="8" t="inlineStr">
        <is>
          <t>363, 249, 420, 260</t>
        </is>
      </c>
      <c r="J172" s="8" t="inlineStr">
        <is>
          <t>court/clerk</t>
        </is>
      </c>
      <c r="K172" s="8" t="inlineStr"/>
      <c r="L172" s="8" t="inlineStr"/>
      <c r="M172" s="8" t="inlineStr"/>
      <c r="N172" s="8" t="inlineStr">
        <is>
          <t>Judge completes.</t>
        </is>
      </c>
      <c r="O172" s="8" t="inlineStr"/>
    </row>
    <row r="173">
      <c r="A173" s="8" t="n">
        <v>172</v>
      </c>
      <c r="B173" s="8" t="n">
        <v>6</v>
      </c>
      <c r="C173" s="8" t="inlineStr">
        <is>
          <t>21 (court)</t>
        </is>
      </c>
      <c r="D173" s="8" t="inlineStr">
        <is>
          <t>Due date:</t>
        </is>
      </c>
      <c r="E173" s="8" t="inlineStr">
        <is>
          <t>DV-110[0].Page6[0].List21[0].Li1[0].T250[0]</t>
        </is>
      </c>
      <c r="F173" s="8" t="inlineStr">
        <is>
          <t>text</t>
        </is>
      </c>
      <c r="G173" s="8" t="inlineStr"/>
      <c r="H173" s="8" t="inlineStr"/>
      <c r="I173" s="8" t="inlineStr">
        <is>
          <t>471, 249, 574, 260</t>
        </is>
      </c>
      <c r="J173" s="8" t="inlineStr">
        <is>
          <t>court/clerk</t>
        </is>
      </c>
      <c r="K173" s="8" t="inlineStr"/>
      <c r="L173" s="8" t="inlineStr"/>
      <c r="M173" s="8" t="inlineStr"/>
      <c r="N173" s="8" t="inlineStr">
        <is>
          <t>Judge completes.</t>
        </is>
      </c>
      <c r="O173" s="8" t="inlineStr"/>
    </row>
    <row r="174">
      <c r="A174" s="8" t="n">
        <v>173</v>
      </c>
      <c r="B174" s="8" t="n">
        <v>6</v>
      </c>
      <c r="C174" s="8" t="inlineStr">
        <is>
          <t>21 (court)</t>
        </is>
      </c>
      <c r="D174" s="8" t="inlineStr">
        <is>
          <t>Pay to:</t>
        </is>
      </c>
      <c r="E174" s="8" t="inlineStr">
        <is>
          <t>DV-110[0].Page6[0].List21[0].Li1[0].T341[0]</t>
        </is>
      </c>
      <c r="F174" s="8" t="inlineStr">
        <is>
          <t>text</t>
        </is>
      </c>
      <c r="G174" s="8" t="inlineStr"/>
      <c r="H174" s="8" t="inlineStr"/>
      <c r="I174" s="8" t="inlineStr">
        <is>
          <t>96, 266, 212, 277</t>
        </is>
      </c>
      <c r="J174" s="8" t="inlineStr">
        <is>
          <t>court/clerk</t>
        </is>
      </c>
      <c r="K174" s="8" t="inlineStr"/>
      <c r="L174" s="8" t="inlineStr"/>
      <c r="M174" s="8" t="inlineStr"/>
      <c r="N174" s="8" t="inlineStr">
        <is>
          <t>Judge completes.</t>
        </is>
      </c>
      <c r="O174" s="8" t="inlineStr"/>
    </row>
    <row r="175">
      <c r="A175" s="8" t="n">
        <v>174</v>
      </c>
      <c r="B175" s="8" t="n">
        <v>6</v>
      </c>
      <c r="C175" s="8" t="inlineStr">
        <is>
          <t>21 (court)</t>
        </is>
      </c>
      <c r="D175" s="8" t="inlineStr">
        <is>
          <t>For:</t>
        </is>
      </c>
      <c r="E175" s="8" t="inlineStr">
        <is>
          <t>DV-110[0].Page6[0].List21[0].Li1[0].T344[0]</t>
        </is>
      </c>
      <c r="F175" s="8" t="inlineStr">
        <is>
          <t>text</t>
        </is>
      </c>
      <c r="G175" s="8" t="inlineStr"/>
      <c r="H175" s="8" t="inlineStr"/>
      <c r="I175" s="8" t="inlineStr">
        <is>
          <t>239, 266, 309, 277</t>
        </is>
      </c>
      <c r="J175" s="8" t="inlineStr">
        <is>
          <t>court/clerk</t>
        </is>
      </c>
      <c r="K175" s="8" t="inlineStr"/>
      <c r="L175" s="8" t="inlineStr"/>
      <c r="M175" s="8" t="inlineStr"/>
      <c r="N175" s="8" t="inlineStr">
        <is>
          <t>Judge completes.</t>
        </is>
      </c>
      <c r="O175" s="8" t="inlineStr"/>
    </row>
    <row r="176">
      <c r="A176" s="8" t="n">
        <v>175</v>
      </c>
      <c r="B176" s="8" t="n">
        <v>6</v>
      </c>
      <c r="C176" s="8" t="inlineStr">
        <is>
          <t>21 (court)</t>
        </is>
      </c>
      <c r="D176" s="8" t="inlineStr">
        <is>
          <t>Amount: $</t>
        </is>
      </c>
      <c r="E176" s="8" t="inlineStr">
        <is>
          <t>DV-110[0].Page6[0].List21[0].Li1[0].T347[0]</t>
        </is>
      </c>
      <c r="F176" s="8" t="inlineStr">
        <is>
          <t>text</t>
        </is>
      </c>
      <c r="G176" s="8" t="inlineStr"/>
      <c r="H176" s="8" t="inlineStr"/>
      <c r="I176" s="8" t="inlineStr">
        <is>
          <t>364, 266, 420, 277</t>
        </is>
      </c>
      <c r="J176" s="8" t="inlineStr">
        <is>
          <t>court/clerk</t>
        </is>
      </c>
      <c r="K176" s="8" t="inlineStr"/>
      <c r="L176" s="8" t="inlineStr"/>
      <c r="M176" s="8" t="inlineStr"/>
      <c r="N176" s="8" t="inlineStr">
        <is>
          <t>Judge completes.</t>
        </is>
      </c>
      <c r="O176" s="8" t="inlineStr"/>
    </row>
    <row r="177">
      <c r="A177" s="8" t="n">
        <v>176</v>
      </c>
      <c r="B177" s="8" t="n">
        <v>6</v>
      </c>
      <c r="C177" s="8" t="inlineStr">
        <is>
          <t>21 (court)</t>
        </is>
      </c>
      <c r="D177" s="8" t="inlineStr">
        <is>
          <t>Due date:</t>
        </is>
      </c>
      <c r="E177" s="8" t="inlineStr">
        <is>
          <t>DV-110[0].Page6[0].List21[0].Li1[0].T350[0]</t>
        </is>
      </c>
      <c r="F177" s="8" t="inlineStr">
        <is>
          <t>text</t>
        </is>
      </c>
      <c r="G177" s="8" t="inlineStr"/>
      <c r="H177" s="8" t="inlineStr"/>
      <c r="I177" s="8" t="inlineStr">
        <is>
          <t>472, 266, 574, 277</t>
        </is>
      </c>
      <c r="J177" s="8" t="inlineStr">
        <is>
          <t>court/clerk</t>
        </is>
      </c>
      <c r="K177" s="8" t="inlineStr"/>
      <c r="L177" s="8" t="inlineStr"/>
      <c r="M177" s="8" t="inlineStr"/>
      <c r="N177" s="8" t="inlineStr">
        <is>
          <t>Judge completes.</t>
        </is>
      </c>
      <c r="O177" s="8" t="inlineStr"/>
    </row>
    <row r="178">
      <c r="A178" s="8" t="n">
        <v>177</v>
      </c>
      <c r="B178" s="8" t="n">
        <v>6</v>
      </c>
      <c r="C178" s="8" t="inlineStr">
        <is>
          <t>21 (court)</t>
        </is>
      </c>
      <c r="D178" s="8" t="inlineStr">
        <is>
          <t>Pay to:</t>
        </is>
      </c>
      <c r="E178" s="8" t="inlineStr">
        <is>
          <t>DV-110[0].Page6[0].List21[0].Li1[0].T441[0]</t>
        </is>
      </c>
      <c r="F178" s="8" t="inlineStr">
        <is>
          <t>text</t>
        </is>
      </c>
      <c r="G178" s="8" t="inlineStr"/>
      <c r="H178" s="8" t="inlineStr"/>
      <c r="I178" s="8" t="inlineStr">
        <is>
          <t>96, 282, 212, 293</t>
        </is>
      </c>
      <c r="J178" s="8" t="inlineStr">
        <is>
          <t>court/clerk</t>
        </is>
      </c>
      <c r="K178" s="8" t="inlineStr"/>
      <c r="L178" s="8" t="inlineStr"/>
      <c r="M178" s="8" t="inlineStr"/>
      <c r="N178" s="8" t="inlineStr">
        <is>
          <t>Judge completes.</t>
        </is>
      </c>
      <c r="O178" s="8" t="inlineStr"/>
    </row>
    <row r="179">
      <c r="A179" s="8" t="n">
        <v>178</v>
      </c>
      <c r="B179" s="8" t="n">
        <v>6</v>
      </c>
      <c r="C179" s="8" t="inlineStr">
        <is>
          <t>21 (court)</t>
        </is>
      </c>
      <c r="D179" s="8" t="inlineStr">
        <is>
          <t>For:</t>
        </is>
      </c>
      <c r="E179" s="8" t="inlineStr">
        <is>
          <t>DV-110[0].Page6[0].List21[0].Li1[0].T444[0]</t>
        </is>
      </c>
      <c r="F179" s="8" t="inlineStr">
        <is>
          <t>text</t>
        </is>
      </c>
      <c r="G179" s="8" t="inlineStr"/>
      <c r="H179" s="8" t="inlineStr"/>
      <c r="I179" s="8" t="inlineStr">
        <is>
          <t>239, 282, 309, 293</t>
        </is>
      </c>
      <c r="J179" s="8" t="inlineStr">
        <is>
          <t>court/clerk</t>
        </is>
      </c>
      <c r="K179" s="8" t="inlineStr"/>
      <c r="L179" s="8" t="inlineStr"/>
      <c r="M179" s="8" t="inlineStr"/>
      <c r="N179" s="8" t="inlineStr">
        <is>
          <t>Judge completes.</t>
        </is>
      </c>
      <c r="O179" s="8" t="inlineStr"/>
    </row>
    <row r="180">
      <c r="A180" s="8" t="n">
        <v>179</v>
      </c>
      <c r="B180" s="8" t="n">
        <v>6</v>
      </c>
      <c r="C180" s="8" t="inlineStr">
        <is>
          <t>21 (court)</t>
        </is>
      </c>
      <c r="D180" s="8" t="inlineStr">
        <is>
          <t>Amount: $</t>
        </is>
      </c>
      <c r="E180" s="8" t="inlineStr">
        <is>
          <t>DV-110[0].Page6[0].List21[0].Li1[0].T447[0]</t>
        </is>
      </c>
      <c r="F180" s="8" t="inlineStr">
        <is>
          <t>text</t>
        </is>
      </c>
      <c r="G180" s="8" t="inlineStr"/>
      <c r="H180" s="8" t="inlineStr"/>
      <c r="I180" s="8" t="inlineStr">
        <is>
          <t>363, 282, 420, 293</t>
        </is>
      </c>
      <c r="J180" s="8" t="inlineStr">
        <is>
          <t>court/clerk</t>
        </is>
      </c>
      <c r="K180" s="8" t="inlineStr"/>
      <c r="L180" s="8" t="inlineStr"/>
      <c r="M180" s="8" t="inlineStr"/>
      <c r="N180" s="8" t="inlineStr">
        <is>
          <t>Judge completes.</t>
        </is>
      </c>
      <c r="O180" s="8" t="inlineStr"/>
    </row>
    <row r="181">
      <c r="A181" s="8" t="n">
        <v>180</v>
      </c>
      <c r="B181" s="8" t="n">
        <v>6</v>
      </c>
      <c r="C181" s="8" t="inlineStr">
        <is>
          <t>21 (court)</t>
        </is>
      </c>
      <c r="D181" s="8" t="inlineStr">
        <is>
          <t>Due date:</t>
        </is>
      </c>
      <c r="E181" s="8" t="inlineStr">
        <is>
          <t>DV-110[0].Page6[0].List21[0].Li1[0].T450[0]</t>
        </is>
      </c>
      <c r="F181" s="8" t="inlineStr">
        <is>
          <t>text</t>
        </is>
      </c>
      <c r="G181" s="8" t="inlineStr"/>
      <c r="H181" s="8" t="inlineStr"/>
      <c r="I181" s="8" t="inlineStr">
        <is>
          <t>471, 282, 574, 293</t>
        </is>
      </c>
      <c r="J181" s="8" t="inlineStr">
        <is>
          <t>court/clerk</t>
        </is>
      </c>
      <c r="K181" s="8" t="inlineStr"/>
      <c r="L181" s="8" t="inlineStr"/>
      <c r="M181" s="8" t="inlineStr"/>
      <c r="N181" s="8" t="inlineStr">
        <is>
          <t>Judge completes.</t>
        </is>
      </c>
      <c r="O181" s="8" t="inlineStr"/>
    </row>
    <row r="182">
      <c r="A182" s="8" t="n">
        <v>181</v>
      </c>
      <c r="B182" s="8" t="n">
        <v>6</v>
      </c>
      <c r="C182" s="8" t="inlineStr">
        <is>
          <t>24 (court)</t>
        </is>
      </c>
      <c r="D182" s="8" t="inlineStr">
        <is>
          <t>Attached Pages (All of the attached pages are part of this order.)</t>
        </is>
      </c>
      <c r="E182" s="8" t="inlineStr">
        <is>
          <t>DV-110[0].Page6[0].List24[0].FieldName_cb[0]</t>
        </is>
      </c>
      <c r="F182" s="8" t="inlineStr">
        <is>
          <t>checkbox</t>
        </is>
      </c>
      <c r="G182" s="8" t="inlineStr">
        <is>
          <t>1</t>
        </is>
      </c>
      <c r="H182" s="8" t="inlineStr"/>
      <c r="I182" s="8" t="inlineStr">
        <is>
          <t>63, 521, 72, 530</t>
        </is>
      </c>
      <c r="J182" s="8" t="inlineStr">
        <is>
          <t>court/clerk</t>
        </is>
      </c>
      <c r="K182" s="8" t="inlineStr"/>
      <c r="L182" s="8" t="inlineStr"/>
      <c r="M182" s="8" t="inlineStr"/>
      <c r="N182" s="8" t="inlineStr">
        <is>
          <t>Judge completes.</t>
        </is>
      </c>
      <c r="O182" s="8" t="inlineStr"/>
    </row>
    <row r="183">
      <c r="A183" s="8" t="n">
        <v>182</v>
      </c>
      <c r="B183" s="8" t="n">
        <v>6</v>
      </c>
      <c r="C183" s="8" t="inlineStr">
        <is>
          <t>24 (court)</t>
        </is>
      </c>
      <c r="D183" s="8" t="inlineStr">
        <is>
          <t>Number of pages attached to this nine-page form:</t>
        </is>
      </c>
      <c r="E183" s="8" t="inlineStr">
        <is>
          <t>DV-110[0].Page6[0].List24[0].Li1[0].NumberOfAttachedPages_ft[0]</t>
        </is>
      </c>
      <c r="F183" s="8" t="inlineStr">
        <is>
          <t>text</t>
        </is>
      </c>
      <c r="G183" s="8" t="inlineStr"/>
      <c r="H183" s="8" t="inlineStr"/>
      <c r="I183" s="8" t="inlineStr">
        <is>
          <t>307, 536, 395, 551</t>
        </is>
      </c>
      <c r="J183" s="8" t="inlineStr">
        <is>
          <t>court/clerk</t>
        </is>
      </c>
      <c r="K183" s="8" t="inlineStr"/>
      <c r="L183" s="8" t="inlineStr"/>
      <c r="M183" s="8" t="inlineStr"/>
      <c r="N183" s="8" t="inlineStr">
        <is>
          <t>Judge completes.</t>
        </is>
      </c>
      <c r="O183" s="8" t="inlineStr"/>
    </row>
    <row r="184">
      <c r="A184" s="8" t="n">
        <v>183</v>
      </c>
      <c r="B184" s="8" t="n">
        <v>6</v>
      </c>
      <c r="C184" s="8" t="inlineStr">
        <is>
          <t>24 (court)</t>
        </is>
      </c>
      <c r="D184" s="8" t="inlineStr">
        <is>
          <t>DV-140</t>
        </is>
      </c>
      <c r="E184" s="8" t="inlineStr">
        <is>
          <t>DV-110[0].Page6[0].List24[0].Li2[0].FieldName_cb1[0]</t>
        </is>
      </c>
      <c r="F184" s="8" t="inlineStr">
        <is>
          <t>checkbox</t>
        </is>
      </c>
      <c r="G184" s="8" t="inlineStr">
        <is>
          <t>1</t>
        </is>
      </c>
      <c r="H184" s="8" t="inlineStr"/>
      <c r="I184" s="8" t="inlineStr">
        <is>
          <t>78, 570, 87, 579</t>
        </is>
      </c>
      <c r="J184" s="8" t="inlineStr">
        <is>
          <t>court/clerk</t>
        </is>
      </c>
      <c r="K184" s="8" t="inlineStr"/>
      <c r="L184" s="8" t="inlineStr"/>
      <c r="M184" s="8" t="inlineStr"/>
      <c r="N184" s="8" t="inlineStr">
        <is>
          <t>Judge completes.</t>
        </is>
      </c>
      <c r="O184" s="8" t="inlineStr"/>
    </row>
    <row r="185">
      <c r="A185" s="8" t="n">
        <v>184</v>
      </c>
      <c r="B185" s="8" t="n">
        <v>6</v>
      </c>
      <c r="C185" s="8" t="inlineStr">
        <is>
          <t>24 (court)</t>
        </is>
      </c>
      <c r="D185" s="8" t="inlineStr">
        <is>
          <t>DV-145</t>
        </is>
      </c>
      <c r="E185" s="8" t="inlineStr">
        <is>
          <t>DV-110[0].Page6[0].List24[0].Li2[0].FieldName_cb2[0]</t>
        </is>
      </c>
      <c r="F185" s="8" t="inlineStr">
        <is>
          <t>checkbox</t>
        </is>
      </c>
      <c r="G185" s="8" t="inlineStr">
        <is>
          <t>1</t>
        </is>
      </c>
      <c r="H185" s="8" t="inlineStr"/>
      <c r="I185" s="8" t="inlineStr">
        <is>
          <t>149, 571, 158, 580</t>
        </is>
      </c>
      <c r="J185" s="8" t="inlineStr">
        <is>
          <t>court/clerk</t>
        </is>
      </c>
      <c r="K185" s="8" t="inlineStr"/>
      <c r="L185" s="8" t="inlineStr"/>
      <c r="M185" s="8" t="inlineStr"/>
      <c r="N185" s="8" t="inlineStr">
        <is>
          <t>Judge completes.</t>
        </is>
      </c>
      <c r="O185" s="8" t="inlineStr"/>
    </row>
    <row r="186">
      <c r="A186" s="8" t="n">
        <v>185</v>
      </c>
      <c r="B186" s="8" t="n">
        <v>6</v>
      </c>
      <c r="C186" s="8" t="inlineStr">
        <is>
          <t>24 (court)</t>
        </is>
      </c>
      <c r="D186" s="8" t="inlineStr">
        <is>
          <t>DV-820</t>
        </is>
      </c>
      <c r="E186" s="8" t="inlineStr">
        <is>
          <t>DV-110[0].Page6[0].List24[0].Li2[0].FieldName_cb3[0]</t>
        </is>
      </c>
      <c r="F186" s="8" t="inlineStr">
        <is>
          <t>checkbox</t>
        </is>
      </c>
      <c r="G186" s="8" t="inlineStr">
        <is>
          <t>1</t>
        </is>
      </c>
      <c r="H186" s="8" t="inlineStr"/>
      <c r="I186" s="8" t="inlineStr">
        <is>
          <t>219, 571, 228, 580</t>
        </is>
      </c>
      <c r="J186" s="8" t="inlineStr">
        <is>
          <t>court/clerk</t>
        </is>
      </c>
      <c r="K186" s="8" t="inlineStr"/>
      <c r="L186" s="8" t="inlineStr"/>
      <c r="M186" s="8" t="inlineStr"/>
      <c r="N186" s="8" t="inlineStr">
        <is>
          <t>Judge completes.</t>
        </is>
      </c>
      <c r="O186" s="8" t="inlineStr"/>
    </row>
    <row r="187">
      <c r="A187" s="8" t="n">
        <v>186</v>
      </c>
      <c r="B187" s="8" t="n">
        <v>6</v>
      </c>
      <c r="C187" s="8" t="inlineStr">
        <is>
          <t>24 (court)</t>
        </is>
      </c>
      <c r="D187" s="8" t="inlineStr">
        <is>
          <t>Other:</t>
        </is>
      </c>
      <c r="E187" s="8" t="inlineStr">
        <is>
          <t>DV-110[0].Page6[0].List24[0].Li2[0].AGHagueCert_cb[0]</t>
        </is>
      </c>
      <c r="F187" s="8" t="inlineStr">
        <is>
          <t>checkbox</t>
        </is>
      </c>
      <c r="G187" s="8" t="inlineStr">
        <is>
          <t>1</t>
        </is>
      </c>
      <c r="H187" s="8" t="inlineStr"/>
      <c r="I187" s="8" t="inlineStr">
        <is>
          <t>290, 570, 299, 579</t>
        </is>
      </c>
      <c r="J187" s="8" t="inlineStr">
        <is>
          <t>court/clerk</t>
        </is>
      </c>
      <c r="K187" s="8" t="inlineStr"/>
      <c r="L187" s="8" t="inlineStr"/>
      <c r="M187" s="8" t="inlineStr"/>
      <c r="N187" s="8" t="inlineStr">
        <is>
          <t>Judge completes.</t>
        </is>
      </c>
      <c r="O187" s="8" t="inlineStr"/>
    </row>
    <row r="188">
      <c r="A188" s="8" t="n">
        <v>187</v>
      </c>
      <c r="B188" s="8" t="n">
        <v>6</v>
      </c>
      <c r="C188" s="8" t="inlineStr">
        <is>
          <t>24 (court)</t>
        </is>
      </c>
      <c r="D188" s="8" t="inlineStr">
        <is>
          <t>other</t>
        </is>
      </c>
      <c r="E188" s="8" t="inlineStr">
        <is>
          <t>DV-110[0].Page6[0].List24[0].Li2[0].TextField2[0]</t>
        </is>
      </c>
      <c r="F188" s="8" t="inlineStr">
        <is>
          <t>text</t>
        </is>
      </c>
      <c r="G188" s="8" t="inlineStr"/>
      <c r="H188" s="8" t="inlineStr"/>
      <c r="I188" s="8" t="inlineStr">
        <is>
          <t>337, 569, 575, 581</t>
        </is>
      </c>
      <c r="J188" s="8" t="inlineStr">
        <is>
          <t>court/clerk</t>
        </is>
      </c>
      <c r="K188" s="8" t="inlineStr"/>
      <c r="L188" s="8" t="inlineStr"/>
      <c r="M188" s="8" t="inlineStr"/>
      <c r="N188" s="8" t="inlineStr">
        <is>
          <t>Judge completes.</t>
        </is>
      </c>
      <c r="O188" s="8" t="inlineStr"/>
    </row>
    <row r="189">
      <c r="A189" s="8" t="n">
        <v>188</v>
      </c>
      <c r="B189" s="8" t="n">
        <v>6</v>
      </c>
      <c r="C189" s="8" t="inlineStr">
        <is>
          <t>(court)</t>
        </is>
      </c>
      <c r="D189" s="8" t="inlineStr">
        <is>
          <t>Date:</t>
        </is>
      </c>
      <c r="E189" s="8" t="inlineStr">
        <is>
          <t>DV-110[0].Page6[0].SignatureSub[0].SigDate[0]</t>
        </is>
      </c>
      <c r="F189" s="8" t="inlineStr">
        <is>
          <t>text</t>
        </is>
      </c>
      <c r="G189" s="8" t="inlineStr"/>
      <c r="H189" s="8" t="inlineStr"/>
      <c r="I189" s="8" t="inlineStr">
        <is>
          <t>61, 641, 169, 652</t>
        </is>
      </c>
      <c r="J189" s="8" t="inlineStr">
        <is>
          <t>court/clerk</t>
        </is>
      </c>
      <c r="K189" s="8" t="inlineStr"/>
      <c r="L189" s="8" t="inlineStr"/>
      <c r="M189" s="8" t="inlineStr"/>
      <c r="N189" s="8" t="inlineStr">
        <is>
          <t>Judge completes.</t>
        </is>
      </c>
      <c r="O189" s="8" t="inlineStr"/>
    </row>
    <row r="190">
      <c r="A190" s="5" t="n">
        <v>189</v>
      </c>
      <c r="B190" s="5" t="n">
        <v>7</v>
      </c>
      <c r="C190" s="5" t="inlineStr">
        <is>
          <t>Caption</t>
        </is>
      </c>
      <c r="D190" s="5" t="inlineStr">
        <is>
          <t>Case Number:</t>
        </is>
      </c>
      <c r="E190" s="5" t="inlineStr">
        <is>
          <t>DV-110[0].Page7[0].PxCaption[0].CaseNumber[0]</t>
        </is>
      </c>
      <c r="F190" s="5" t="inlineStr">
        <is>
          <t>text</t>
        </is>
      </c>
      <c r="G190" s="5" t="inlineStr"/>
      <c r="H190" s="5" t="inlineStr"/>
      <c r="I190" s="5" t="inlineStr">
        <is>
          <t>398, 48, 573, 63</t>
        </is>
      </c>
      <c r="J190" s="5" t="inlineStr">
        <is>
          <t>question</t>
        </is>
      </c>
      <c r="K190" s="5" t="inlineStr">
        <is>
          <t>S3,S4</t>
        </is>
      </c>
      <c r="L190" s="5">
        <f> S4</f>
        <v/>
      </c>
      <c r="M190" s="5" t="inlineStr">
        <is>
          <t>S3 == "update"; otherwise blank for clerk</t>
        </is>
      </c>
      <c r="N190" s="5" t="inlineStr"/>
      <c r="O190" s="5" t="inlineStr"/>
    </row>
    <row r="191">
      <c r="A191" s="5" t="n">
        <v>190</v>
      </c>
      <c r="B191" s="5" t="n">
        <v>8</v>
      </c>
      <c r="C191" s="5" t="inlineStr">
        <is>
          <t>Caption</t>
        </is>
      </c>
      <c r="D191" s="5" t="inlineStr">
        <is>
          <t>Case Number:</t>
        </is>
      </c>
      <c r="E191" s="5" t="inlineStr">
        <is>
          <t>DV-110[0].Page8[0].PxCaption[0].CaseNumber[0]</t>
        </is>
      </c>
      <c r="F191" s="5" t="inlineStr">
        <is>
          <t>text</t>
        </is>
      </c>
      <c r="G191" s="5" t="inlineStr"/>
      <c r="H191" s="5" t="inlineStr"/>
      <c r="I191" s="5" t="inlineStr">
        <is>
          <t>398, 48, 573, 63</t>
        </is>
      </c>
      <c r="J191" s="5" t="inlineStr">
        <is>
          <t>question</t>
        </is>
      </c>
      <c r="K191" s="5" t="inlineStr">
        <is>
          <t>S3,S4</t>
        </is>
      </c>
      <c r="L191" s="5">
        <f> S4</f>
        <v/>
      </c>
      <c r="M191" s="5" t="inlineStr">
        <is>
          <t>S3 == "update"; otherwise blank for clerk</t>
        </is>
      </c>
      <c r="N191" s="5" t="inlineStr"/>
      <c r="O191" s="5" t="inlineStr"/>
    </row>
    <row r="192">
      <c r="A192" s="7" t="n">
        <v>191</v>
      </c>
      <c r="B192" s="7" t="n">
        <v>9</v>
      </c>
      <c r="C192" s="7" t="inlineStr">
        <is>
          <t>—</t>
        </is>
      </c>
      <c r="D192" s="7" t="inlineStr">
        <is>
          <t>For your protection and privacy, please press the Clear This Form button after you have printed the form.</t>
        </is>
      </c>
      <c r="E192" s="7" t="inlineStr">
        <is>
          <t>DV-110[0].#pageSet[0].MPLast[0].Warning[0]</t>
        </is>
      </c>
      <c r="F192" s="7" t="inlineStr">
        <is>
          <t>button</t>
        </is>
      </c>
      <c r="G192" s="7" t="inlineStr"/>
      <c r="H192" s="7" t="inlineStr"/>
      <c r="I192" s="7" t="inlineStr">
        <is>
          <t>36, 759, 247, 782</t>
        </is>
      </c>
      <c r="J192" s="7" t="inlineStr">
        <is>
          <t>ignore (UI button)</t>
        </is>
      </c>
      <c r="K192" s="7" t="inlineStr"/>
      <c r="L192" s="7" t="inlineStr"/>
      <c r="M192" s="7" t="inlineStr"/>
      <c r="N192" s="7" t="inlineStr">
        <is>
          <t>Print/Save/Clear button. Do not fill.</t>
        </is>
      </c>
      <c r="O192" s="7" t="inlineStr"/>
    </row>
    <row r="193">
      <c r="A193" s="7" t="n">
        <v>192</v>
      </c>
      <c r="B193" s="7" t="n">
        <v>9</v>
      </c>
      <c r="C193" s="7" t="inlineStr">
        <is>
          <t>—</t>
        </is>
      </c>
      <c r="D193" s="7" t="inlineStr">
        <is>
          <t>Print this form</t>
        </is>
      </c>
      <c r="E193" s="7" t="inlineStr">
        <is>
          <t>DV-110[0].#pageSet[0].MPLast[0].Print[0]</t>
        </is>
      </c>
      <c r="F193" s="7" t="inlineStr">
        <is>
          <t>button</t>
        </is>
      </c>
      <c r="G193" s="7" t="inlineStr"/>
      <c r="H193" s="7" t="inlineStr"/>
      <c r="I193" s="7" t="inlineStr">
        <is>
          <t>258, 765, 339, 782</t>
        </is>
      </c>
      <c r="J193" s="7" t="inlineStr">
        <is>
          <t>ignore (UI button)</t>
        </is>
      </c>
      <c r="K193" s="7" t="inlineStr"/>
      <c r="L193" s="7" t="inlineStr"/>
      <c r="M193" s="7" t="inlineStr"/>
      <c r="N193" s="7" t="inlineStr">
        <is>
          <t>Print/Save/Clear button. Do not fill.</t>
        </is>
      </c>
      <c r="O193" s="7" t="inlineStr"/>
    </row>
    <row r="194">
      <c r="A194" s="7" t="n">
        <v>193</v>
      </c>
      <c r="B194" s="7" t="n">
        <v>9</v>
      </c>
      <c r="C194" s="7" t="inlineStr">
        <is>
          <t>—</t>
        </is>
      </c>
      <c r="D194" s="7" t="inlineStr">
        <is>
          <t>Save this form</t>
        </is>
      </c>
      <c r="E194" s="7" t="inlineStr">
        <is>
          <t>DV-110[0].#pageSet[0].MPLast[0].Save[0]</t>
        </is>
      </c>
      <c r="F194" s="7" t="inlineStr">
        <is>
          <t>button</t>
        </is>
      </c>
      <c r="G194" s="7" t="inlineStr"/>
      <c r="H194" s="7" t="inlineStr"/>
      <c r="I194" s="7" t="inlineStr">
        <is>
          <t>345, 765, 426, 782</t>
        </is>
      </c>
      <c r="J194" s="7" t="inlineStr">
        <is>
          <t>ignore (UI button)</t>
        </is>
      </c>
      <c r="K194" s="7" t="inlineStr"/>
      <c r="L194" s="7" t="inlineStr"/>
      <c r="M194" s="7" t="inlineStr"/>
      <c r="N194" s="7" t="inlineStr">
        <is>
          <t>Print/Save/Clear button. Do not fill.</t>
        </is>
      </c>
      <c r="O194" s="7" t="inlineStr"/>
    </row>
    <row r="195">
      <c r="A195" s="7" t="n">
        <v>194</v>
      </c>
      <c r="B195" s="7" t="n">
        <v>9</v>
      </c>
      <c r="C195" s="7" t="inlineStr">
        <is>
          <t>—</t>
        </is>
      </c>
      <c r="D195" s="7" t="inlineStr">
        <is>
          <t>Clear this form</t>
        </is>
      </c>
      <c r="E195" s="7" t="inlineStr">
        <is>
          <t>DV-110[0].#pageSet[0].MPLast[0].Reset[0]</t>
        </is>
      </c>
      <c r="F195" s="7" t="inlineStr">
        <is>
          <t>button</t>
        </is>
      </c>
      <c r="G195" s="7" t="inlineStr"/>
      <c r="H195" s="7" t="inlineStr"/>
      <c r="I195" s="7" t="inlineStr">
        <is>
          <t>495, 765, 576, 782</t>
        </is>
      </c>
      <c r="J195" s="7" t="inlineStr">
        <is>
          <t>ignore (UI button)</t>
        </is>
      </c>
      <c r="K195" s="7" t="inlineStr"/>
      <c r="L195" s="7" t="inlineStr"/>
      <c r="M195" s="7" t="inlineStr"/>
      <c r="N195" s="7" t="inlineStr">
        <is>
          <t>Print/Save/Clear button. Do not fill.</t>
        </is>
      </c>
      <c r="O195" s="7" t="inlineStr"/>
    </row>
    <row r="196">
      <c r="A196" s="8" t="n">
        <v>195</v>
      </c>
      <c r="B196" s="8" t="n">
        <v>9</v>
      </c>
      <c r="C196" s="8" t="inlineStr">
        <is>
          <t>(court)</t>
        </is>
      </c>
      <c r="D196" s="8" t="inlineStr">
        <is>
          <t>Date:</t>
        </is>
      </c>
      <c r="E196" s="8" t="inlineStr">
        <is>
          <t>DV-110[0].Page9[0].ClertSub[0].T57[0]</t>
        </is>
      </c>
      <c r="F196" s="8" t="inlineStr">
        <is>
          <t>text</t>
        </is>
      </c>
      <c r="G196" s="8" t="inlineStr"/>
      <c r="H196" s="8" t="inlineStr"/>
      <c r="I196" s="8" t="inlineStr">
        <is>
          <t>195, 628, 292, 642</t>
        </is>
      </c>
      <c r="J196" s="8" t="inlineStr">
        <is>
          <t>court/clerk</t>
        </is>
      </c>
      <c r="K196" s="8" t="inlineStr"/>
      <c r="L196" s="8" t="inlineStr"/>
      <c r="M196" s="8" t="inlineStr"/>
      <c r="N196" s="8" t="inlineStr">
        <is>
          <t>Judge completes.</t>
        </is>
      </c>
      <c r="O196" s="8" t="inlineStr"/>
    </row>
    <row r="197">
      <c r="A197" s="8" t="n">
        <v>196</v>
      </c>
      <c r="B197" s="8" t="n">
        <v>9</v>
      </c>
      <c r="C197" s="8" t="inlineStr">
        <is>
          <t>(court)</t>
        </is>
      </c>
      <c r="D197" s="8" t="inlineStr">
        <is>
          <t>name of clerk.</t>
        </is>
      </c>
      <c r="E197" s="8" t="inlineStr">
        <is>
          <t>DV-110[0].Page9[0].ClertSub[0].T154[0]</t>
        </is>
      </c>
      <c r="F197" s="8" t="inlineStr">
        <is>
          <t>text</t>
        </is>
      </c>
      <c r="G197" s="8" t="inlineStr"/>
      <c r="H197" s="8" t="inlineStr"/>
      <c r="I197" s="8" t="inlineStr">
        <is>
          <t>342, 628, 509, 642</t>
        </is>
      </c>
      <c r="J197" s="8" t="inlineStr">
        <is>
          <t>court/clerk</t>
        </is>
      </c>
      <c r="K197" s="8" t="inlineStr"/>
      <c r="L197" s="8" t="inlineStr"/>
      <c r="M197" s="8" t="inlineStr"/>
      <c r="N197" s="8" t="inlineStr">
        <is>
          <t>Judge completes.</t>
        </is>
      </c>
      <c r="O197" s="8" t="inlineStr"/>
    </row>
    <row r="198">
      <c r="A198" s="5" t="n">
        <v>197</v>
      </c>
      <c r="B198" s="5" t="n">
        <v>9</v>
      </c>
      <c r="C198" s="5" t="inlineStr">
        <is>
          <t>Caption</t>
        </is>
      </c>
      <c r="D198" s="5" t="inlineStr">
        <is>
          <t>Case Number:</t>
        </is>
      </c>
      <c r="E198" s="5" t="inlineStr">
        <is>
          <t>DV-110[0].Page9[0].PxCaption[0].CaseNumber[0]</t>
        </is>
      </c>
      <c r="F198" s="5" t="inlineStr">
        <is>
          <t>text</t>
        </is>
      </c>
      <c r="G198" s="5" t="inlineStr"/>
      <c r="H198" s="5" t="inlineStr"/>
      <c r="I198" s="5" t="inlineStr">
        <is>
          <t>398, 48, 573, 63</t>
        </is>
      </c>
      <c r="J198" s="5" t="inlineStr">
        <is>
          <t>question</t>
        </is>
      </c>
      <c r="K198" s="5" t="inlineStr">
        <is>
          <t>S3,S4</t>
        </is>
      </c>
      <c r="L198" s="5">
        <f> S4</f>
        <v/>
      </c>
      <c r="M198" s="5" t="inlineStr">
        <is>
          <t>S3 == "update"; otherwise blank for clerk</t>
        </is>
      </c>
      <c r="N198" s="5" t="inlineStr"/>
      <c r="O198" s="5" t="inlineStr"/>
    </row>
  </sheetData>
  <autoFilter ref="A1:O198"/>
  <dataValidations count="1">
    <dataValidation sqref="J2:J198" showDropDown="0" showInputMessage="0" showErrorMessage="0" allowBlank="1" type="list">
      <formula1>"question,derived,court/clerk,server,ignore (UI button)"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5"/>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5" t="n">
        <v>1</v>
      </c>
      <c r="B2" s="5" t="n">
        <v>1</v>
      </c>
      <c r="C2" s="5" t="inlineStr">
        <is>
          <t>Caption</t>
        </is>
      </c>
      <c r="D2" s="5" t="inlineStr">
        <is>
          <t>Case Number:</t>
        </is>
      </c>
      <c r="E2" s="5" t="inlineStr">
        <is>
          <t>DV-101[0].Page1[0].P1Caption[0].Stamp_court_case[0].CaseNumber_ft[0]</t>
        </is>
      </c>
      <c r="F2" s="5" t="inlineStr">
        <is>
          <t>text</t>
        </is>
      </c>
      <c r="G2" s="5" t="inlineStr"/>
      <c r="H2" s="5" t="inlineStr"/>
      <c r="I2" s="5" t="inlineStr">
        <is>
          <t>398, 49, 574, 67</t>
        </is>
      </c>
      <c r="J2" s="5" t="inlineStr">
        <is>
          <t>question</t>
        </is>
      </c>
      <c r="K2" s="5" t="inlineStr">
        <is>
          <t>S3,S4</t>
        </is>
      </c>
      <c r="L2" s="5">
        <f> S4</f>
        <v/>
      </c>
      <c r="M2" s="5" t="inlineStr">
        <is>
          <t>S3 == "update"; otherwise blank for clerk</t>
        </is>
      </c>
      <c r="N2" s="5" t="inlineStr"/>
      <c r="O2" s="5" t="inlineStr"/>
    </row>
    <row r="3">
      <c r="A3" s="5" t="n">
        <v>2</v>
      </c>
      <c r="B3" s="5" t="n">
        <v>1</v>
      </c>
      <c r="C3" s="5" t="inlineStr">
        <is>
          <t>1</t>
        </is>
      </c>
      <c r="D3" s="5" t="inlineStr">
        <is>
          <t>Name of person asking for protection:</t>
        </is>
      </c>
      <c r="E3" s="5" t="inlineStr">
        <is>
          <t>DV-101[0].Page1[0].Item1[0].ProtectedFullName_ft[0]</t>
        </is>
      </c>
      <c r="F3" s="5" t="inlineStr">
        <is>
          <t>text</t>
        </is>
      </c>
      <c r="G3" s="5" t="inlineStr"/>
      <c r="H3" s="5" t="inlineStr"/>
      <c r="I3" s="5" t="inlineStr">
        <is>
          <t>249, 106, 577, 118</t>
        </is>
      </c>
      <c r="J3" s="5" t="inlineStr">
        <is>
          <t>question</t>
        </is>
      </c>
      <c r="K3" s="5" t="inlineStr">
        <is>
          <t>P1</t>
        </is>
      </c>
      <c r="L3" s="5">
        <f> P1</f>
        <v/>
      </c>
      <c r="M3" s="5" t="inlineStr"/>
      <c r="N3" s="5" t="inlineStr"/>
      <c r="O3" s="5" t="inlineStr"/>
    </row>
    <row r="4">
      <c r="A4" s="5" t="n">
        <v>3</v>
      </c>
      <c r="B4" s="5" t="n">
        <v>1</v>
      </c>
      <c r="C4" s="5" t="inlineStr">
        <is>
          <t>2</t>
        </is>
      </c>
      <c r="D4" s="5" t="inlineStr">
        <is>
          <t>Name of person you want protection from:</t>
        </is>
      </c>
      <c r="E4" s="5" t="inlineStr">
        <is>
          <t>DV-101[0].Page1[0].Item2[0].ProtectedFullName_ft[0]</t>
        </is>
      </c>
      <c r="F4" s="5" t="inlineStr">
        <is>
          <t>text</t>
        </is>
      </c>
      <c r="G4" s="5" t="inlineStr"/>
      <c r="H4" s="5" t="inlineStr"/>
      <c r="I4" s="5" t="inlineStr">
        <is>
          <t>266, 133, 577, 145</t>
        </is>
      </c>
      <c r="J4" s="5" t="inlineStr">
        <is>
          <t>question</t>
        </is>
      </c>
      <c r="K4" s="5" t="inlineStr">
        <is>
          <t>R1</t>
        </is>
      </c>
      <c r="L4" s="5">
        <f> R1</f>
        <v/>
      </c>
      <c r="M4" s="5" t="inlineStr"/>
      <c r="N4" s="5" t="inlineStr"/>
      <c r="O4" s="5" t="inlineStr"/>
    </row>
    <row r="5">
      <c r="A5" s="5" t="n">
        <v>4</v>
      </c>
      <c r="B5" s="5" t="n">
        <v>1</v>
      </c>
      <c r="C5" s="5" t="inlineStr">
        <is>
          <t>3a</t>
        </is>
      </c>
      <c r="D5" s="5" t="inlineStr">
        <is>
          <t>Date of abuse:</t>
        </is>
      </c>
      <c r="E5" s="5" t="inlineStr">
        <is>
          <t>DV-101[0].Page1[0].List3[0].Lia[0].RestrainedCity_ft[0]</t>
        </is>
      </c>
      <c r="F5" s="5" t="inlineStr">
        <is>
          <t>text</t>
        </is>
      </c>
      <c r="G5" s="5" t="inlineStr"/>
      <c r="H5" s="5" t="inlineStr"/>
      <c r="I5" s="5" t="inlineStr">
        <is>
          <t>145, 174, 301, 186</t>
        </is>
      </c>
      <c r="J5" s="5" t="inlineStr">
        <is>
          <t>question</t>
        </is>
      </c>
      <c r="K5" s="5" t="inlineStr">
        <is>
          <t>A1</t>
        </is>
      </c>
      <c r="L5" s="5">
        <f> cards[3].A1</f>
        <v/>
      </c>
      <c r="M5" s="5" t="inlineStr">
        <is>
          <t>cards.length &gt; 3</t>
        </is>
      </c>
      <c r="N5" s="5" t="inlineStr">
        <is>
          <t>Card 4. Field name is a leftover ("RestrainedCity_ft").</t>
        </is>
      </c>
      <c r="O5" s="5" t="inlineStr"/>
    </row>
    <row r="6">
      <c r="A6" s="5" t="n">
        <v>5</v>
      </c>
      <c r="B6" s="5" t="n">
        <v>1</v>
      </c>
      <c r="C6" s="5" t="inlineStr">
        <is>
          <t>3b</t>
        </is>
      </c>
      <c r="D6" s="5" t="inlineStr">
        <is>
          <t>Who was there?</t>
        </is>
      </c>
      <c r="E6" s="5" t="inlineStr">
        <is>
          <t>DV-101[0].Page1[0].List3[0].Lib[0].who_ft[0]</t>
        </is>
      </c>
      <c r="F6" s="5" t="inlineStr">
        <is>
          <t>text</t>
        </is>
      </c>
      <c r="G6" s="5" t="inlineStr"/>
      <c r="H6" s="5" t="inlineStr"/>
      <c r="I6" s="5" t="inlineStr">
        <is>
          <t>154, 191, 575, 220</t>
        </is>
      </c>
      <c r="J6" s="5" t="inlineStr">
        <is>
          <t>question</t>
        </is>
      </c>
      <c r="K6" s="5" t="inlineStr">
        <is>
          <t>A2</t>
        </is>
      </c>
      <c r="L6" s="5">
        <f> cards[3].A2 == "Y" ? cards[3].A2.names : (cards[3].A2 == "N" ? "No one" : "I don't know")</f>
        <v/>
      </c>
      <c r="M6" s="5" t="inlineStr">
        <is>
          <t>cards.length &gt; 3</t>
        </is>
      </c>
      <c r="N6" s="5" t="inlineStr"/>
      <c r="O6" s="5" t="inlineStr"/>
    </row>
    <row r="7">
      <c r="A7" s="5" t="n">
        <v>6</v>
      </c>
      <c r="B7" s="5" t="n">
        <v>1</v>
      </c>
      <c r="C7" s="5" t="inlineStr">
        <is>
          <t>3c</t>
        </is>
      </c>
      <c r="D7" s="5" t="inlineStr">
        <is>
          <t>Describe how the person in 2 abused you or your children:</t>
        </is>
      </c>
      <c r="E7" s="5" t="inlineStr">
        <is>
          <t>DV-101[0].Page1[0].List3[0].Lib[0].TextField2[0]</t>
        </is>
      </c>
      <c r="F7" s="5" t="inlineStr">
        <is>
          <t>text</t>
        </is>
      </c>
      <c r="G7" s="5" t="inlineStr"/>
      <c r="H7" s="5" t="inlineStr"/>
      <c r="I7" s="5" t="inlineStr">
        <is>
          <t>78, 238, 575, 478</t>
        </is>
      </c>
      <c r="J7" s="5" t="inlineStr">
        <is>
          <t>question</t>
        </is>
      </c>
      <c r="K7" s="5" t="inlineStr">
        <is>
          <t>A6,A7</t>
        </is>
      </c>
      <c r="L7" s="5">
        <f> fit(cards[3].A6 + " How often: " + label(cards[3].A7))</f>
        <v/>
      </c>
      <c r="M7" s="5" t="inlineStr">
        <is>
          <t>cards.length &gt; 3</t>
        </is>
      </c>
      <c r="N7" s="5" t="inlineStr">
        <is>
          <t>DV-101 has no frequency field, so A7 is appended to the description (map).</t>
        </is>
      </c>
      <c r="O7" s="5" t="inlineStr"/>
    </row>
    <row r="8">
      <c r="A8" s="5" t="n">
        <v>7</v>
      </c>
      <c r="B8" s="5" t="n">
        <v>1</v>
      </c>
      <c r="C8" s="5" t="inlineStr">
        <is>
          <t>3d</t>
        </is>
      </c>
      <c r="D8" s="5" t="inlineStr">
        <is>
          <t>Describe any use or threatened use of guns or other weapons:</t>
        </is>
      </c>
      <c r="E8" s="5" t="inlineStr">
        <is>
          <t>DV-101[0].Page1[0].List3[0].Lid[0].TextField2[0]</t>
        </is>
      </c>
      <c r="F8" s="5" t="inlineStr">
        <is>
          <t>text</t>
        </is>
      </c>
      <c r="G8" s="5" t="inlineStr"/>
      <c r="H8" s="5" t="inlineStr"/>
      <c r="I8" s="5" t="inlineStr">
        <is>
          <t>78, 493, 575, 563</t>
        </is>
      </c>
      <c r="J8" s="5" t="inlineStr">
        <is>
          <t>question</t>
        </is>
      </c>
      <c r="K8" s="5" t="inlineStr">
        <is>
          <t>A3</t>
        </is>
      </c>
      <c r="L8" s="5">
        <f> cards[3].A3 == "Y" ? cards[3].A3.text : ""</f>
        <v/>
      </c>
      <c r="M8" s="5" t="inlineStr">
        <is>
          <t>cards.length &gt; 3</t>
        </is>
      </c>
      <c r="N8" s="5" t="inlineStr"/>
      <c r="O8" s="5" t="inlineStr"/>
    </row>
    <row r="9">
      <c r="A9" s="5" t="n">
        <v>8</v>
      </c>
      <c r="B9" s="5" t="n">
        <v>1</v>
      </c>
      <c r="C9" s="5" t="inlineStr">
        <is>
          <t>3e</t>
        </is>
      </c>
      <c r="D9" s="5" t="inlineStr">
        <is>
          <t>Describe any injuries:</t>
        </is>
      </c>
      <c r="E9" s="5" t="inlineStr">
        <is>
          <t>DV-101[0].Page1[0].List3[0].Lie[0].TextField2[0]</t>
        </is>
      </c>
      <c r="F9" s="5" t="inlineStr">
        <is>
          <t>text</t>
        </is>
      </c>
      <c r="G9" s="5" t="inlineStr"/>
      <c r="H9" s="5" t="inlineStr"/>
      <c r="I9" s="5" t="inlineStr">
        <is>
          <t>78, 567, 575, 639</t>
        </is>
      </c>
      <c r="J9" s="5" t="inlineStr">
        <is>
          <t>question</t>
        </is>
      </c>
      <c r="K9" s="5" t="inlineStr">
        <is>
          <t>A4</t>
        </is>
      </c>
      <c r="L9" s="5">
        <f> cards[3].A4 == "Y" ? cards[3].A4.text : ""</f>
        <v/>
      </c>
      <c r="M9" s="5" t="inlineStr">
        <is>
          <t>cards.length &gt; 3</t>
        </is>
      </c>
      <c r="N9" s="5" t="inlineStr"/>
      <c r="O9" s="5" t="inlineStr"/>
    </row>
    <row r="10">
      <c r="A10" s="5" t="n">
        <v>9</v>
      </c>
      <c r="B10" s="5" t="n">
        <v>1</v>
      </c>
      <c r="C10" s="5" t="inlineStr">
        <is>
          <t>3f</t>
        </is>
      </c>
      <c r="D10" s="5" t="inlineStr">
        <is>
          <t>Yes</t>
        </is>
      </c>
      <c r="E10" s="5" t="inlineStr">
        <is>
          <t>DV-101[0].Page1[0].List3[0].Lif[0].Option_cb[0]</t>
        </is>
      </c>
      <c r="F10" s="5" t="inlineStr">
        <is>
          <t>checkbox</t>
        </is>
      </c>
      <c r="G10" s="5" t="inlineStr">
        <is>
          <t>6</t>
        </is>
      </c>
      <c r="H10" s="5" t="inlineStr"/>
      <c r="I10" s="5" t="inlineStr">
        <is>
          <t>333, 648, 342, 657</t>
        </is>
      </c>
      <c r="J10" s="5" t="inlineStr">
        <is>
          <t>question</t>
        </is>
      </c>
      <c r="K10" s="5" t="inlineStr">
        <is>
          <t>A5</t>
        </is>
      </c>
      <c r="L10" s="5" t="inlineStr">
        <is>
          <t>check if cards[3].A5 == "Y"</t>
        </is>
      </c>
      <c r="M10" s="5" t="inlineStr">
        <is>
          <t>cards.length &gt; 3</t>
        </is>
      </c>
      <c r="N10" s="5" t="inlineStr">
        <is>
          <t>Police came? Yes is the FIRST widget; No is [1]. "I don't know" has no box: leave both off.</t>
        </is>
      </c>
      <c r="O10" s="5" t="inlineStr"/>
    </row>
    <row r="11">
      <c r="A11" s="5" t="n">
        <v>10</v>
      </c>
      <c r="B11" s="5" t="n">
        <v>1</v>
      </c>
      <c r="C11" s="5" t="inlineStr">
        <is>
          <t>3f</t>
        </is>
      </c>
      <c r="D11" s="5" t="inlineStr">
        <is>
          <t>No</t>
        </is>
      </c>
      <c r="E11" s="5" t="inlineStr">
        <is>
          <t>DV-101[0].Page1[0].List3[0].Lif[0].Option_cb[1]</t>
        </is>
      </c>
      <c r="F11" s="5" t="inlineStr">
        <is>
          <t>checkbox</t>
        </is>
      </c>
      <c r="G11" s="5" t="inlineStr">
        <is>
          <t>1</t>
        </is>
      </c>
      <c r="H11" s="5" t="inlineStr"/>
      <c r="I11" s="5" t="inlineStr">
        <is>
          <t>293, 648, 302, 657</t>
        </is>
      </c>
      <c r="J11" s="5" t="inlineStr">
        <is>
          <t>question</t>
        </is>
      </c>
      <c r="K11" s="5" t="inlineStr">
        <is>
          <t>A5</t>
        </is>
      </c>
      <c r="L11" s="5" t="inlineStr">
        <is>
          <t>check if cards[3].A5 == "N"</t>
        </is>
      </c>
      <c r="M11" s="5" t="inlineStr">
        <is>
          <t>cards.length &gt; 3</t>
        </is>
      </c>
      <c r="N11" s="5" t="inlineStr"/>
      <c r="O11" s="5" t="inlineStr"/>
    </row>
    <row r="12">
      <c r="A12" s="5" t="n">
        <v>11</v>
      </c>
      <c r="B12" s="5" t="n">
        <v>1</v>
      </c>
      <c r="C12" s="5" t="inlineStr">
        <is>
          <t>3f</t>
        </is>
      </c>
      <c r="D12" s="5" t="inlineStr">
        <is>
          <t>Yes</t>
        </is>
      </c>
      <c r="E12" s="5" t="inlineStr">
        <is>
          <t>DV-101[0].Page1[0].List3[0].Lif[0].Option_cb[2]</t>
        </is>
      </c>
      <c r="F12" s="5" t="inlineStr">
        <is>
          <t>checkbox</t>
        </is>
      </c>
      <c r="G12" s="5" t="inlineStr">
        <is>
          <t>7</t>
        </is>
      </c>
      <c r="H12" s="5" t="inlineStr"/>
      <c r="I12" s="5" t="inlineStr">
        <is>
          <t>422, 661, 431, 670</t>
        </is>
      </c>
      <c r="J12" s="5" t="inlineStr">
        <is>
          <t>question</t>
        </is>
      </c>
      <c r="K12" s="5" t="inlineStr">
        <is>
          <t>A8</t>
        </is>
      </c>
      <c r="L12" s="5" t="inlineStr">
        <is>
          <t>check if cards[3].A8 == "Y"</t>
        </is>
      </c>
      <c r="M12" s="5" t="inlineStr">
        <is>
          <t>cards.length &gt; 3 and A5 == "Y"</t>
        </is>
      </c>
      <c r="N12" s="5" t="inlineStr">
        <is>
          <t>Emergency protective order given?</t>
        </is>
      </c>
      <c r="O12" s="5" t="inlineStr"/>
    </row>
    <row r="13">
      <c r="A13" s="5" t="n">
        <v>12</v>
      </c>
      <c r="B13" s="5" t="n">
        <v>1</v>
      </c>
      <c r="C13" s="5" t="inlineStr">
        <is>
          <t>3f</t>
        </is>
      </c>
      <c r="D13" s="5" t="inlineStr">
        <is>
          <t>No</t>
        </is>
      </c>
      <c r="E13" s="5" t="inlineStr">
        <is>
          <t>DV-101[0].Page1[0].List3[0].Lif[0].Option_cb[3]</t>
        </is>
      </c>
      <c r="F13" s="5" t="inlineStr">
        <is>
          <t>checkbox</t>
        </is>
      </c>
      <c r="G13" s="5" t="inlineStr">
        <is>
          <t>8</t>
        </is>
      </c>
      <c r="H13" s="5" t="inlineStr"/>
      <c r="I13" s="5" t="inlineStr">
        <is>
          <t>463, 661, 472, 670</t>
        </is>
      </c>
      <c r="J13" s="5" t="inlineStr">
        <is>
          <t>question</t>
        </is>
      </c>
      <c r="K13" s="5" t="inlineStr">
        <is>
          <t>A8</t>
        </is>
      </c>
      <c r="L13" s="5" t="inlineStr">
        <is>
          <t>check if cards[3].A8 == "N"</t>
        </is>
      </c>
      <c r="M13" s="5" t="inlineStr">
        <is>
          <t>cards.length &gt; 3 and A5 == "Y"</t>
        </is>
      </c>
      <c r="N13" s="5" t="inlineStr"/>
      <c r="O13" s="5" t="inlineStr"/>
    </row>
    <row r="14">
      <c r="A14" s="5" t="n">
        <v>13</v>
      </c>
      <c r="B14" s="5" t="n">
        <v>1</v>
      </c>
      <c r="C14" s="5" t="inlineStr">
        <is>
          <t>3f</t>
        </is>
      </c>
      <c r="D14" s="5" t="inlineStr">
        <is>
          <t>I don’t know</t>
        </is>
      </c>
      <c r="E14" s="5" t="inlineStr">
        <is>
          <t>DV-101[0].Page1[0].List3[0].Lif[0].Option_cb[4]</t>
        </is>
      </c>
      <c r="F14" s="5" t="inlineStr">
        <is>
          <t>checkbox</t>
        </is>
      </c>
      <c r="G14" s="5" t="inlineStr">
        <is>
          <t>9</t>
        </is>
      </c>
      <c r="H14" s="5" t="inlineStr"/>
      <c r="I14" s="5" t="inlineStr">
        <is>
          <t>501, 661, 510, 670</t>
        </is>
      </c>
      <c r="J14" s="5" t="inlineStr">
        <is>
          <t>question</t>
        </is>
      </c>
      <c r="K14" s="5" t="inlineStr">
        <is>
          <t>A8</t>
        </is>
      </c>
      <c r="L14" s="5" t="inlineStr">
        <is>
          <t>check if cards[3].A8 == "DK"</t>
        </is>
      </c>
      <c r="M14" s="5" t="inlineStr">
        <is>
          <t>cards.length &gt; 3 and A5 == "Y"</t>
        </is>
      </c>
      <c r="N14" s="5" t="inlineStr"/>
      <c r="O14" s="5" t="inlineStr"/>
    </row>
    <row r="15">
      <c r="A15" s="5" t="n">
        <v>14</v>
      </c>
      <c r="B15" s="5" t="n">
        <v>1</v>
      </c>
      <c r="C15" s="5" t="inlineStr">
        <is>
          <t>3f</t>
        </is>
      </c>
      <c r="D15" s="5" t="inlineStr">
        <is>
          <t>You</t>
        </is>
      </c>
      <c r="E15" s="5" t="inlineStr">
        <is>
          <t>DV-101[0].Page1[0].List3[0].Lif[0].Option_cb[5]</t>
        </is>
      </c>
      <c r="F15" s="5" t="inlineStr">
        <is>
          <t>checkbox</t>
        </is>
      </c>
      <c r="G15" s="5" t="inlineStr">
        <is>
          <t>5</t>
        </is>
      </c>
      <c r="H15" s="5" t="inlineStr"/>
      <c r="I15" s="5" t="inlineStr">
        <is>
          <t>267, 676, 276, 685</t>
        </is>
      </c>
      <c r="J15" s="5" t="inlineStr">
        <is>
          <t>question</t>
        </is>
      </c>
      <c r="K15" s="5" t="inlineStr">
        <is>
          <t>A8</t>
        </is>
      </c>
      <c r="L15" s="5" t="inlineStr">
        <is>
          <t>check if cards[3].A8.protects == "you"</t>
        </is>
      </c>
      <c r="M15" s="5" t="inlineStr">
        <is>
          <t>cards.length &gt; 3 and A8 == "Y"</t>
        </is>
      </c>
      <c r="N15" s="5" t="inlineStr"/>
      <c r="O15" s="5" t="inlineStr"/>
    </row>
    <row r="16">
      <c r="A16" s="5" t="n">
        <v>15</v>
      </c>
      <c r="B16" s="5" t="n">
        <v>1</v>
      </c>
      <c r="C16" s="5" t="inlineStr">
        <is>
          <t>3f</t>
        </is>
      </c>
      <c r="D16" s="5" t="inlineStr">
        <is>
          <t>The person in 2</t>
        </is>
      </c>
      <c r="E16" s="5" t="inlineStr">
        <is>
          <t>DV-101[0].Page1[0].List3[0].Lif[0].Option_cb[6]</t>
        </is>
      </c>
      <c r="F16" s="5" t="inlineStr">
        <is>
          <t>checkbox</t>
        </is>
      </c>
      <c r="G16" s="5" t="inlineStr">
        <is>
          <t>4</t>
        </is>
      </c>
      <c r="H16" s="5" t="inlineStr"/>
      <c r="I16" s="5" t="inlineStr">
        <is>
          <t>309, 677, 318, 686</t>
        </is>
      </c>
      <c r="J16" s="5" t="inlineStr">
        <is>
          <t>question</t>
        </is>
      </c>
      <c r="K16" s="5" t="inlineStr">
        <is>
          <t>A8</t>
        </is>
      </c>
      <c r="L16" s="5" t="inlineStr">
        <is>
          <t>check if cards[3].A8.protects == "respondent"</t>
        </is>
      </c>
      <c r="M16" s="5" t="inlineStr">
        <is>
          <t>cards.length &gt; 3 and A8 == "Y"</t>
        </is>
      </c>
      <c r="N16" s="5" t="inlineStr"/>
      <c r="O16" s="5" t="inlineStr"/>
    </row>
    <row r="17">
      <c r="A17" s="7" t="n">
        <v>16</v>
      </c>
      <c r="B17" s="7" t="n">
        <v>2</v>
      </c>
      <c r="C17" s="7" t="inlineStr">
        <is>
          <t>—</t>
        </is>
      </c>
      <c r="D17" s="7" t="inlineStr">
        <is>
          <t>Print this form</t>
        </is>
      </c>
      <c r="E17" s="7" t="inlineStr">
        <is>
          <t>DV-101[0].#pageSet[0].MPLast[0].#area[0].Print_bt[0]</t>
        </is>
      </c>
      <c r="F17" s="7" t="inlineStr">
        <is>
          <t>button</t>
        </is>
      </c>
      <c r="G17" s="7" t="inlineStr"/>
      <c r="H17" s="7" t="inlineStr"/>
      <c r="I17" s="7" t="inlineStr">
        <is>
          <t>258, 768, 339, 785</t>
        </is>
      </c>
      <c r="J17" s="7" t="inlineStr">
        <is>
          <t>ignore (UI button)</t>
        </is>
      </c>
      <c r="K17" s="7" t="inlineStr"/>
      <c r="L17" s="7" t="inlineStr"/>
      <c r="M17" s="7" t="inlineStr"/>
      <c r="N17" s="7" t="inlineStr">
        <is>
          <t>Print/Save/Clear button. Do not fill.</t>
        </is>
      </c>
      <c r="O17" s="7" t="inlineStr"/>
    </row>
    <row r="18">
      <c r="A18" s="7" t="n">
        <v>17</v>
      </c>
      <c r="B18" s="7" t="n">
        <v>2</v>
      </c>
      <c r="C18" s="7" t="inlineStr">
        <is>
          <t>—</t>
        </is>
      </c>
      <c r="D18" s="7" t="inlineStr">
        <is>
          <t>Save this form</t>
        </is>
      </c>
      <c r="E18" s="7" t="inlineStr">
        <is>
          <t>DV-101[0].#pageSet[0].MPLast[0].#area[0].Save_bt[0]</t>
        </is>
      </c>
      <c r="F18" s="7" t="inlineStr">
        <is>
          <t>button</t>
        </is>
      </c>
      <c r="G18" s="7" t="inlineStr"/>
      <c r="H18" s="7" t="inlineStr"/>
      <c r="I18" s="7" t="inlineStr">
        <is>
          <t>345, 768, 426, 785</t>
        </is>
      </c>
      <c r="J18" s="7" t="inlineStr">
        <is>
          <t>ignore (UI button)</t>
        </is>
      </c>
      <c r="K18" s="7" t="inlineStr"/>
      <c r="L18" s="7" t="inlineStr"/>
      <c r="M18" s="7" t="inlineStr"/>
      <c r="N18" s="7" t="inlineStr">
        <is>
          <t>Print/Save/Clear button. Do not fill.</t>
        </is>
      </c>
      <c r="O18" s="7" t="inlineStr"/>
    </row>
    <row r="19">
      <c r="A19" s="7" t="n">
        <v>18</v>
      </c>
      <c r="B19" s="7" t="n">
        <v>2</v>
      </c>
      <c r="C19" s="7" t="inlineStr">
        <is>
          <t>—</t>
        </is>
      </c>
      <c r="D19" s="7" t="inlineStr">
        <is>
          <t>Clear this form</t>
        </is>
      </c>
      <c r="E19" s="7" t="inlineStr">
        <is>
          <t>DV-101[0].#pageSet[0].MPLast[0].#area[0].Reset_bt[0]</t>
        </is>
      </c>
      <c r="F19" s="7" t="inlineStr">
        <is>
          <t>button</t>
        </is>
      </c>
      <c r="G19" s="7" t="inlineStr"/>
      <c r="H19" s="7" t="inlineStr"/>
      <c r="I19" s="7" t="inlineStr">
        <is>
          <t>495, 768, 576, 785</t>
        </is>
      </c>
      <c r="J19" s="7" t="inlineStr">
        <is>
          <t>ignore (UI button)</t>
        </is>
      </c>
      <c r="K19" s="7" t="inlineStr"/>
      <c r="L19" s="7" t="inlineStr"/>
      <c r="M19" s="7" t="inlineStr"/>
      <c r="N19" s="7" t="inlineStr">
        <is>
          <t>Print/Save/Clear button. Do not fill.</t>
        </is>
      </c>
      <c r="O19" s="7" t="inlineStr"/>
    </row>
    <row r="20">
      <c r="A20" s="7" t="n">
        <v>19</v>
      </c>
      <c r="B20" s="7" t="n">
        <v>2</v>
      </c>
      <c r="C20" s="7" t="inlineStr">
        <is>
          <t>—</t>
        </is>
      </c>
      <c r="D20" s="7" t="inlineStr">
        <is>
          <t>For your protection and privacy, please press the Clear This Form button after you have printed the form.</t>
        </is>
      </c>
      <c r="E20" s="7" t="inlineStr">
        <is>
          <t>DV-101[0].#pageSet[0].MPLast[0].#area[0].T23[0]</t>
        </is>
      </c>
      <c r="F20" s="7" t="inlineStr">
        <is>
          <t>button</t>
        </is>
      </c>
      <c r="G20" s="7" t="inlineStr"/>
      <c r="H20" s="7" t="inlineStr"/>
      <c r="I20" s="7" t="inlineStr">
        <is>
          <t>36, 762, 247, 785</t>
        </is>
      </c>
      <c r="J20" s="7" t="inlineStr">
        <is>
          <t>ignore (UI button)</t>
        </is>
      </c>
      <c r="K20" s="7" t="inlineStr"/>
      <c r="L20" s="7" t="inlineStr"/>
      <c r="M20" s="7" t="inlineStr"/>
      <c r="N20" s="7" t="inlineStr">
        <is>
          <t>Print/Save/Clear button. Do not fill.</t>
        </is>
      </c>
      <c r="O20" s="7" t="inlineStr"/>
    </row>
    <row r="21">
      <c r="A21" s="5" t="n">
        <v>20</v>
      </c>
      <c r="B21" s="5" t="n">
        <v>2</v>
      </c>
      <c r="C21" s="5" t="inlineStr">
        <is>
          <t>Caption</t>
        </is>
      </c>
      <c r="D21" s="5" t="inlineStr">
        <is>
          <t>Case Number:</t>
        </is>
      </c>
      <c r="E21" s="5" t="inlineStr">
        <is>
          <t>DV-101[0].Page2[0].PXCaption[0].CaseNumber_ft[0]</t>
        </is>
      </c>
      <c r="F21" s="5" t="inlineStr">
        <is>
          <t>text</t>
        </is>
      </c>
      <c r="G21" s="5" t="inlineStr"/>
      <c r="H21" s="5" t="inlineStr"/>
      <c r="I21" s="5" t="inlineStr">
        <is>
          <t>402, 48, 576, 63</t>
        </is>
      </c>
      <c r="J21" s="5" t="inlineStr">
        <is>
          <t>question</t>
        </is>
      </c>
      <c r="K21" s="5" t="inlineStr">
        <is>
          <t>S3,S4</t>
        </is>
      </c>
      <c r="L21" s="5">
        <f> S4</f>
        <v/>
      </c>
      <c r="M21" s="5" t="inlineStr">
        <is>
          <t>S3 == "update"; otherwise blank for clerk</t>
        </is>
      </c>
      <c r="N21" s="5" t="inlineStr"/>
      <c r="O21" s="5" t="inlineStr"/>
    </row>
    <row r="22">
      <c r="A22" s="5" t="n">
        <v>21</v>
      </c>
      <c r="B22" s="5" t="n">
        <v>2</v>
      </c>
      <c r="C22" s="5" t="inlineStr">
        <is>
          <t>4a</t>
        </is>
      </c>
      <c r="D22" s="5" t="inlineStr">
        <is>
          <t>Date of abuse:</t>
        </is>
      </c>
      <c r="E22" s="5" t="inlineStr">
        <is>
          <t>DV-101[0].Page2[0].List4[0].Lia[0].RestrainedCity_ft[0]</t>
        </is>
      </c>
      <c r="F22" s="5" t="inlineStr">
        <is>
          <t>text</t>
        </is>
      </c>
      <c r="G22" s="5" t="inlineStr"/>
      <c r="H22" s="5" t="inlineStr"/>
      <c r="I22" s="5" t="inlineStr">
        <is>
          <t>145, 108, 301, 120</t>
        </is>
      </c>
      <c r="J22" s="5" t="inlineStr">
        <is>
          <t>question</t>
        </is>
      </c>
      <c r="K22" s="5" t="inlineStr">
        <is>
          <t>A1</t>
        </is>
      </c>
      <c r="L22" s="5">
        <f> cards[4].A1</f>
        <v/>
      </c>
      <c r="M22" s="5" t="inlineStr">
        <is>
          <t>cards.length &gt; 4</t>
        </is>
      </c>
      <c r="N22" s="5" t="inlineStr">
        <is>
          <t>Card 5.</t>
        </is>
      </c>
      <c r="O22" s="5" t="inlineStr"/>
    </row>
    <row r="23">
      <c r="A23" s="5" t="n">
        <v>22</v>
      </c>
      <c r="B23" s="5" t="n">
        <v>2</v>
      </c>
      <c r="C23" s="5" t="inlineStr">
        <is>
          <t>4b</t>
        </is>
      </c>
      <c r="D23" s="5" t="inlineStr">
        <is>
          <t>Who was there?</t>
        </is>
      </c>
      <c r="E23" s="5" t="inlineStr">
        <is>
          <t>DV-101[0].Page2[0].List4[0].Lib[0].#area[0].who_ft[0]</t>
        </is>
      </c>
      <c r="F23" s="5" t="inlineStr">
        <is>
          <t>text</t>
        </is>
      </c>
      <c r="G23" s="5" t="inlineStr"/>
      <c r="H23" s="5" t="inlineStr"/>
      <c r="I23" s="5" t="inlineStr">
        <is>
          <t>154, 127, 575, 156</t>
        </is>
      </c>
      <c r="J23" s="5" t="inlineStr">
        <is>
          <t>question</t>
        </is>
      </c>
      <c r="K23" s="5" t="inlineStr">
        <is>
          <t>A2</t>
        </is>
      </c>
      <c r="L23" s="5">
        <f> cards[4].A2 == "Y" ? cards[4].A2.names : (cards[4].A2 == "N" ? "No one" : "I don't know")</f>
        <v/>
      </c>
      <c r="M23" s="5" t="inlineStr">
        <is>
          <t>cards.length &gt; 4</t>
        </is>
      </c>
      <c r="N23" s="5" t="inlineStr"/>
      <c r="O23" s="5" t="inlineStr"/>
    </row>
    <row r="24">
      <c r="A24" s="5" t="n">
        <v>23</v>
      </c>
      <c r="B24" s="5" t="n">
        <v>2</v>
      </c>
      <c r="C24" s="5" t="inlineStr">
        <is>
          <t>4c</t>
        </is>
      </c>
      <c r="D24" s="5" t="inlineStr">
        <is>
          <t>Describe how the person in 2 abused you or your children:</t>
        </is>
      </c>
      <c r="E24" s="5" t="inlineStr">
        <is>
          <t>DV-101[0].Page2[0].List4[0].Lic[0].TextField2[0]</t>
        </is>
      </c>
      <c r="F24" s="5" t="inlineStr">
        <is>
          <t>text</t>
        </is>
      </c>
      <c r="G24" s="5" t="inlineStr"/>
      <c r="H24" s="5" t="inlineStr"/>
      <c r="I24" s="5" t="inlineStr">
        <is>
          <t>78, 179, 575, 394</t>
        </is>
      </c>
      <c r="J24" s="5" t="inlineStr">
        <is>
          <t>question</t>
        </is>
      </c>
      <c r="K24" s="5" t="inlineStr">
        <is>
          <t>A6,A7</t>
        </is>
      </c>
      <c r="L24" s="5">
        <f> fit(cards[4].A6 + " How often: " + label(cards[4].A7))</f>
        <v/>
      </c>
      <c r="M24" s="5" t="inlineStr">
        <is>
          <t>cards.length &gt; 4</t>
        </is>
      </c>
      <c r="N24" s="5" t="inlineStr">
        <is>
          <t>DV-101 has no frequency field, so A7 is appended to the description (map).</t>
        </is>
      </c>
      <c r="O24" s="5" t="inlineStr"/>
    </row>
    <row r="25">
      <c r="A25" s="5" t="n">
        <v>24</v>
      </c>
      <c r="B25" s="5" t="n">
        <v>2</v>
      </c>
      <c r="C25" s="5" t="inlineStr">
        <is>
          <t>4d</t>
        </is>
      </c>
      <c r="D25" s="5" t="inlineStr">
        <is>
          <t>Describe any use or threatened use of guns or other weapons:</t>
        </is>
      </c>
      <c r="E25" s="5" t="inlineStr">
        <is>
          <t>DV-101[0].Page2[0].List4[0].Lid[0].TextField2[0]</t>
        </is>
      </c>
      <c r="F25" s="5" t="inlineStr">
        <is>
          <t>text</t>
        </is>
      </c>
      <c r="G25" s="5" t="inlineStr"/>
      <c r="H25" s="5" t="inlineStr"/>
      <c r="I25" s="5" t="inlineStr">
        <is>
          <t>78, 411, 575, 470</t>
        </is>
      </c>
      <c r="J25" s="5" t="inlineStr">
        <is>
          <t>question</t>
        </is>
      </c>
      <c r="K25" s="5" t="inlineStr">
        <is>
          <t>A3</t>
        </is>
      </c>
      <c r="L25" s="5">
        <f> cards[4].A3 == "Y" ? cards[4].A3.text : ""</f>
        <v/>
      </c>
      <c r="M25" s="5" t="inlineStr">
        <is>
          <t>cards.length &gt; 4</t>
        </is>
      </c>
      <c r="N25" s="5" t="inlineStr"/>
      <c r="O25" s="5" t="inlineStr"/>
    </row>
    <row r="26">
      <c r="A26" s="5" t="n">
        <v>25</v>
      </c>
      <c r="B26" s="5" t="n">
        <v>2</v>
      </c>
      <c r="C26" s="5" t="inlineStr">
        <is>
          <t>4e</t>
        </is>
      </c>
      <c r="D26" s="5" t="inlineStr">
        <is>
          <t>Describe any injuries:</t>
        </is>
      </c>
      <c r="E26" s="5" t="inlineStr">
        <is>
          <t>DV-101[0].Page2[0].List4[0].Lie[0].TextField2[0]</t>
        </is>
      </c>
      <c r="F26" s="5" t="inlineStr">
        <is>
          <t>text</t>
        </is>
      </c>
      <c r="G26" s="5" t="inlineStr"/>
      <c r="H26" s="5" t="inlineStr"/>
      <c r="I26" s="5" t="inlineStr">
        <is>
          <t>78, 472, 575, 544</t>
        </is>
      </c>
      <c r="J26" s="5" t="inlineStr">
        <is>
          <t>question</t>
        </is>
      </c>
      <c r="K26" s="5" t="inlineStr">
        <is>
          <t>A4</t>
        </is>
      </c>
      <c r="L26" s="5">
        <f> cards[4].A4 == "Y" ? cards[4].A4.text : ""</f>
        <v/>
      </c>
      <c r="M26" s="5" t="inlineStr">
        <is>
          <t>cards.length &gt; 4</t>
        </is>
      </c>
      <c r="N26" s="5" t="inlineStr"/>
      <c r="O26" s="5" t="inlineStr"/>
    </row>
    <row r="27">
      <c r="A27" s="5" t="n">
        <v>26</v>
      </c>
      <c r="B27" s="5" t="n">
        <v>2</v>
      </c>
      <c r="C27" s="5" t="inlineStr">
        <is>
          <t>4f</t>
        </is>
      </c>
      <c r="D27" s="5" t="inlineStr">
        <is>
          <t>Yes</t>
        </is>
      </c>
      <c r="E27" s="5" t="inlineStr">
        <is>
          <t>DV-101[0].Page2[0].List4[0].Lif[0].Option_cb[0]</t>
        </is>
      </c>
      <c r="F27" s="5" t="inlineStr">
        <is>
          <t>checkbox</t>
        </is>
      </c>
      <c r="G27" s="5" t="inlineStr">
        <is>
          <t>12</t>
        </is>
      </c>
      <c r="H27" s="5" t="inlineStr"/>
      <c r="I27" s="5" t="inlineStr">
        <is>
          <t>333, 551, 342, 560</t>
        </is>
      </c>
      <c r="J27" s="5" t="inlineStr">
        <is>
          <t>question</t>
        </is>
      </c>
      <c r="K27" s="5" t="inlineStr">
        <is>
          <t>A5</t>
        </is>
      </c>
      <c r="L27" s="5" t="inlineStr">
        <is>
          <t>check if cards[4].A5 == "Y"</t>
        </is>
      </c>
      <c r="M27" s="5" t="inlineStr">
        <is>
          <t>cards.length &gt; 4</t>
        </is>
      </c>
      <c r="N27" s="5" t="inlineStr">
        <is>
          <t>Police came? Yes is the FIRST widget; No is [1]. "I don't know" has no box: leave both off.</t>
        </is>
      </c>
      <c r="O27" s="5" t="inlineStr"/>
    </row>
    <row r="28">
      <c r="A28" s="5" t="n">
        <v>27</v>
      </c>
      <c r="B28" s="5" t="n">
        <v>2</v>
      </c>
      <c r="C28" s="5" t="inlineStr">
        <is>
          <t>4f</t>
        </is>
      </c>
      <c r="D28" s="5" t="inlineStr">
        <is>
          <t>No</t>
        </is>
      </c>
      <c r="E28" s="5" t="inlineStr">
        <is>
          <t>DV-101[0].Page2[0].List4[0].Lif[0].Option_cb[1]</t>
        </is>
      </c>
      <c r="F28" s="5" t="inlineStr">
        <is>
          <t>checkbox</t>
        </is>
      </c>
      <c r="G28" s="5" t="inlineStr">
        <is>
          <t>10</t>
        </is>
      </c>
      <c r="H28" s="5" t="inlineStr"/>
      <c r="I28" s="5" t="inlineStr">
        <is>
          <t>293, 551, 302, 560</t>
        </is>
      </c>
      <c r="J28" s="5" t="inlineStr">
        <is>
          <t>question</t>
        </is>
      </c>
      <c r="K28" s="5" t="inlineStr">
        <is>
          <t>A5</t>
        </is>
      </c>
      <c r="L28" s="5" t="inlineStr">
        <is>
          <t>check if cards[4].A5 == "N"</t>
        </is>
      </c>
      <c r="M28" s="5" t="inlineStr">
        <is>
          <t>cards.length &gt; 4</t>
        </is>
      </c>
      <c r="N28" s="5" t="inlineStr"/>
      <c r="O28" s="5" t="inlineStr"/>
    </row>
    <row r="29">
      <c r="A29" s="5" t="n">
        <v>28</v>
      </c>
      <c r="B29" s="5" t="n">
        <v>2</v>
      </c>
      <c r="C29" s="5" t="inlineStr">
        <is>
          <t>4f</t>
        </is>
      </c>
      <c r="D29" s="5" t="inlineStr">
        <is>
          <t>Yes</t>
        </is>
      </c>
      <c r="E29" s="5" t="inlineStr">
        <is>
          <t>DV-101[0].Page2[0].List4[0].Lif[0].Option_cb[2]</t>
        </is>
      </c>
      <c r="F29" s="5" t="inlineStr">
        <is>
          <t>checkbox</t>
        </is>
      </c>
      <c r="G29" s="5" t="inlineStr">
        <is>
          <t>14</t>
        </is>
      </c>
      <c r="H29" s="5" t="inlineStr"/>
      <c r="I29" s="5" t="inlineStr">
        <is>
          <t>422, 565, 431, 574</t>
        </is>
      </c>
      <c r="J29" s="5" t="inlineStr">
        <is>
          <t>question</t>
        </is>
      </c>
      <c r="K29" s="5" t="inlineStr">
        <is>
          <t>A8</t>
        </is>
      </c>
      <c r="L29" s="5" t="inlineStr">
        <is>
          <t>check if cards[4].A8 == "Y"</t>
        </is>
      </c>
      <c r="M29" s="5" t="inlineStr">
        <is>
          <t>cards.length &gt; 4 and A5 == "Y"</t>
        </is>
      </c>
      <c r="N29" s="5" t="inlineStr">
        <is>
          <t>Emergency protective order given?</t>
        </is>
      </c>
      <c r="O29" s="5" t="inlineStr"/>
    </row>
    <row r="30">
      <c r="A30" s="5" t="n">
        <v>29</v>
      </c>
      <c r="B30" s="5" t="n">
        <v>2</v>
      </c>
      <c r="C30" s="5" t="inlineStr">
        <is>
          <t>4f</t>
        </is>
      </c>
      <c r="D30" s="5" t="inlineStr">
        <is>
          <t>No</t>
        </is>
      </c>
      <c r="E30" s="5" t="inlineStr">
        <is>
          <t>DV-101[0].Page2[0].List4[0].Lif[0].Option_cb[3]</t>
        </is>
      </c>
      <c r="F30" s="5" t="inlineStr">
        <is>
          <t>checkbox</t>
        </is>
      </c>
      <c r="G30" s="5" t="inlineStr">
        <is>
          <t>15</t>
        </is>
      </c>
      <c r="H30" s="5" t="inlineStr"/>
      <c r="I30" s="5" t="inlineStr">
        <is>
          <t>463, 565, 472, 574</t>
        </is>
      </c>
      <c r="J30" s="5" t="inlineStr">
        <is>
          <t>question</t>
        </is>
      </c>
      <c r="K30" s="5" t="inlineStr">
        <is>
          <t>A8</t>
        </is>
      </c>
      <c r="L30" s="5" t="inlineStr">
        <is>
          <t>check if cards[4].A8 == "N"</t>
        </is>
      </c>
      <c r="M30" s="5" t="inlineStr">
        <is>
          <t>cards.length &gt; 4 and A5 == "Y"</t>
        </is>
      </c>
      <c r="N30" s="5" t="inlineStr"/>
      <c r="O30" s="5" t="inlineStr"/>
    </row>
    <row r="31">
      <c r="A31" s="5" t="n">
        <v>30</v>
      </c>
      <c r="B31" s="5" t="n">
        <v>2</v>
      </c>
      <c r="C31" s="5" t="inlineStr">
        <is>
          <t>4f</t>
        </is>
      </c>
      <c r="D31" s="5" t="inlineStr">
        <is>
          <t>I don’t know</t>
        </is>
      </c>
      <c r="E31" s="5" t="inlineStr">
        <is>
          <t>DV-101[0].Page2[0].List4[0].Lif[0].Option_cb[4]</t>
        </is>
      </c>
      <c r="F31" s="5" t="inlineStr">
        <is>
          <t>checkbox</t>
        </is>
      </c>
      <c r="G31" s="5" t="inlineStr">
        <is>
          <t>16</t>
        </is>
      </c>
      <c r="H31" s="5" t="inlineStr"/>
      <c r="I31" s="5" t="inlineStr">
        <is>
          <t>502, 565, 511, 574</t>
        </is>
      </c>
      <c r="J31" s="5" t="inlineStr">
        <is>
          <t>question</t>
        </is>
      </c>
      <c r="K31" s="5" t="inlineStr">
        <is>
          <t>A8</t>
        </is>
      </c>
      <c r="L31" s="5" t="inlineStr">
        <is>
          <t>check if cards[4].A8 == "DK"</t>
        </is>
      </c>
      <c r="M31" s="5" t="inlineStr">
        <is>
          <t>cards.length &gt; 4 and A5 == "Y"</t>
        </is>
      </c>
      <c r="N31" s="5" t="inlineStr"/>
      <c r="O31" s="5" t="inlineStr"/>
    </row>
    <row r="32">
      <c r="A32" s="5" t="n">
        <v>31</v>
      </c>
      <c r="B32" s="5" t="n">
        <v>2</v>
      </c>
      <c r="C32" s="5" t="inlineStr">
        <is>
          <t>4f</t>
        </is>
      </c>
      <c r="D32" s="5" t="inlineStr">
        <is>
          <t>You</t>
        </is>
      </c>
      <c r="E32" s="5" t="inlineStr">
        <is>
          <t>DV-101[0].Page2[0].List4[0].Lif[0].Option_cb[5]</t>
        </is>
      </c>
      <c r="F32" s="5" t="inlineStr">
        <is>
          <t>checkbox</t>
        </is>
      </c>
      <c r="G32" s="5" t="inlineStr">
        <is>
          <t>17</t>
        </is>
      </c>
      <c r="H32" s="5" t="inlineStr"/>
      <c r="I32" s="5" t="inlineStr">
        <is>
          <t>268, 581, 277, 590</t>
        </is>
      </c>
      <c r="J32" s="5" t="inlineStr">
        <is>
          <t>question</t>
        </is>
      </c>
      <c r="K32" s="5" t="inlineStr">
        <is>
          <t>A8</t>
        </is>
      </c>
      <c r="L32" s="5" t="inlineStr">
        <is>
          <t>check if cards[4].A8.protects == "you"</t>
        </is>
      </c>
      <c r="M32" s="5" t="inlineStr">
        <is>
          <t>cards.length &gt; 4 and A8 == "Y"</t>
        </is>
      </c>
      <c r="N32" s="5" t="inlineStr"/>
      <c r="O32" s="5" t="inlineStr"/>
    </row>
    <row r="33">
      <c r="A33" s="5" t="n">
        <v>32</v>
      </c>
      <c r="B33" s="5" t="n">
        <v>2</v>
      </c>
      <c r="C33" s="5" t="inlineStr">
        <is>
          <t>4f</t>
        </is>
      </c>
      <c r="D33" s="5" t="inlineStr">
        <is>
          <t>The person in 2</t>
        </is>
      </c>
      <c r="E33" s="5" t="inlineStr">
        <is>
          <t>DV-101[0].Page2[0].List4[0].Lif[0].Option_cb[6]</t>
        </is>
      </c>
      <c r="F33" s="5" t="inlineStr">
        <is>
          <t>checkbox</t>
        </is>
      </c>
      <c r="G33" s="5" t="inlineStr">
        <is>
          <t>18</t>
        </is>
      </c>
      <c r="H33" s="5" t="inlineStr"/>
      <c r="I33" s="5" t="inlineStr">
        <is>
          <t>310, 581, 319, 590</t>
        </is>
      </c>
      <c r="J33" s="5" t="inlineStr">
        <is>
          <t>question</t>
        </is>
      </c>
      <c r="K33" s="5" t="inlineStr">
        <is>
          <t>A8</t>
        </is>
      </c>
      <c r="L33" s="5" t="inlineStr">
        <is>
          <t>check if cards[4].A8.protects == "respondent"</t>
        </is>
      </c>
      <c r="M33" s="5" t="inlineStr">
        <is>
          <t>cards.length &gt; 4 and A8 == "Y"</t>
        </is>
      </c>
      <c r="N33" s="5" t="inlineStr"/>
      <c r="O33" s="5" t="inlineStr"/>
    </row>
    <row r="34">
      <c r="A34" s="5" t="n">
        <v>33</v>
      </c>
      <c r="B34" s="5" t="n">
        <v>2</v>
      </c>
      <c r="C34" s="5" t="inlineStr">
        <is>
          <t>5</t>
        </is>
      </c>
      <c r="D34" s="5" t="inlineStr">
        <is>
          <t>Describe abuse to you or your children.</t>
        </is>
      </c>
      <c r="E34" s="5" t="inlineStr">
        <is>
          <t>DV-101[0].Page2[0].Item5[0].TextField2[0]</t>
        </is>
      </c>
      <c r="F34" s="5" t="inlineStr">
        <is>
          <t>text</t>
        </is>
      </c>
      <c r="G34" s="5" t="inlineStr"/>
      <c r="H34" s="5" t="inlineStr"/>
      <c r="I34" s="5" t="inlineStr">
        <is>
          <t>63, 627, 575, 687</t>
        </is>
      </c>
      <c r="J34" s="5" t="inlineStr">
        <is>
          <t>question</t>
        </is>
      </c>
      <c r="K34" s="5" t="inlineStr">
        <is>
          <t>A1-A7</t>
        </is>
      </c>
      <c r="L34" s="5">
        <f> fit(join(cards[5..].map(summary), "\n"))</f>
        <v/>
      </c>
      <c r="M34" s="5" t="inlineStr">
        <is>
          <t>cards.length &gt; 5</t>
        </is>
      </c>
      <c r="N34" s="5" t="inlineStr">
        <is>
          <t>Card 6 onward.</t>
        </is>
      </c>
      <c r="O34" s="5" t="inlineStr"/>
    </row>
    <row r="35">
      <c r="A35" s="6" t="n">
        <v>34</v>
      </c>
      <c r="B35" s="6" t="n">
        <v>2</v>
      </c>
      <c r="C35" s="6" t="inlineStr">
        <is>
          <t>5 more</t>
        </is>
      </c>
      <c r="D35" s="6" t="inlineStr">
        <is>
          <t>Check here if you need more space. Attach a sheet of paper and write “DV-101—Description of Abuse” for a  title.</t>
        </is>
      </c>
      <c r="E35" s="6" t="inlineStr">
        <is>
          <t>DV-101[0].Page2[0].Item5[0].FieldName_cb[0]</t>
        </is>
      </c>
      <c r="F35" s="6" t="inlineStr">
        <is>
          <t>checkbox</t>
        </is>
      </c>
      <c r="G35" s="6" t="inlineStr">
        <is>
          <t>1</t>
        </is>
      </c>
      <c r="H35" s="6" t="inlineStr"/>
      <c r="I35" s="6" t="inlineStr">
        <is>
          <t>63, 691, 72, 700</t>
        </is>
      </c>
      <c r="J35" s="6" t="inlineStr">
        <is>
          <t>derived</t>
        </is>
      </c>
      <c r="K35" s="6" t="inlineStr">
        <is>
          <t>A1-A7</t>
        </is>
      </c>
      <c r="L35" s="6" t="inlineStr">
        <is>
          <t>check if cards[5..] did not fit in item 5</t>
        </is>
      </c>
      <c r="M35" s="6" t="inlineStr"/>
      <c r="N35" s="6" t="inlineStr">
        <is>
          <t>Attach the sheet "DV-101—Description of Abuse".</t>
        </is>
      </c>
      <c r="O35" s="6" t="inlineStr"/>
    </row>
  </sheetData>
  <autoFilter ref="A1:O35"/>
  <dataValidations count="1">
    <dataValidation sqref="J2:J35" showDropDown="0" showInputMessage="0" showErrorMessage="0" allowBlank="1" type="list">
      <formula1>"question,derived,court/clerk,server,ignore (UI button)"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75"/>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5" t="n">
        <v>1</v>
      </c>
      <c r="B2" s="5" t="n">
        <v>1</v>
      </c>
      <c r="C2" s="5" t="inlineStr">
        <is>
          <t>Caption</t>
        </is>
      </c>
      <c r="D2" s="5" t="inlineStr">
        <is>
          <t>Case Number:</t>
        </is>
      </c>
      <c r="E2" s="5" t="inlineStr">
        <is>
          <t>DV-105[0].Page1[0].RightCaption[0].CaseNumber[0]</t>
        </is>
      </c>
      <c r="F2" s="5" t="inlineStr">
        <is>
          <t>text</t>
        </is>
      </c>
      <c r="G2" s="5" t="inlineStr"/>
      <c r="H2" s="5" t="inlineStr"/>
      <c r="I2" s="5" t="inlineStr">
        <is>
          <t>399, 50, 573, 66</t>
        </is>
      </c>
      <c r="J2" s="5" t="inlineStr">
        <is>
          <t>question</t>
        </is>
      </c>
      <c r="K2" s="5" t="inlineStr">
        <is>
          <t>S3,S4</t>
        </is>
      </c>
      <c r="L2" s="5">
        <f> S4</f>
        <v/>
      </c>
      <c r="M2" s="5" t="inlineStr">
        <is>
          <t>S3 == "update"; otherwise blank for clerk</t>
        </is>
      </c>
      <c r="N2" s="5" t="inlineStr"/>
      <c r="O2" s="5" t="inlineStr"/>
    </row>
    <row r="3">
      <c r="A3" s="5" t="n">
        <v>2</v>
      </c>
      <c r="B3" s="5" t="n">
        <v>1</v>
      </c>
      <c r="C3" s="5" t="inlineStr">
        <is>
          <t>1</t>
        </is>
      </c>
      <c r="D3" s="5" t="inlineStr">
        <is>
          <t>Name:</t>
        </is>
      </c>
      <c r="E3" s="5" t="inlineStr">
        <is>
          <t>DV-105[0].Page1[0].List1[0].TextField2[0]</t>
        </is>
      </c>
      <c r="F3" s="5" t="inlineStr">
        <is>
          <t>text</t>
        </is>
      </c>
      <c r="G3" s="5" t="inlineStr"/>
      <c r="H3" s="5" t="inlineStr"/>
      <c r="I3" s="5" t="inlineStr">
        <is>
          <t>97, 168, 393, 183</t>
        </is>
      </c>
      <c r="J3" s="5" t="inlineStr">
        <is>
          <t>question</t>
        </is>
      </c>
      <c r="K3" s="5" t="inlineStr">
        <is>
          <t>P1</t>
        </is>
      </c>
      <c r="L3" s="5">
        <f> P1</f>
        <v/>
      </c>
      <c r="M3" s="5" t="inlineStr"/>
      <c r="N3" s="5" t="inlineStr"/>
      <c r="O3" s="5" t="inlineStr"/>
    </row>
    <row r="4">
      <c r="A4" s="5" t="n">
        <v>3</v>
      </c>
      <c r="B4" s="5" t="n">
        <v>1</v>
      </c>
      <c r="C4" s="5" t="inlineStr">
        <is>
          <t>1</t>
        </is>
      </c>
      <c r="D4" s="5" t="inlineStr">
        <is>
          <t>Parent</t>
        </is>
      </c>
      <c r="E4" s="5" t="inlineStr">
        <is>
          <t>DV-105[0].Page1[0].List1[0].CheckBoxitem1Relation[0]</t>
        </is>
      </c>
      <c r="F4" s="5" t="inlineStr">
        <is>
          <t>checkbox</t>
        </is>
      </c>
      <c r="G4" s="5" t="inlineStr">
        <is>
          <t>1</t>
        </is>
      </c>
      <c r="H4" s="5" t="inlineStr"/>
      <c r="I4" s="5" t="inlineStr">
        <is>
          <t>175, 186, 184, 195</t>
        </is>
      </c>
      <c r="J4" s="5" t="inlineStr">
        <is>
          <t>question</t>
        </is>
      </c>
      <c r="K4" s="5" t="inlineStr">
        <is>
          <t>PR11</t>
        </is>
      </c>
      <c r="L4" s="5" t="inlineStr">
        <is>
          <t>check if PR11 == "parent"</t>
        </is>
      </c>
      <c r="M4" s="5" t="inlineStr"/>
      <c r="N4" s="5" t="inlineStr"/>
      <c r="O4" s="5" t="inlineStr"/>
    </row>
    <row r="5">
      <c r="A5" s="5" t="n">
        <v>4</v>
      </c>
      <c r="B5" s="5" t="n">
        <v>1</v>
      </c>
      <c r="C5" s="5" t="inlineStr">
        <is>
          <t>1</t>
        </is>
      </c>
      <c r="D5" s="5" t="inlineStr">
        <is>
          <t>Legal guardian</t>
        </is>
      </c>
      <c r="E5" s="5" t="inlineStr">
        <is>
          <t>DV-105[0].Page1[0].List1[0].CheckBoxitem1Relation[1]</t>
        </is>
      </c>
      <c r="F5" s="5" t="inlineStr">
        <is>
          <t>checkbox</t>
        </is>
      </c>
      <c r="G5" s="5" t="inlineStr">
        <is>
          <t>11</t>
        </is>
      </c>
      <c r="H5" s="5" t="inlineStr"/>
      <c r="I5" s="5" t="inlineStr">
        <is>
          <t>230, 186, 239, 195</t>
        </is>
      </c>
      <c r="J5" s="5" t="inlineStr">
        <is>
          <t>question</t>
        </is>
      </c>
      <c r="K5" s="5" t="inlineStr">
        <is>
          <t>PR11</t>
        </is>
      </c>
      <c r="L5" s="5" t="inlineStr">
        <is>
          <t>check if PR11 == "legal guardian"</t>
        </is>
      </c>
      <c r="M5" s="5" t="inlineStr"/>
      <c r="N5" s="5" t="inlineStr"/>
      <c r="O5" s="5" t="inlineStr"/>
    </row>
    <row r="6">
      <c r="A6" s="5" t="n">
        <v>5</v>
      </c>
      <c r="B6" s="5" t="n">
        <v>1</v>
      </c>
      <c r="C6" s="5" t="inlineStr">
        <is>
          <t>1</t>
        </is>
      </c>
      <c r="D6" s="5" t="inlineStr">
        <is>
          <t>Other (describe):</t>
        </is>
      </c>
      <c r="E6" s="5" t="inlineStr">
        <is>
          <t>DV-105[0].Page1[0].List1[0].CheckBoxitem1Relation[2]</t>
        </is>
      </c>
      <c r="F6" s="5" t="inlineStr">
        <is>
          <t>checkbox</t>
        </is>
      </c>
      <c r="G6" s="5" t="inlineStr">
        <is>
          <t>3</t>
        </is>
      </c>
      <c r="H6" s="5" t="inlineStr"/>
      <c r="I6" s="5" t="inlineStr">
        <is>
          <t>322, 186, 331, 195</t>
        </is>
      </c>
      <c r="J6" s="5" t="inlineStr">
        <is>
          <t>question</t>
        </is>
      </c>
      <c r="K6" s="5" t="inlineStr">
        <is>
          <t>PR11</t>
        </is>
      </c>
      <c r="L6" s="5" t="inlineStr">
        <is>
          <t>check if PR11 == "other"</t>
        </is>
      </c>
      <c r="M6" s="5" t="inlineStr"/>
      <c r="N6" s="5" t="inlineStr"/>
      <c r="O6" s="5" t="inlineStr"/>
    </row>
    <row r="7">
      <c r="A7" s="5" t="n">
        <v>6</v>
      </c>
      <c r="B7" s="5" t="n">
        <v>1</v>
      </c>
      <c r="C7" s="5" t="inlineStr">
        <is>
          <t>1</t>
        </is>
      </c>
      <c r="D7" s="5" t="inlineStr">
        <is>
          <t>describe</t>
        </is>
      </c>
      <c r="E7" s="5" t="inlineStr">
        <is>
          <t>DV-105[0].Page1[0].List1[0].TextField[0]</t>
        </is>
      </c>
      <c r="F7" s="5" t="inlineStr">
        <is>
          <t>text</t>
        </is>
      </c>
      <c r="G7" s="5" t="inlineStr"/>
      <c r="H7" s="5" t="inlineStr"/>
      <c r="I7" s="5" t="inlineStr">
        <is>
          <t>416, 186, 574, 197</t>
        </is>
      </c>
      <c r="J7" s="5" t="inlineStr">
        <is>
          <t>question</t>
        </is>
      </c>
      <c r="K7" s="5" t="inlineStr">
        <is>
          <t>PR11</t>
        </is>
      </c>
      <c r="L7" s="5">
        <f> PR11.otherText</f>
        <v/>
      </c>
      <c r="M7" s="5" t="inlineStr">
        <is>
          <t>PR11 == "other"</t>
        </is>
      </c>
      <c r="N7" s="5" t="inlineStr"/>
      <c r="O7" s="5" t="inlineStr"/>
    </row>
    <row r="8">
      <c r="A8" s="5" t="n">
        <v>7</v>
      </c>
      <c r="B8" s="5" t="n">
        <v>1</v>
      </c>
      <c r="C8" s="5" t="inlineStr">
        <is>
          <t>2</t>
        </is>
      </c>
      <c r="D8" s="5" t="inlineStr">
        <is>
          <t>Name:</t>
        </is>
      </c>
      <c r="E8" s="5" t="inlineStr">
        <is>
          <t>DV-105[0].Page1[0].List2[0].TextField2[0]</t>
        </is>
      </c>
      <c r="F8" s="5" t="inlineStr">
        <is>
          <t>text</t>
        </is>
      </c>
      <c r="G8" s="5" t="inlineStr"/>
      <c r="H8" s="5" t="inlineStr"/>
      <c r="I8" s="5" t="inlineStr">
        <is>
          <t>97, 242, 393, 257</t>
        </is>
      </c>
      <c r="J8" s="5" t="inlineStr">
        <is>
          <t>question</t>
        </is>
      </c>
      <c r="K8" s="5" t="inlineStr">
        <is>
          <t>R1</t>
        </is>
      </c>
      <c r="L8" s="5">
        <f> R1</f>
        <v/>
      </c>
      <c r="M8" s="5" t="inlineStr"/>
      <c r="N8" s="5" t="inlineStr"/>
      <c r="O8" s="5" t="inlineStr"/>
    </row>
    <row r="9">
      <c r="A9" s="5" t="n">
        <v>8</v>
      </c>
      <c r="B9" s="5" t="n">
        <v>1</v>
      </c>
      <c r="C9" s="5" t="inlineStr">
        <is>
          <t>2</t>
        </is>
      </c>
      <c r="D9" s="5" t="inlineStr">
        <is>
          <t>Parent</t>
        </is>
      </c>
      <c r="E9" s="5" t="inlineStr">
        <is>
          <t>DV-105[0].Page1[0].List2[0].CheckBoxitem2relation[0]</t>
        </is>
      </c>
      <c r="F9" s="5" t="inlineStr">
        <is>
          <t>checkbox</t>
        </is>
      </c>
      <c r="G9" s="5" t="inlineStr">
        <is>
          <t>1</t>
        </is>
      </c>
      <c r="H9" s="5" t="inlineStr"/>
      <c r="I9" s="5" t="inlineStr">
        <is>
          <t>175, 259, 184, 268</t>
        </is>
      </c>
      <c r="J9" s="5" t="inlineStr">
        <is>
          <t>question</t>
        </is>
      </c>
      <c r="K9" s="5" t="inlineStr">
        <is>
          <t>PR12</t>
        </is>
      </c>
      <c r="L9" s="5" t="inlineStr">
        <is>
          <t>check if PR12 == "parent"</t>
        </is>
      </c>
      <c r="M9" s="5" t="inlineStr"/>
      <c r="N9" s="5" t="inlineStr"/>
      <c r="O9" s="5" t="inlineStr"/>
    </row>
    <row r="10">
      <c r="A10" s="5" t="n">
        <v>9</v>
      </c>
      <c r="B10" s="5" t="n">
        <v>1</v>
      </c>
      <c r="C10" s="5" t="inlineStr">
        <is>
          <t>2</t>
        </is>
      </c>
      <c r="D10" s="5" t="inlineStr">
        <is>
          <t>Legal guardian</t>
        </is>
      </c>
      <c r="E10" s="5" t="inlineStr">
        <is>
          <t>DV-105[0].Page1[0].List2[0].CheckBoxitem2relation[1]</t>
        </is>
      </c>
      <c r="F10" s="5" t="inlineStr">
        <is>
          <t>checkbox</t>
        </is>
      </c>
      <c r="G10" s="5" t="inlineStr">
        <is>
          <t>11</t>
        </is>
      </c>
      <c r="H10" s="5" t="inlineStr"/>
      <c r="I10" s="5" t="inlineStr">
        <is>
          <t>231, 259, 240, 268</t>
        </is>
      </c>
      <c r="J10" s="5" t="inlineStr">
        <is>
          <t>question</t>
        </is>
      </c>
      <c r="K10" s="5" t="inlineStr">
        <is>
          <t>PR12</t>
        </is>
      </c>
      <c r="L10" s="5" t="inlineStr">
        <is>
          <t>check if PR12 == "legal guardian"</t>
        </is>
      </c>
      <c r="M10" s="5" t="inlineStr"/>
      <c r="N10" s="5" t="inlineStr"/>
      <c r="O10" s="5" t="inlineStr"/>
    </row>
    <row r="11">
      <c r="A11" s="5" t="n">
        <v>10</v>
      </c>
      <c r="B11" s="5" t="n">
        <v>1</v>
      </c>
      <c r="C11" s="5" t="inlineStr">
        <is>
          <t>2</t>
        </is>
      </c>
      <c r="D11" s="5" t="inlineStr">
        <is>
          <t>Other (describe):</t>
        </is>
      </c>
      <c r="E11" s="5" t="inlineStr">
        <is>
          <t>DV-105[0].Page1[0].List2[0].CheckBoxitem2relation[2]</t>
        </is>
      </c>
      <c r="F11" s="5" t="inlineStr">
        <is>
          <t>checkbox</t>
        </is>
      </c>
      <c r="G11" s="5" t="inlineStr">
        <is>
          <t>3</t>
        </is>
      </c>
      <c r="H11" s="5" t="inlineStr"/>
      <c r="I11" s="5" t="inlineStr">
        <is>
          <t>323, 260, 332, 269</t>
        </is>
      </c>
      <c r="J11" s="5" t="inlineStr">
        <is>
          <t>question</t>
        </is>
      </c>
      <c r="K11" s="5" t="inlineStr">
        <is>
          <t>PR12</t>
        </is>
      </c>
      <c r="L11" s="5" t="inlineStr">
        <is>
          <t>check if PR12 == "other"</t>
        </is>
      </c>
      <c r="M11" s="5" t="inlineStr"/>
      <c r="N11" s="5" t="inlineStr"/>
      <c r="O11" s="5" t="inlineStr"/>
    </row>
    <row r="12">
      <c r="A12" s="5" t="n">
        <v>11</v>
      </c>
      <c r="B12" s="5" t="n">
        <v>1</v>
      </c>
      <c r="C12" s="5" t="inlineStr">
        <is>
          <t>2</t>
        </is>
      </c>
      <c r="D12" s="5" t="inlineStr">
        <is>
          <t>describe</t>
        </is>
      </c>
      <c r="E12" s="5" t="inlineStr">
        <is>
          <t>DV-105[0].Page1[0].List2[0].TextField[0]</t>
        </is>
      </c>
      <c r="F12" s="5" t="inlineStr">
        <is>
          <t>text</t>
        </is>
      </c>
      <c r="G12" s="5" t="inlineStr"/>
      <c r="H12" s="5" t="inlineStr"/>
      <c r="I12" s="5" t="inlineStr">
        <is>
          <t>416, 260, 572, 271</t>
        </is>
      </c>
      <c r="J12" s="5" t="inlineStr">
        <is>
          <t>question</t>
        </is>
      </c>
      <c r="K12" s="5" t="inlineStr">
        <is>
          <t>PR12</t>
        </is>
      </c>
      <c r="L12" s="5">
        <f> PR12.otherText</f>
        <v/>
      </c>
      <c r="M12" s="5" t="inlineStr">
        <is>
          <t>PR12 == "other"</t>
        </is>
      </c>
      <c r="N12" s="5" t="inlineStr"/>
      <c r="O12" s="5" t="inlineStr"/>
    </row>
    <row r="13">
      <c r="A13" s="6" t="n">
        <v>12</v>
      </c>
      <c r="B13" s="6" t="n">
        <v>1</v>
      </c>
      <c r="C13" s="6" t="inlineStr">
        <is>
          <t>3 row 1</t>
        </is>
      </c>
      <c r="D13" s="6" t="inlineStr">
        <is>
          <t>Name:</t>
        </is>
      </c>
      <c r="E13" s="6" t="inlineStr">
        <is>
          <t>DV-105[0].Page1[0].List3[0].List[0].Li1[0].TextField1[0]</t>
        </is>
      </c>
      <c r="F13" s="6" t="inlineStr">
        <is>
          <t>text</t>
        </is>
      </c>
      <c r="G13" s="6" t="inlineStr"/>
      <c r="H13" s="6" t="inlineStr"/>
      <c r="I13" s="6" t="inlineStr">
        <is>
          <t>112, 317, 369, 331</t>
        </is>
      </c>
      <c r="J13" s="6" t="inlineStr">
        <is>
          <t>derived</t>
        </is>
      </c>
      <c r="K13" s="6" t="inlineStr">
        <is>
          <t>PR1,PR2,PR7</t>
        </is>
      </c>
      <c r="L13" s="6">
        <f> kids[0].PR1</f>
        <v/>
      </c>
      <c r="M13" s="6" t="inlineStr">
        <is>
          <t>kids.length &gt; 0</t>
        </is>
      </c>
      <c r="N13" s="6" t="inlineStr">
        <is>
          <t>kids = roster.where(PR7=="Y" and age(PR2) &lt; 18).sortBy(PR2)</t>
        </is>
      </c>
      <c r="O13" s="6" t="inlineStr"/>
    </row>
    <row r="14">
      <c r="A14" s="6" t="n">
        <v>13</v>
      </c>
      <c r="B14" s="6" t="n">
        <v>1</v>
      </c>
      <c r="C14" s="6" t="inlineStr">
        <is>
          <t>3 row 1</t>
        </is>
      </c>
      <c r="D14" s="6" t="inlineStr">
        <is>
          <t>Date of birth:</t>
        </is>
      </c>
      <c r="E14" s="6" t="inlineStr">
        <is>
          <t>DV-105[0].Page1[0].List3[0].List[0].Li1[0].TextField35[0]</t>
        </is>
      </c>
      <c r="F14" s="6" t="inlineStr">
        <is>
          <t>text</t>
        </is>
      </c>
      <c r="G14" s="6" t="inlineStr"/>
      <c r="H14" s="6" t="inlineStr"/>
      <c r="I14" s="6" t="inlineStr">
        <is>
          <t>441, 316, 576, 331</t>
        </is>
      </c>
      <c r="J14" s="6" t="inlineStr">
        <is>
          <t>derived</t>
        </is>
      </c>
      <c r="K14" s="6" t="inlineStr">
        <is>
          <t>PR2</t>
        </is>
      </c>
      <c r="L14" s="6">
        <f> fmtDate(kids[0].PR2)</f>
        <v/>
      </c>
      <c r="M14" s="6" t="inlineStr">
        <is>
          <t>kids.length &gt; 0</t>
        </is>
      </c>
      <c r="N14" s="6" t="inlineStr"/>
      <c r="O14" s="6" t="inlineStr"/>
    </row>
    <row r="15">
      <c r="A15" s="6" t="n">
        <v>14</v>
      </c>
      <c r="B15" s="6" t="n">
        <v>1</v>
      </c>
      <c r="C15" s="6" t="inlineStr">
        <is>
          <t>3 row 2</t>
        </is>
      </c>
      <c r="D15" s="6" t="inlineStr">
        <is>
          <t>Name:</t>
        </is>
      </c>
      <c r="E15" s="6" t="inlineStr">
        <is>
          <t>DV-105[0].Page1[0].List3[0].List[0].Li2[0].TextField2[0]</t>
        </is>
      </c>
      <c r="F15" s="6" t="inlineStr">
        <is>
          <t>text</t>
        </is>
      </c>
      <c r="G15" s="6" t="inlineStr"/>
      <c r="H15" s="6" t="inlineStr"/>
      <c r="I15" s="6" t="inlineStr">
        <is>
          <t>112, 332, 369, 347</t>
        </is>
      </c>
      <c r="J15" s="6" t="inlineStr">
        <is>
          <t>derived</t>
        </is>
      </c>
      <c r="K15" s="6" t="inlineStr">
        <is>
          <t>PR1,PR2,PR7</t>
        </is>
      </c>
      <c r="L15" s="6">
        <f> kids[1].PR1</f>
        <v/>
      </c>
      <c r="M15" s="6" t="inlineStr">
        <is>
          <t>kids.length &gt; 1</t>
        </is>
      </c>
      <c r="N15" s="6" t="inlineStr"/>
      <c r="O15" s="6" t="inlineStr"/>
    </row>
    <row r="16">
      <c r="A16" s="6" t="n">
        <v>15</v>
      </c>
      <c r="B16" s="6" t="n">
        <v>1</v>
      </c>
      <c r="C16" s="6" t="inlineStr">
        <is>
          <t>3 row 2</t>
        </is>
      </c>
      <c r="D16" s="6" t="inlineStr">
        <is>
          <t>Date of birth:</t>
        </is>
      </c>
      <c r="E16" s="6" t="inlineStr">
        <is>
          <t>DV-105[0].Page1[0].List3[0].List[0].Li2[0].TextField36[0]</t>
        </is>
      </c>
      <c r="F16" s="6" t="inlineStr">
        <is>
          <t>text</t>
        </is>
      </c>
      <c r="G16" s="6" t="inlineStr"/>
      <c r="H16" s="6" t="inlineStr"/>
      <c r="I16" s="6" t="inlineStr">
        <is>
          <t>441, 332, 576, 347</t>
        </is>
      </c>
      <c r="J16" s="6" t="inlineStr">
        <is>
          <t>derived</t>
        </is>
      </c>
      <c r="K16" s="6" t="inlineStr">
        <is>
          <t>PR2</t>
        </is>
      </c>
      <c r="L16" s="6">
        <f> fmtDate(kids[1].PR2)</f>
        <v/>
      </c>
      <c r="M16" s="6" t="inlineStr">
        <is>
          <t>kids.length &gt; 1</t>
        </is>
      </c>
      <c r="N16" s="6" t="inlineStr"/>
      <c r="O16" s="6" t="inlineStr"/>
    </row>
    <row r="17">
      <c r="A17" s="6" t="n">
        <v>16</v>
      </c>
      <c r="B17" s="6" t="n">
        <v>1</v>
      </c>
      <c r="C17" s="6" t="inlineStr">
        <is>
          <t>3 row 3</t>
        </is>
      </c>
      <c r="D17" s="6" t="inlineStr">
        <is>
          <t>Name:</t>
        </is>
      </c>
      <c r="E17" s="6" t="inlineStr">
        <is>
          <t>DV-105[0].Page1[0].List3[0].List[0].Li3[0].TextField3[0]</t>
        </is>
      </c>
      <c r="F17" s="6" t="inlineStr">
        <is>
          <t>text</t>
        </is>
      </c>
      <c r="G17" s="6" t="inlineStr"/>
      <c r="H17" s="6" t="inlineStr"/>
      <c r="I17" s="6" t="inlineStr">
        <is>
          <t>112, 348, 369, 362</t>
        </is>
      </c>
      <c r="J17" s="6" t="inlineStr">
        <is>
          <t>derived</t>
        </is>
      </c>
      <c r="K17" s="6" t="inlineStr">
        <is>
          <t>PR1,PR2,PR7</t>
        </is>
      </c>
      <c r="L17" s="6">
        <f> kids[2].PR1</f>
        <v/>
      </c>
      <c r="M17" s="6" t="inlineStr">
        <is>
          <t>kids.length &gt; 2</t>
        </is>
      </c>
      <c r="N17" s="6" t="inlineStr"/>
      <c r="O17" s="6" t="inlineStr"/>
    </row>
    <row r="18">
      <c r="A18" s="6" t="n">
        <v>17</v>
      </c>
      <c r="B18" s="6" t="n">
        <v>1</v>
      </c>
      <c r="C18" s="6" t="inlineStr">
        <is>
          <t>3 row 3</t>
        </is>
      </c>
      <c r="D18" s="6" t="inlineStr">
        <is>
          <t>Date of birth:</t>
        </is>
      </c>
      <c r="E18" s="6" t="inlineStr">
        <is>
          <t>DV-105[0].Page1[0].List3[0].List[0].Li3[0].TextField37[0]</t>
        </is>
      </c>
      <c r="F18" s="6" t="inlineStr">
        <is>
          <t>text</t>
        </is>
      </c>
      <c r="G18" s="6" t="inlineStr"/>
      <c r="H18" s="6" t="inlineStr"/>
      <c r="I18" s="6" t="inlineStr">
        <is>
          <t>441, 347, 576, 362</t>
        </is>
      </c>
      <c r="J18" s="6" t="inlineStr">
        <is>
          <t>derived</t>
        </is>
      </c>
      <c r="K18" s="6" t="inlineStr">
        <is>
          <t>PR2</t>
        </is>
      </c>
      <c r="L18" s="6">
        <f> fmtDate(kids[2].PR2)</f>
        <v/>
      </c>
      <c r="M18" s="6" t="inlineStr">
        <is>
          <t>kids.length &gt; 2</t>
        </is>
      </c>
      <c r="N18" s="6" t="inlineStr"/>
      <c r="O18" s="6" t="inlineStr"/>
    </row>
    <row r="19">
      <c r="A19" s="6" t="n">
        <v>18</v>
      </c>
      <c r="B19" s="6" t="n">
        <v>1</v>
      </c>
      <c r="C19" s="6" t="inlineStr">
        <is>
          <t>3 row 4</t>
        </is>
      </c>
      <c r="D19" s="6" t="inlineStr">
        <is>
          <t>Date of birth:</t>
        </is>
      </c>
      <c r="E19" s="6" t="inlineStr">
        <is>
          <t>DV-105[0].Page1[0].List3[0].List[0].Li4[0].TextField38[0]</t>
        </is>
      </c>
      <c r="F19" s="6" t="inlineStr">
        <is>
          <t>text</t>
        </is>
      </c>
      <c r="G19" s="6" t="inlineStr"/>
      <c r="H19" s="6" t="inlineStr"/>
      <c r="I19" s="6" t="inlineStr">
        <is>
          <t>441, 363, 576, 378</t>
        </is>
      </c>
      <c r="J19" s="6" t="inlineStr">
        <is>
          <t>derived</t>
        </is>
      </c>
      <c r="K19" s="6" t="inlineStr">
        <is>
          <t>PR2</t>
        </is>
      </c>
      <c r="L19" s="6">
        <f> fmtDate(kids[3].PR2)</f>
        <v/>
      </c>
      <c r="M19" s="6" t="inlineStr">
        <is>
          <t>kids.length &gt; 3</t>
        </is>
      </c>
      <c r="N19" s="6" t="inlineStr"/>
      <c r="O19" s="6" t="inlineStr"/>
    </row>
    <row r="20">
      <c r="A20" s="6" t="n">
        <v>19</v>
      </c>
      <c r="B20" s="6" t="n">
        <v>1</v>
      </c>
      <c r="C20" s="6" t="inlineStr">
        <is>
          <t>3 row 4</t>
        </is>
      </c>
      <c r="D20" s="6" t="inlineStr">
        <is>
          <t>Name:</t>
        </is>
      </c>
      <c r="E20" s="6" t="inlineStr">
        <is>
          <t>DV-105[0].Page1[0].List3[0].List[0].Li4[0].TextField34[0]</t>
        </is>
      </c>
      <c r="F20" s="6" t="inlineStr">
        <is>
          <t>text</t>
        </is>
      </c>
      <c r="G20" s="6" t="inlineStr"/>
      <c r="H20" s="6" t="inlineStr"/>
      <c r="I20" s="6" t="inlineStr">
        <is>
          <t>112, 363, 369, 378</t>
        </is>
      </c>
      <c r="J20" s="6" t="inlineStr">
        <is>
          <t>derived</t>
        </is>
      </c>
      <c r="K20" s="6" t="inlineStr">
        <is>
          <t>PR1,PR2,PR7</t>
        </is>
      </c>
      <c r="L20" s="6">
        <f> kids[3].PR1</f>
        <v/>
      </c>
      <c r="M20" s="6" t="inlineStr">
        <is>
          <t>kids.length &gt; 3</t>
        </is>
      </c>
      <c r="N20" s="6" t="inlineStr"/>
      <c r="O20" s="6" t="inlineStr"/>
    </row>
    <row r="21">
      <c r="A21" s="6" t="n">
        <v>20</v>
      </c>
      <c r="B21" s="6" t="n">
        <v>1</v>
      </c>
      <c r="C21" s="6" t="inlineStr">
        <is>
          <t>3 more</t>
        </is>
      </c>
      <c r="D21" s="6" t="inlineStr">
        <is>
          <t>(Check here if you need more space. Write “DV-105, Children” at the top and attach it to this form.)</t>
        </is>
      </c>
      <c r="E21" s="6" t="inlineStr">
        <is>
          <t>DV-105[0].Page1[0].List3[0].CheckBoxRightCaption[0]</t>
        </is>
      </c>
      <c r="F21" s="6" t="inlineStr">
        <is>
          <t>checkbox</t>
        </is>
      </c>
      <c r="G21" s="6" t="inlineStr">
        <is>
          <t>1</t>
        </is>
      </c>
      <c r="H21" s="6" t="inlineStr"/>
      <c r="I21" s="6" t="inlineStr">
        <is>
          <t>63, 381, 72, 390</t>
        </is>
      </c>
      <c r="J21" s="6" t="inlineStr">
        <is>
          <t>derived</t>
        </is>
      </c>
      <c r="K21" s="6" t="inlineStr">
        <is>
          <t>PR7</t>
        </is>
      </c>
      <c r="L21" s="6" t="inlineStr">
        <is>
          <t>check if kids.length &gt; 4</t>
        </is>
      </c>
      <c r="M21" s="6" t="inlineStr"/>
      <c r="N21" s="6" t="inlineStr">
        <is>
          <t>Attach the sheet "DV-105, Children".</t>
        </is>
      </c>
      <c r="O21" s="6" t="inlineStr"/>
    </row>
    <row r="22">
      <c r="A22" s="5" t="n">
        <v>21</v>
      </c>
      <c r="B22" s="5" t="n">
        <v>1</v>
      </c>
      <c r="C22" s="5" t="inlineStr">
        <is>
          <t>4a</t>
        </is>
      </c>
      <c r="D22" s="5" t="inlineStr">
        <is>
          <t>No (If no, complete form DV-105(A). Do not complete the section below.)</t>
        </is>
      </c>
      <c r="E22" s="5" t="inlineStr">
        <is>
          <t>DV-105[0].Page1[0].List4[0].List[0].Li1[0].Choice1[0]</t>
        </is>
      </c>
      <c r="F22" s="5" t="inlineStr">
        <is>
          <t>checkbox</t>
        </is>
      </c>
      <c r="G22" s="5" t="inlineStr">
        <is>
          <t>2</t>
        </is>
      </c>
      <c r="H22" s="5" t="inlineStr"/>
      <c r="I22" s="5" t="inlineStr">
        <is>
          <t>78, 476, 87, 485</t>
        </is>
      </c>
      <c r="J22" s="5" t="inlineStr">
        <is>
          <t>question</t>
        </is>
      </c>
      <c r="K22" s="5" t="inlineStr">
        <is>
          <t>K1</t>
        </is>
      </c>
      <c r="L22" s="5" t="inlineStr">
        <is>
          <t>check if K1 == "N"</t>
        </is>
      </c>
      <c r="M22" s="5" t="inlineStr"/>
      <c r="N22" s="5" t="inlineStr">
        <is>
          <t>No is the first widget (export 2); Yes is [1] (export 1).</t>
        </is>
      </c>
      <c r="O22" s="5" t="inlineStr"/>
    </row>
    <row r="23">
      <c r="A23" s="5" t="n">
        <v>22</v>
      </c>
      <c r="B23" s="5" t="n">
        <v>1</v>
      </c>
      <c r="C23" s="5" t="inlineStr">
        <is>
          <t>4a</t>
        </is>
      </c>
      <c r="D23" s="5" t="inlineStr">
        <is>
          <t>Yes (If yes, complete the section below.)</t>
        </is>
      </c>
      <c r="E23" s="5" t="inlineStr">
        <is>
          <t>DV-105[0].Page1[0].List4[0].List[0].Li1[0].Choice1[1]</t>
        </is>
      </c>
      <c r="F23" s="5" t="inlineStr">
        <is>
          <t>checkbox</t>
        </is>
      </c>
      <c r="G23" s="5" t="inlineStr">
        <is>
          <t>1</t>
        </is>
      </c>
      <c r="H23" s="5" t="inlineStr"/>
      <c r="I23" s="5" t="inlineStr">
        <is>
          <t>78, 491, 87, 500</t>
        </is>
      </c>
      <c r="J23" s="5" t="inlineStr">
        <is>
          <t>question</t>
        </is>
      </c>
      <c r="K23" s="5" t="inlineStr">
        <is>
          <t>K1</t>
        </is>
      </c>
      <c r="L23" s="5" t="inlineStr">
        <is>
          <t>check if K1 == "Y"</t>
        </is>
      </c>
      <c r="M23" s="5" t="inlineStr"/>
      <c r="N23" s="5" t="inlineStr"/>
      <c r="O23" s="5" t="inlineStr"/>
    </row>
    <row r="24">
      <c r="A24" s="5" t="n">
        <v>23</v>
      </c>
      <c r="B24" s="5" t="n">
        <v>1</v>
      </c>
      <c r="C24" s="5" t="inlineStr">
        <is>
          <t>4b row 1</t>
        </is>
      </c>
      <c r="D24" s="5" t="inlineStr">
        <is>
          <t>From:</t>
        </is>
      </c>
      <c r="E24" s="5" t="inlineStr">
        <is>
          <t>DV-105[0].Page1[0].List4[0].List[0].Li2[0].tf1[0]</t>
        </is>
      </c>
      <c r="F24" s="5" t="inlineStr">
        <is>
          <t>text</t>
        </is>
      </c>
      <c r="G24" s="5" t="inlineStr"/>
      <c r="H24" s="5" t="inlineStr"/>
      <c r="I24" s="5" t="inlineStr">
        <is>
          <t>91, 583, 128, 596</t>
        </is>
      </c>
      <c r="J24" s="5" t="inlineStr">
        <is>
          <t>question</t>
        </is>
      </c>
      <c r="K24" s="5" t="inlineStr">
        <is>
          <t>K2</t>
        </is>
      </c>
      <c r="L24" s="5">
        <f> fmtMonthYear(K2[0].from)</f>
        <v/>
      </c>
      <c r="M24" s="5" t="inlineStr">
        <is>
          <t>K1 == "Y" and K2.length &gt; 0</t>
        </is>
      </c>
      <c r="N24" s="5" t="inlineStr">
        <is>
          <t>Row 1 is the current home: "From" only. "Lived with" is check-all-that-apply.</t>
        </is>
      </c>
      <c r="O24" s="5" t="inlineStr"/>
    </row>
    <row r="25">
      <c r="A25" s="5" t="n">
        <v>24</v>
      </c>
      <c r="B25" s="5" t="n">
        <v>1</v>
      </c>
      <c r="C25" s="5" t="inlineStr">
        <is>
          <t>4b row 1</t>
        </is>
      </c>
      <c r="D25" s="5" t="inlineStr">
        <is>
          <t>City and State(include tribal land, if applies)</t>
        </is>
      </c>
      <c r="E25" s="5" t="inlineStr">
        <is>
          <t>DV-105[0].Page1[0].List4[0].List[0].Li2[0].tf2[0]</t>
        </is>
      </c>
      <c r="F25" s="5" t="inlineStr">
        <is>
          <t>text</t>
        </is>
      </c>
      <c r="G25" s="5" t="inlineStr"/>
      <c r="H25" s="5" t="inlineStr"/>
      <c r="I25" s="5" t="inlineStr">
        <is>
          <t>201, 583, 376, 596</t>
        </is>
      </c>
      <c r="J25" s="5" t="inlineStr">
        <is>
          <t>question</t>
        </is>
      </c>
      <c r="K25" s="5" t="inlineStr">
        <is>
          <t>K2</t>
        </is>
      </c>
      <c r="L25" s="5">
        <f> K2[0].private ? K2[0].state : K2[0].cityState</f>
        <v/>
      </c>
      <c r="M25" s="5" t="inlineStr">
        <is>
          <t>K1 == "Y" and K2.length &gt; 0</t>
        </is>
      </c>
      <c r="N25" s="5" t="inlineStr"/>
      <c r="O25" s="5" t="inlineStr"/>
    </row>
    <row r="26">
      <c r="A26" s="5" t="n">
        <v>25</v>
      </c>
      <c r="B26" s="5" t="n">
        <v>1</v>
      </c>
      <c r="C26" s="5" t="inlineStr">
        <is>
          <t>4b row 1</t>
        </is>
      </c>
      <c r="D26" s="5" t="inlineStr">
        <is>
          <t>Me</t>
        </is>
      </c>
      <c r="E26" s="5" t="inlineStr">
        <is>
          <t>DV-105[0].Page1[0].List4[0].List[0].Li2[0].ChoiceChildLiveW8[0]</t>
        </is>
      </c>
      <c r="F26" s="5" t="inlineStr">
        <is>
          <t>checkbox</t>
        </is>
      </c>
      <c r="G26" s="5" t="inlineStr">
        <is>
          <t>1</t>
        </is>
      </c>
      <c r="H26" s="5" t="inlineStr"/>
      <c r="I26" s="5" t="inlineStr">
        <is>
          <t>380, 583, 389, 592</t>
        </is>
      </c>
      <c r="J26" s="5" t="inlineStr">
        <is>
          <t>question</t>
        </is>
      </c>
      <c r="K26" s="5" t="inlineStr">
        <is>
          <t>K2</t>
        </is>
      </c>
      <c r="L26" s="5" t="inlineStr">
        <is>
          <t>check if K2[0].livedWith has "me"</t>
        </is>
      </c>
      <c r="M26" s="5" t="inlineStr">
        <is>
          <t>K1 == "Y" and K2.length &gt; 0</t>
        </is>
      </c>
      <c r="N26" s="5" t="inlineStr"/>
      <c r="O26" s="5" t="inlineStr"/>
    </row>
    <row r="27">
      <c r="A27" s="5" t="n">
        <v>26</v>
      </c>
      <c r="B27" s="5" t="n">
        <v>1</v>
      </c>
      <c r="C27" s="5" t="inlineStr">
        <is>
          <t>4b row 1</t>
        </is>
      </c>
      <c r="D27" s="5" t="inlineStr">
        <is>
          <t>Person in 2</t>
        </is>
      </c>
      <c r="E27" s="5" t="inlineStr">
        <is>
          <t>DV-105[0].Page1[0].List4[0].List[0].Li2[0].ChoiceChildLiveW8[1]</t>
        </is>
      </c>
      <c r="F27" s="5" t="inlineStr">
        <is>
          <t>checkbox</t>
        </is>
      </c>
      <c r="G27" s="5" t="inlineStr">
        <is>
          <t>11</t>
        </is>
      </c>
      <c r="H27" s="5" t="inlineStr"/>
      <c r="I27" s="5" t="inlineStr">
        <is>
          <t>427, 583, 436, 592</t>
        </is>
      </c>
      <c r="J27" s="5" t="inlineStr">
        <is>
          <t>question</t>
        </is>
      </c>
      <c r="K27" s="5" t="inlineStr">
        <is>
          <t>K2</t>
        </is>
      </c>
      <c r="L27" s="5" t="inlineStr">
        <is>
          <t>check if K2[0].livedWith has "respondent"</t>
        </is>
      </c>
      <c r="M27" s="5" t="inlineStr">
        <is>
          <t>K1 == "Y" and K2.length &gt; 0</t>
        </is>
      </c>
      <c r="N27" s="5" t="inlineStr"/>
      <c r="O27" s="5" t="inlineStr"/>
    </row>
    <row r="28">
      <c r="A28" s="5" t="n">
        <v>27</v>
      </c>
      <c r="B28" s="5" t="n">
        <v>1</v>
      </c>
      <c r="C28" s="5" t="inlineStr">
        <is>
          <t>4b row 1</t>
        </is>
      </c>
      <c r="D28" s="5" t="inlineStr">
        <is>
          <t>Other (relationship to child)</t>
        </is>
      </c>
      <c r="E28" s="5" t="inlineStr">
        <is>
          <t>DV-105[0].Page1[0].List4[0].List[0].Li2[0].ChoiceChildLiveW8[2]</t>
        </is>
      </c>
      <c r="F28" s="5" t="inlineStr">
        <is>
          <t>checkbox</t>
        </is>
      </c>
      <c r="G28" s="5" t="inlineStr">
        <is>
          <t>31</t>
        </is>
      </c>
      <c r="H28" s="5" t="inlineStr"/>
      <c r="I28" s="5" t="inlineStr">
        <is>
          <t>466, 583, 475, 592</t>
        </is>
      </c>
      <c r="J28" s="5" t="inlineStr">
        <is>
          <t>question</t>
        </is>
      </c>
      <c r="K28" s="5" t="inlineStr">
        <is>
          <t>K2</t>
        </is>
      </c>
      <c r="L28" s="5" t="inlineStr">
        <is>
          <t>check if K2[0].livedWith has "other"</t>
        </is>
      </c>
      <c r="M28" s="5" t="inlineStr">
        <is>
          <t>K1 == "Y" and K2.length &gt; 0</t>
        </is>
      </c>
      <c r="N28" s="5" t="inlineStr"/>
      <c r="O28" s="5" t="inlineStr"/>
    </row>
    <row r="29">
      <c r="A29" s="5" t="n">
        <v>28</v>
      </c>
      <c r="B29" s="5" t="n">
        <v>1</v>
      </c>
      <c r="C29" s="5" t="inlineStr">
        <is>
          <t>4b row 1</t>
        </is>
      </c>
      <c r="D29" s="5" t="inlineStr">
        <is>
          <t>Other (relationship to child)</t>
        </is>
      </c>
      <c r="E29" s="5" t="inlineStr">
        <is>
          <t>DV-105[0].Page1[0].List4[0].List[0].Li2[0].TextField1[0]</t>
        </is>
      </c>
      <c r="F29" s="5" t="inlineStr">
        <is>
          <t>text</t>
        </is>
      </c>
      <c r="G29" s="5" t="inlineStr"/>
      <c r="H29" s="5" t="inlineStr"/>
      <c r="I29" s="5" t="inlineStr">
        <is>
          <t>485, 583, 574, 596</t>
        </is>
      </c>
      <c r="J29" s="5" t="inlineStr">
        <is>
          <t>question</t>
        </is>
      </c>
      <c r="K29" s="5" t="inlineStr">
        <is>
          <t>K2</t>
        </is>
      </c>
      <c r="L29" s="5">
        <f> K2[0].otherRelationship</f>
        <v/>
      </c>
      <c r="M29" s="5" t="inlineStr">
        <is>
          <t>K1 == "Y" and K2.length &gt; 0 and livedWith has "other"</t>
        </is>
      </c>
      <c r="N29" s="5" t="inlineStr"/>
      <c r="O29" s="5" t="inlineStr"/>
    </row>
    <row r="30">
      <c r="A30" s="5" t="n">
        <v>29</v>
      </c>
      <c r="B30" s="5" t="n">
        <v>1</v>
      </c>
      <c r="C30" s="5" t="inlineStr">
        <is>
          <t>4b row 1</t>
        </is>
      </c>
      <c r="D30" s="5" t="inlineStr">
        <is>
          <t>Check here if this address is private (confidential). List the state only.</t>
        </is>
      </c>
      <c r="E30" s="5" t="inlineStr">
        <is>
          <t>DV-105[0].Page1[0].List4[0].List[0].Li2[0].chb1[0]</t>
        </is>
      </c>
      <c r="F30" s="5" t="inlineStr">
        <is>
          <t>checkbox</t>
        </is>
      </c>
      <c r="G30" s="5" t="inlineStr">
        <is>
          <t>1</t>
        </is>
      </c>
      <c r="H30" s="5" t="inlineStr"/>
      <c r="I30" s="5" t="inlineStr">
        <is>
          <t>201, 599, 210, 608</t>
        </is>
      </c>
      <c r="J30" s="5" t="inlineStr">
        <is>
          <t>question</t>
        </is>
      </c>
      <c r="K30" s="5" t="inlineStr">
        <is>
          <t>K2</t>
        </is>
      </c>
      <c r="L30" s="5" t="inlineStr">
        <is>
          <t>check if K2[0].private</t>
        </is>
      </c>
      <c r="M30" s="5" t="inlineStr">
        <is>
          <t>K1 == "Y" and K2.length &gt; 0</t>
        </is>
      </c>
      <c r="N30" s="5" t="inlineStr">
        <is>
          <t>Row 1 only: prints the state only.</t>
        </is>
      </c>
      <c r="O30" s="5" t="inlineStr"/>
    </row>
    <row r="31">
      <c r="A31" s="5" t="n">
        <v>30</v>
      </c>
      <c r="B31" s="5" t="n">
        <v>1</v>
      </c>
      <c r="C31" s="5" t="inlineStr">
        <is>
          <t>4b row 2</t>
        </is>
      </c>
      <c r="D31" s="5" t="inlineStr">
        <is>
          <t>From:</t>
        </is>
      </c>
      <c r="E31" s="5" t="inlineStr">
        <is>
          <t>DV-105[0].Page1[0].List4[0].List[0].Li2[0].tf3[0]</t>
        </is>
      </c>
      <c r="F31" s="5" t="inlineStr">
        <is>
          <t>text</t>
        </is>
      </c>
      <c r="G31" s="5" t="inlineStr"/>
      <c r="H31" s="5" t="inlineStr"/>
      <c r="I31" s="5" t="inlineStr">
        <is>
          <t>90, 625, 127, 640</t>
        </is>
      </c>
      <c r="J31" s="5" t="inlineStr">
        <is>
          <t>question</t>
        </is>
      </c>
      <c r="K31" s="5" t="inlineStr">
        <is>
          <t>K2</t>
        </is>
      </c>
      <c r="L31" s="5">
        <f> fmtMonthYear(K2[1].from)</f>
        <v/>
      </c>
      <c r="M31" s="5" t="inlineStr">
        <is>
          <t>K1 == "Y" and K2.length &gt; 1</t>
        </is>
      </c>
      <c r="N31" s="5" t="inlineStr"/>
      <c r="O31" s="5" t="inlineStr"/>
    </row>
    <row r="32">
      <c r="A32" s="5" t="n">
        <v>31</v>
      </c>
      <c r="B32" s="5" t="n">
        <v>1</v>
      </c>
      <c r="C32" s="5" t="inlineStr">
        <is>
          <t>4b row 2</t>
        </is>
      </c>
      <c r="D32" s="5" t="inlineStr">
        <is>
          <t>Until:</t>
        </is>
      </c>
      <c r="E32" s="5" t="inlineStr">
        <is>
          <t>DV-105[0].Page1[0].List4[0].List[0].Li2[0].tf4[0]</t>
        </is>
      </c>
      <c r="F32" s="5" t="inlineStr">
        <is>
          <t>text</t>
        </is>
      </c>
      <c r="G32" s="5" t="inlineStr"/>
      <c r="H32" s="5" t="inlineStr"/>
      <c r="I32" s="5" t="inlineStr">
        <is>
          <t>159, 625, 196, 640</t>
        </is>
      </c>
      <c r="J32" s="5" t="inlineStr">
        <is>
          <t>question</t>
        </is>
      </c>
      <c r="K32" s="5" t="inlineStr">
        <is>
          <t>K2</t>
        </is>
      </c>
      <c r="L32" s="5">
        <f> fmtMonthYear(K2[1].until)</f>
        <v/>
      </c>
      <c r="M32" s="5" t="inlineStr">
        <is>
          <t>K1 == "Y" and K2.length &gt; 1</t>
        </is>
      </c>
      <c r="N32" s="5" t="inlineStr"/>
      <c r="O32" s="5" t="inlineStr"/>
    </row>
    <row r="33">
      <c r="A33" s="5" t="n">
        <v>32</v>
      </c>
      <c r="B33" s="5" t="n">
        <v>1</v>
      </c>
      <c r="C33" s="5" t="inlineStr">
        <is>
          <t>4b row 2</t>
        </is>
      </c>
      <c r="D33" s="5" t="inlineStr">
        <is>
          <t>City and State(include tribal land, if applies)</t>
        </is>
      </c>
      <c r="E33" s="5" t="inlineStr">
        <is>
          <t>DV-105[0].Page1[0].List4[0].List[0].Li2[0].tf6[0]</t>
        </is>
      </c>
      <c r="F33" s="5" t="inlineStr">
        <is>
          <t>text</t>
        </is>
      </c>
      <c r="G33" s="5" t="inlineStr"/>
      <c r="H33" s="5" t="inlineStr"/>
      <c r="I33" s="5" t="inlineStr">
        <is>
          <t>201, 625, 376, 640</t>
        </is>
      </c>
      <c r="J33" s="5" t="inlineStr">
        <is>
          <t>question</t>
        </is>
      </c>
      <c r="K33" s="5" t="inlineStr">
        <is>
          <t>K2</t>
        </is>
      </c>
      <c r="L33" s="5">
        <f> K2[1].private ? K2[1].state : K2[1].cityState</f>
        <v/>
      </c>
      <c r="M33" s="5" t="inlineStr">
        <is>
          <t>K1 == "Y" and K2.length &gt; 1</t>
        </is>
      </c>
      <c r="N33" s="5" t="inlineStr"/>
      <c r="O33" s="5" t="inlineStr"/>
    </row>
    <row r="34">
      <c r="A34" s="5" t="n">
        <v>33</v>
      </c>
      <c r="B34" s="5" t="n">
        <v>1</v>
      </c>
      <c r="C34" s="5" t="inlineStr">
        <is>
          <t>4b row 2</t>
        </is>
      </c>
      <c r="D34" s="5" t="inlineStr">
        <is>
          <t>Me</t>
        </is>
      </c>
      <c r="E34" s="5" t="inlineStr">
        <is>
          <t>DV-105[0].Page1[0].List4[0].List[0].Li2[0].ChoiceChildLiveW9[0]</t>
        </is>
      </c>
      <c r="F34" s="5" t="inlineStr">
        <is>
          <t>checkbox</t>
        </is>
      </c>
      <c r="G34" s="5" t="inlineStr">
        <is>
          <t>1</t>
        </is>
      </c>
      <c r="H34" s="5" t="inlineStr"/>
      <c r="I34" s="5" t="inlineStr">
        <is>
          <t>380, 625, 389, 634</t>
        </is>
      </c>
      <c r="J34" s="5" t="inlineStr">
        <is>
          <t>question</t>
        </is>
      </c>
      <c r="K34" s="5" t="inlineStr">
        <is>
          <t>K2</t>
        </is>
      </c>
      <c r="L34" s="5" t="inlineStr">
        <is>
          <t>check if K2[1].livedWith has "me"</t>
        </is>
      </c>
      <c r="M34" s="5" t="inlineStr">
        <is>
          <t>K1 == "Y" and K2.length &gt; 1</t>
        </is>
      </c>
      <c r="N34" s="5" t="inlineStr"/>
      <c r="O34" s="5" t="inlineStr"/>
    </row>
    <row r="35">
      <c r="A35" s="5" t="n">
        <v>34</v>
      </c>
      <c r="B35" s="5" t="n">
        <v>1</v>
      </c>
      <c r="C35" s="5" t="inlineStr">
        <is>
          <t>4b row 2</t>
        </is>
      </c>
      <c r="D35" s="5" t="inlineStr">
        <is>
          <t>Person in 2</t>
        </is>
      </c>
      <c r="E35" s="5" t="inlineStr">
        <is>
          <t>DV-105[0].Page1[0].List4[0].List[0].Li2[0].ChoiceChildLiveW9[1]</t>
        </is>
      </c>
      <c r="F35" s="5" t="inlineStr">
        <is>
          <t>checkbox</t>
        </is>
      </c>
      <c r="G35" s="5" t="inlineStr">
        <is>
          <t>11</t>
        </is>
      </c>
      <c r="H35" s="5" t="inlineStr"/>
      <c r="I35" s="5" t="inlineStr">
        <is>
          <t>427, 625, 436, 634</t>
        </is>
      </c>
      <c r="J35" s="5" t="inlineStr">
        <is>
          <t>question</t>
        </is>
      </c>
      <c r="K35" s="5" t="inlineStr">
        <is>
          <t>K2</t>
        </is>
      </c>
      <c r="L35" s="5" t="inlineStr">
        <is>
          <t>check if K2[1].livedWith has "respondent"</t>
        </is>
      </c>
      <c r="M35" s="5" t="inlineStr">
        <is>
          <t>K1 == "Y" and K2.length &gt; 1</t>
        </is>
      </c>
      <c r="N35" s="5" t="inlineStr"/>
      <c r="O35" s="5" t="inlineStr"/>
    </row>
    <row r="36">
      <c r="A36" s="5" t="n">
        <v>35</v>
      </c>
      <c r="B36" s="5" t="n">
        <v>1</v>
      </c>
      <c r="C36" s="5" t="inlineStr">
        <is>
          <t>4b row 2</t>
        </is>
      </c>
      <c r="D36" s="5" t="inlineStr">
        <is>
          <t>Other (relationship to child)</t>
        </is>
      </c>
      <c r="E36" s="5" t="inlineStr">
        <is>
          <t>DV-105[0].Page1[0].List4[0].List[0].Li2[0].ChoiceChildLiveW9[2]</t>
        </is>
      </c>
      <c r="F36" s="5" t="inlineStr">
        <is>
          <t>checkbox</t>
        </is>
      </c>
      <c r="G36" s="5" t="inlineStr">
        <is>
          <t>21</t>
        </is>
      </c>
      <c r="H36" s="5" t="inlineStr"/>
      <c r="I36" s="5" t="inlineStr">
        <is>
          <t>466, 625, 475, 634</t>
        </is>
      </c>
      <c r="J36" s="5" t="inlineStr">
        <is>
          <t>question</t>
        </is>
      </c>
      <c r="K36" s="5" t="inlineStr">
        <is>
          <t>K2</t>
        </is>
      </c>
      <c r="L36" s="5" t="inlineStr">
        <is>
          <t>check if K2[1].livedWith has "other"</t>
        </is>
      </c>
      <c r="M36" s="5" t="inlineStr">
        <is>
          <t>K1 == "Y" and K2.length &gt; 1</t>
        </is>
      </c>
      <c r="N36" s="5" t="inlineStr"/>
      <c r="O36" s="5" t="inlineStr"/>
    </row>
    <row r="37">
      <c r="A37" s="5" t="n">
        <v>36</v>
      </c>
      <c r="B37" s="5" t="n">
        <v>1</v>
      </c>
      <c r="C37" s="5" t="inlineStr">
        <is>
          <t>4b row 2</t>
        </is>
      </c>
      <c r="D37" s="5" t="inlineStr">
        <is>
          <t>Other (relationship to child)</t>
        </is>
      </c>
      <c r="E37" s="5" t="inlineStr">
        <is>
          <t>DV-105[0].Page1[0].List4[0].List[0].Li2[0].TextField2[0]</t>
        </is>
      </c>
      <c r="F37" s="5" t="inlineStr">
        <is>
          <t>text</t>
        </is>
      </c>
      <c r="G37" s="5" t="inlineStr"/>
      <c r="H37" s="5" t="inlineStr"/>
      <c r="I37" s="5" t="inlineStr">
        <is>
          <t>485, 625, 574, 640</t>
        </is>
      </c>
      <c r="J37" s="5" t="inlineStr">
        <is>
          <t>question</t>
        </is>
      </c>
      <c r="K37" s="5" t="inlineStr">
        <is>
          <t>K2</t>
        </is>
      </c>
      <c r="L37" s="5">
        <f> K2[1].otherRelationship</f>
        <v/>
      </c>
      <c r="M37" s="5" t="inlineStr">
        <is>
          <t>K1 == "Y" and K2.length &gt; 1 and livedWith has "other"</t>
        </is>
      </c>
      <c r="N37" s="5" t="inlineStr"/>
      <c r="O37" s="5" t="inlineStr"/>
    </row>
    <row r="38">
      <c r="A38" s="5" t="n">
        <v>37</v>
      </c>
      <c r="B38" s="5" t="n">
        <v>1</v>
      </c>
      <c r="C38" s="5" t="inlineStr">
        <is>
          <t>4b row 3</t>
        </is>
      </c>
      <c r="D38" s="5" t="inlineStr">
        <is>
          <t>From:</t>
        </is>
      </c>
      <c r="E38" s="5" t="inlineStr">
        <is>
          <t>DV-105[0].Page1[0].List4[0].List[0].Li2[0].tf7[0]</t>
        </is>
      </c>
      <c r="F38" s="5" t="inlineStr">
        <is>
          <t>text</t>
        </is>
      </c>
      <c r="G38" s="5" t="inlineStr"/>
      <c r="H38" s="5" t="inlineStr"/>
      <c r="I38" s="5" t="inlineStr">
        <is>
          <t>91, 641, 127, 656</t>
        </is>
      </c>
      <c r="J38" s="5" t="inlineStr">
        <is>
          <t>question</t>
        </is>
      </c>
      <c r="K38" s="5" t="inlineStr">
        <is>
          <t>K2</t>
        </is>
      </c>
      <c r="L38" s="5">
        <f> fmtMonthYear(K2[2].from)</f>
        <v/>
      </c>
      <c r="M38" s="5" t="inlineStr">
        <is>
          <t>K1 == "Y" and K2.length &gt; 2</t>
        </is>
      </c>
      <c r="N38" s="5" t="inlineStr"/>
      <c r="O38" s="5" t="inlineStr"/>
    </row>
    <row r="39">
      <c r="A39" s="5" t="n">
        <v>38</v>
      </c>
      <c r="B39" s="5" t="n">
        <v>1</v>
      </c>
      <c r="C39" s="5" t="inlineStr">
        <is>
          <t>4b row 3</t>
        </is>
      </c>
      <c r="D39" s="5" t="inlineStr">
        <is>
          <t>Until:</t>
        </is>
      </c>
      <c r="E39" s="5" t="inlineStr">
        <is>
          <t>DV-105[0].Page1[0].List4[0].List[0].Li2[0].tf8[0]</t>
        </is>
      </c>
      <c r="F39" s="5" t="inlineStr">
        <is>
          <t>text</t>
        </is>
      </c>
      <c r="G39" s="5" t="inlineStr"/>
      <c r="H39" s="5" t="inlineStr"/>
      <c r="I39" s="5" t="inlineStr">
        <is>
          <t>159, 641, 196, 656</t>
        </is>
      </c>
      <c r="J39" s="5" t="inlineStr">
        <is>
          <t>question</t>
        </is>
      </c>
      <c r="K39" s="5" t="inlineStr">
        <is>
          <t>K2</t>
        </is>
      </c>
      <c r="L39" s="5">
        <f> fmtMonthYear(K2[2].until)</f>
        <v/>
      </c>
      <c r="M39" s="5" t="inlineStr">
        <is>
          <t>K1 == "Y" and K2.length &gt; 2</t>
        </is>
      </c>
      <c r="N39" s="5" t="inlineStr"/>
      <c r="O39" s="5" t="inlineStr"/>
    </row>
    <row r="40">
      <c r="A40" s="5" t="n">
        <v>39</v>
      </c>
      <c r="B40" s="5" t="n">
        <v>1</v>
      </c>
      <c r="C40" s="5" t="inlineStr">
        <is>
          <t>4b row 3</t>
        </is>
      </c>
      <c r="D40" s="5" t="inlineStr">
        <is>
          <t>City and State(include tribal land, if applies)</t>
        </is>
      </c>
      <c r="E40" s="5" t="inlineStr">
        <is>
          <t>DV-105[0].Page1[0].List4[0].List[0].Li2[0].tf9[0]</t>
        </is>
      </c>
      <c r="F40" s="5" t="inlineStr">
        <is>
          <t>text</t>
        </is>
      </c>
      <c r="G40" s="5" t="inlineStr"/>
      <c r="H40" s="5" t="inlineStr"/>
      <c r="I40" s="5" t="inlineStr">
        <is>
          <t>201, 641, 376, 656</t>
        </is>
      </c>
      <c r="J40" s="5" t="inlineStr">
        <is>
          <t>question</t>
        </is>
      </c>
      <c r="K40" s="5" t="inlineStr">
        <is>
          <t>K2</t>
        </is>
      </c>
      <c r="L40" s="5">
        <f> K2[2].private ? K2[2].state : K2[2].cityState</f>
        <v/>
      </c>
      <c r="M40" s="5" t="inlineStr">
        <is>
          <t>K1 == "Y" and K2.length &gt; 2</t>
        </is>
      </c>
      <c r="N40" s="5" t="inlineStr"/>
      <c r="O40" s="5" t="inlineStr"/>
    </row>
    <row r="41">
      <c r="A41" s="5" t="n">
        <v>40</v>
      </c>
      <c r="B41" s="5" t="n">
        <v>1</v>
      </c>
      <c r="C41" s="5" t="inlineStr">
        <is>
          <t>4b row 3</t>
        </is>
      </c>
      <c r="D41" s="5" t="inlineStr">
        <is>
          <t>Me</t>
        </is>
      </c>
      <c r="E41" s="5" t="inlineStr">
        <is>
          <t>DV-105[0].Page1[0].List4[0].List[0].Li2[0].ChoiceChildLiveW10[0]</t>
        </is>
      </c>
      <c r="F41" s="5" t="inlineStr">
        <is>
          <t>checkbox</t>
        </is>
      </c>
      <c r="G41" s="5" t="inlineStr">
        <is>
          <t>1</t>
        </is>
      </c>
      <c r="H41" s="5" t="inlineStr"/>
      <c r="I41" s="5" t="inlineStr">
        <is>
          <t>380, 641, 389, 650</t>
        </is>
      </c>
      <c r="J41" s="5" t="inlineStr">
        <is>
          <t>question</t>
        </is>
      </c>
      <c r="K41" s="5" t="inlineStr">
        <is>
          <t>K2</t>
        </is>
      </c>
      <c r="L41" s="5" t="inlineStr">
        <is>
          <t>check if K2[2].livedWith has "me"</t>
        </is>
      </c>
      <c r="M41" s="5" t="inlineStr">
        <is>
          <t>K1 == "Y" and K2.length &gt; 2</t>
        </is>
      </c>
      <c r="N41" s="5" t="inlineStr"/>
      <c r="O41" s="5" t="inlineStr"/>
    </row>
    <row r="42">
      <c r="A42" s="5" t="n">
        <v>41</v>
      </c>
      <c r="B42" s="5" t="n">
        <v>1</v>
      </c>
      <c r="C42" s="5" t="inlineStr">
        <is>
          <t>4b row 3</t>
        </is>
      </c>
      <c r="D42" s="5" t="inlineStr">
        <is>
          <t>Person in 2</t>
        </is>
      </c>
      <c r="E42" s="5" t="inlineStr">
        <is>
          <t>DV-105[0].Page1[0].List4[0].List[0].Li2[0].ChoiceChildLiveW10[1]</t>
        </is>
      </c>
      <c r="F42" s="5" t="inlineStr">
        <is>
          <t>checkbox</t>
        </is>
      </c>
      <c r="G42" s="5" t="inlineStr">
        <is>
          <t>11</t>
        </is>
      </c>
      <c r="H42" s="5" t="inlineStr"/>
      <c r="I42" s="5" t="inlineStr">
        <is>
          <t>427, 641, 436, 650</t>
        </is>
      </c>
      <c r="J42" s="5" t="inlineStr">
        <is>
          <t>question</t>
        </is>
      </c>
      <c r="K42" s="5" t="inlineStr">
        <is>
          <t>K2</t>
        </is>
      </c>
      <c r="L42" s="5" t="inlineStr">
        <is>
          <t>check if K2[2].livedWith has "respondent"</t>
        </is>
      </c>
      <c r="M42" s="5" t="inlineStr">
        <is>
          <t>K1 == "Y" and K2.length &gt; 2</t>
        </is>
      </c>
      <c r="N42" s="5" t="inlineStr"/>
      <c r="O42" s="5" t="inlineStr"/>
    </row>
    <row r="43">
      <c r="A43" s="5" t="n">
        <v>42</v>
      </c>
      <c r="B43" s="5" t="n">
        <v>1</v>
      </c>
      <c r="C43" s="5" t="inlineStr">
        <is>
          <t>4b row 3</t>
        </is>
      </c>
      <c r="D43" s="5" t="inlineStr">
        <is>
          <t>Other (relationship to child)</t>
        </is>
      </c>
      <c r="E43" s="5" t="inlineStr">
        <is>
          <t>DV-105[0].Page1[0].List4[0].List[0].Li2[0].ChoiceChildLiveW10[2]</t>
        </is>
      </c>
      <c r="F43" s="5" t="inlineStr">
        <is>
          <t>checkbox</t>
        </is>
      </c>
      <c r="G43" s="5" t="inlineStr">
        <is>
          <t>21</t>
        </is>
      </c>
      <c r="H43" s="5" t="inlineStr"/>
      <c r="I43" s="5" t="inlineStr">
        <is>
          <t>466, 641, 475, 650</t>
        </is>
      </c>
      <c r="J43" s="5" t="inlineStr">
        <is>
          <t>question</t>
        </is>
      </c>
      <c r="K43" s="5" t="inlineStr">
        <is>
          <t>K2</t>
        </is>
      </c>
      <c r="L43" s="5" t="inlineStr">
        <is>
          <t>check if K2[2].livedWith has "other"</t>
        </is>
      </c>
      <c r="M43" s="5" t="inlineStr">
        <is>
          <t>K1 == "Y" and K2.length &gt; 2</t>
        </is>
      </c>
      <c r="N43" s="5" t="inlineStr"/>
      <c r="O43" s="5" t="inlineStr"/>
    </row>
    <row r="44">
      <c r="A44" s="5" t="n">
        <v>43</v>
      </c>
      <c r="B44" s="5" t="n">
        <v>1</v>
      </c>
      <c r="C44" s="5" t="inlineStr">
        <is>
          <t>4b row 3</t>
        </is>
      </c>
      <c r="D44" s="5" t="inlineStr">
        <is>
          <t>Other (relationship to child)</t>
        </is>
      </c>
      <c r="E44" s="5" t="inlineStr">
        <is>
          <t>DV-105[0].Page1[0].List4[0].List[0].Li2[0].TextField3[0]</t>
        </is>
      </c>
      <c r="F44" s="5" t="inlineStr">
        <is>
          <t>text</t>
        </is>
      </c>
      <c r="G44" s="5" t="inlineStr"/>
      <c r="H44" s="5" t="inlineStr"/>
      <c r="I44" s="5" t="inlineStr">
        <is>
          <t>485, 641, 574, 656</t>
        </is>
      </c>
      <c r="J44" s="5" t="inlineStr">
        <is>
          <t>question</t>
        </is>
      </c>
      <c r="K44" s="5" t="inlineStr">
        <is>
          <t>K2</t>
        </is>
      </c>
      <c r="L44" s="5">
        <f> K2[2].otherRelationship</f>
        <v/>
      </c>
      <c r="M44" s="5" t="inlineStr">
        <is>
          <t>K1 == "Y" and K2.length &gt; 2 and livedWith has "other"</t>
        </is>
      </c>
      <c r="N44" s="5" t="inlineStr"/>
      <c r="O44" s="5" t="inlineStr"/>
    </row>
    <row r="45">
      <c r="A45" s="5" t="n">
        <v>44</v>
      </c>
      <c r="B45" s="5" t="n">
        <v>1</v>
      </c>
      <c r="C45" s="5" t="inlineStr">
        <is>
          <t>4b row 4</t>
        </is>
      </c>
      <c r="D45" s="5" t="inlineStr">
        <is>
          <t>From:</t>
        </is>
      </c>
      <c r="E45" s="5" t="inlineStr">
        <is>
          <t>DV-105[0].Page1[0].List4[0].List[0].Li2[0].tf10[0]</t>
        </is>
      </c>
      <c r="F45" s="5" t="inlineStr">
        <is>
          <t>text</t>
        </is>
      </c>
      <c r="G45" s="5" t="inlineStr"/>
      <c r="H45" s="5" t="inlineStr"/>
      <c r="I45" s="5" t="inlineStr">
        <is>
          <t>90, 657, 127, 672</t>
        </is>
      </c>
      <c r="J45" s="5" t="inlineStr">
        <is>
          <t>question</t>
        </is>
      </c>
      <c r="K45" s="5" t="inlineStr">
        <is>
          <t>K2</t>
        </is>
      </c>
      <c r="L45" s="5">
        <f> fmtMonthYear(K2[3].from)</f>
        <v/>
      </c>
      <c r="M45" s="5" t="inlineStr">
        <is>
          <t>K1 == "Y" and K2.length &gt; 3</t>
        </is>
      </c>
      <c r="N45" s="5" t="inlineStr"/>
      <c r="O45" s="5" t="inlineStr"/>
    </row>
    <row r="46">
      <c r="A46" s="5" t="n">
        <v>45</v>
      </c>
      <c r="B46" s="5" t="n">
        <v>1</v>
      </c>
      <c r="C46" s="5" t="inlineStr">
        <is>
          <t>4b row 4</t>
        </is>
      </c>
      <c r="D46" s="5" t="inlineStr">
        <is>
          <t>Until:</t>
        </is>
      </c>
      <c r="E46" s="5" t="inlineStr">
        <is>
          <t>DV-105[0].Page1[0].List4[0].List[0].Li2[0].tf11[0]</t>
        </is>
      </c>
      <c r="F46" s="5" t="inlineStr">
        <is>
          <t>text</t>
        </is>
      </c>
      <c r="G46" s="5" t="inlineStr"/>
      <c r="H46" s="5" t="inlineStr"/>
      <c r="I46" s="5" t="inlineStr">
        <is>
          <t>159, 657, 196, 672</t>
        </is>
      </c>
      <c r="J46" s="5" t="inlineStr">
        <is>
          <t>question</t>
        </is>
      </c>
      <c r="K46" s="5" t="inlineStr">
        <is>
          <t>K2</t>
        </is>
      </c>
      <c r="L46" s="5">
        <f> fmtMonthYear(K2[3].until)</f>
        <v/>
      </c>
      <c r="M46" s="5" t="inlineStr">
        <is>
          <t>K1 == "Y" and K2.length &gt; 3</t>
        </is>
      </c>
      <c r="N46" s="5" t="inlineStr"/>
      <c r="O46" s="5" t="inlineStr"/>
    </row>
    <row r="47">
      <c r="A47" s="5" t="n">
        <v>46</v>
      </c>
      <c r="B47" s="5" t="n">
        <v>1</v>
      </c>
      <c r="C47" s="5" t="inlineStr">
        <is>
          <t>4b row 4</t>
        </is>
      </c>
      <c r="D47" s="5" t="inlineStr">
        <is>
          <t>City and State(include tribal land, if applies)</t>
        </is>
      </c>
      <c r="E47" s="5" t="inlineStr">
        <is>
          <t>DV-105[0].Page1[0].List4[0].List[0].Li2[0].tf12[0]</t>
        </is>
      </c>
      <c r="F47" s="5" t="inlineStr">
        <is>
          <t>text</t>
        </is>
      </c>
      <c r="G47" s="5" t="inlineStr"/>
      <c r="H47" s="5" t="inlineStr"/>
      <c r="I47" s="5" t="inlineStr">
        <is>
          <t>201, 657, 376, 672</t>
        </is>
      </c>
      <c r="J47" s="5" t="inlineStr">
        <is>
          <t>question</t>
        </is>
      </c>
      <c r="K47" s="5" t="inlineStr">
        <is>
          <t>K2</t>
        </is>
      </c>
      <c r="L47" s="5">
        <f> K2[3].private ? K2[3].state : K2[3].cityState</f>
        <v/>
      </c>
      <c r="M47" s="5" t="inlineStr">
        <is>
          <t>K1 == "Y" and K2.length &gt; 3</t>
        </is>
      </c>
      <c r="N47" s="5" t="inlineStr"/>
      <c r="O47" s="5" t="inlineStr"/>
    </row>
    <row r="48">
      <c r="A48" s="5" t="n">
        <v>47</v>
      </c>
      <c r="B48" s="5" t="n">
        <v>1</v>
      </c>
      <c r="C48" s="5" t="inlineStr">
        <is>
          <t>4b row 4</t>
        </is>
      </c>
      <c r="D48" s="5" t="inlineStr">
        <is>
          <t>Me</t>
        </is>
      </c>
      <c r="E48" s="5" t="inlineStr">
        <is>
          <t>DV-105[0].Page1[0].List4[0].List[0].Li2[0].ChoiceChildLiveW11[0]</t>
        </is>
      </c>
      <c r="F48" s="5" t="inlineStr">
        <is>
          <t>checkbox</t>
        </is>
      </c>
      <c r="G48" s="5" t="inlineStr">
        <is>
          <t>1</t>
        </is>
      </c>
      <c r="H48" s="5" t="inlineStr"/>
      <c r="I48" s="5" t="inlineStr">
        <is>
          <t>380, 657, 389, 666</t>
        </is>
      </c>
      <c r="J48" s="5" t="inlineStr">
        <is>
          <t>question</t>
        </is>
      </c>
      <c r="K48" s="5" t="inlineStr">
        <is>
          <t>K2</t>
        </is>
      </c>
      <c r="L48" s="5" t="inlineStr">
        <is>
          <t>check if K2[3].livedWith has "me"</t>
        </is>
      </c>
      <c r="M48" s="5" t="inlineStr">
        <is>
          <t>K1 == "Y" and K2.length &gt; 3</t>
        </is>
      </c>
      <c r="N48" s="5" t="inlineStr"/>
      <c r="O48" s="5" t="inlineStr"/>
    </row>
    <row r="49">
      <c r="A49" s="5" t="n">
        <v>48</v>
      </c>
      <c r="B49" s="5" t="n">
        <v>1</v>
      </c>
      <c r="C49" s="5" t="inlineStr">
        <is>
          <t>4b row 4</t>
        </is>
      </c>
      <c r="D49" s="5" t="inlineStr">
        <is>
          <t>Person in 2</t>
        </is>
      </c>
      <c r="E49" s="5" t="inlineStr">
        <is>
          <t>DV-105[0].Page1[0].List4[0].List[0].Li2[0].ChoiceChildLiveW11[1]</t>
        </is>
      </c>
      <c r="F49" s="5" t="inlineStr">
        <is>
          <t>checkbox</t>
        </is>
      </c>
      <c r="G49" s="5" t="inlineStr">
        <is>
          <t>11</t>
        </is>
      </c>
      <c r="H49" s="5" t="inlineStr"/>
      <c r="I49" s="5" t="inlineStr">
        <is>
          <t>427, 657, 436, 666</t>
        </is>
      </c>
      <c r="J49" s="5" t="inlineStr">
        <is>
          <t>question</t>
        </is>
      </c>
      <c r="K49" s="5" t="inlineStr">
        <is>
          <t>K2</t>
        </is>
      </c>
      <c r="L49" s="5" t="inlineStr">
        <is>
          <t>check if K2[3].livedWith has "respondent"</t>
        </is>
      </c>
      <c r="M49" s="5" t="inlineStr">
        <is>
          <t>K1 == "Y" and K2.length &gt; 3</t>
        </is>
      </c>
      <c r="N49" s="5" t="inlineStr"/>
      <c r="O49" s="5" t="inlineStr"/>
    </row>
    <row r="50">
      <c r="A50" s="5" t="n">
        <v>49</v>
      </c>
      <c r="B50" s="5" t="n">
        <v>1</v>
      </c>
      <c r="C50" s="5" t="inlineStr">
        <is>
          <t>4b row 4</t>
        </is>
      </c>
      <c r="D50" s="5" t="inlineStr">
        <is>
          <t>Other (relationship to child)</t>
        </is>
      </c>
      <c r="E50" s="5" t="inlineStr">
        <is>
          <t>DV-105[0].Page1[0].List4[0].List[0].Li2[0].ChoiceChildLiveW11[2]</t>
        </is>
      </c>
      <c r="F50" s="5" t="inlineStr">
        <is>
          <t>checkbox</t>
        </is>
      </c>
      <c r="G50" s="5" t="inlineStr">
        <is>
          <t>21</t>
        </is>
      </c>
      <c r="H50" s="5" t="inlineStr"/>
      <c r="I50" s="5" t="inlineStr">
        <is>
          <t>466, 657, 475, 666</t>
        </is>
      </c>
      <c r="J50" s="5" t="inlineStr">
        <is>
          <t>question</t>
        </is>
      </c>
      <c r="K50" s="5" t="inlineStr">
        <is>
          <t>K2</t>
        </is>
      </c>
      <c r="L50" s="5" t="inlineStr">
        <is>
          <t>check if K2[3].livedWith has "other"</t>
        </is>
      </c>
      <c r="M50" s="5" t="inlineStr">
        <is>
          <t>K1 == "Y" and K2.length &gt; 3</t>
        </is>
      </c>
      <c r="N50" s="5" t="inlineStr"/>
      <c r="O50" s="5" t="inlineStr"/>
    </row>
    <row r="51">
      <c r="A51" s="5" t="n">
        <v>50</v>
      </c>
      <c r="B51" s="5" t="n">
        <v>1</v>
      </c>
      <c r="C51" s="5" t="inlineStr">
        <is>
          <t>4b row 4</t>
        </is>
      </c>
      <c r="D51" s="5" t="inlineStr">
        <is>
          <t>Other (relationship to child)</t>
        </is>
      </c>
      <c r="E51" s="5" t="inlineStr">
        <is>
          <t>DV-105[0].Page1[0].List4[0].List[0].Li2[0].TextField4[0]</t>
        </is>
      </c>
      <c r="F51" s="5" t="inlineStr">
        <is>
          <t>text</t>
        </is>
      </c>
      <c r="G51" s="5" t="inlineStr"/>
      <c r="H51" s="5" t="inlineStr"/>
      <c r="I51" s="5" t="inlineStr">
        <is>
          <t>485, 657, 574, 672</t>
        </is>
      </c>
      <c r="J51" s="5" t="inlineStr">
        <is>
          <t>question</t>
        </is>
      </c>
      <c r="K51" s="5" t="inlineStr">
        <is>
          <t>K2</t>
        </is>
      </c>
      <c r="L51" s="5">
        <f> K2[3].otherRelationship</f>
        <v/>
      </c>
      <c r="M51" s="5" t="inlineStr">
        <is>
          <t>K1 == "Y" and K2.length &gt; 3 and livedWith has "other"</t>
        </is>
      </c>
      <c r="N51" s="5" t="inlineStr"/>
      <c r="O51" s="5" t="inlineStr"/>
    </row>
    <row r="52">
      <c r="A52" s="5" t="n">
        <v>51</v>
      </c>
      <c r="B52" s="5" t="n">
        <v>1</v>
      </c>
      <c r="C52" s="5" t="inlineStr">
        <is>
          <t>4b row 5</t>
        </is>
      </c>
      <c r="D52" s="5" t="inlineStr">
        <is>
          <t>From:</t>
        </is>
      </c>
      <c r="E52" s="5" t="inlineStr">
        <is>
          <t>DV-105[0].Page1[0].List4[0].List[0].Li2[0].tf13[0]</t>
        </is>
      </c>
      <c r="F52" s="5" t="inlineStr">
        <is>
          <t>text</t>
        </is>
      </c>
      <c r="G52" s="5" t="inlineStr"/>
      <c r="H52" s="5" t="inlineStr"/>
      <c r="I52" s="5" t="inlineStr">
        <is>
          <t>91, 672, 127, 687</t>
        </is>
      </c>
      <c r="J52" s="5" t="inlineStr">
        <is>
          <t>question</t>
        </is>
      </c>
      <c r="K52" s="5" t="inlineStr">
        <is>
          <t>K2</t>
        </is>
      </c>
      <c r="L52" s="5">
        <f> fmtMonthYear(K2[4].from)</f>
        <v/>
      </c>
      <c r="M52" s="5" t="inlineStr">
        <is>
          <t>K1 == "Y" and K2.length &gt; 4</t>
        </is>
      </c>
      <c r="N52" s="5" t="inlineStr"/>
      <c r="O52" s="5" t="inlineStr"/>
    </row>
    <row r="53">
      <c r="A53" s="5" t="n">
        <v>52</v>
      </c>
      <c r="B53" s="5" t="n">
        <v>1</v>
      </c>
      <c r="C53" s="5" t="inlineStr">
        <is>
          <t>4b row 5</t>
        </is>
      </c>
      <c r="D53" s="5" t="inlineStr">
        <is>
          <t>Until:</t>
        </is>
      </c>
      <c r="E53" s="5" t="inlineStr">
        <is>
          <t>DV-105[0].Page1[0].List4[0].List[0].Li2[0].tf14[0]</t>
        </is>
      </c>
      <c r="F53" s="5" t="inlineStr">
        <is>
          <t>text</t>
        </is>
      </c>
      <c r="G53" s="5" t="inlineStr"/>
      <c r="H53" s="5" t="inlineStr"/>
      <c r="I53" s="5" t="inlineStr">
        <is>
          <t>159, 672, 196, 687</t>
        </is>
      </c>
      <c r="J53" s="5" t="inlineStr">
        <is>
          <t>question</t>
        </is>
      </c>
      <c r="K53" s="5" t="inlineStr">
        <is>
          <t>K2</t>
        </is>
      </c>
      <c r="L53" s="5">
        <f> fmtMonthYear(K2[4].until)</f>
        <v/>
      </c>
      <c r="M53" s="5" t="inlineStr">
        <is>
          <t>K1 == "Y" and K2.length &gt; 4</t>
        </is>
      </c>
      <c r="N53" s="5" t="inlineStr"/>
      <c r="O53" s="5" t="inlineStr"/>
    </row>
    <row r="54">
      <c r="A54" s="5" t="n">
        <v>53</v>
      </c>
      <c r="B54" s="5" t="n">
        <v>1</v>
      </c>
      <c r="C54" s="5" t="inlineStr">
        <is>
          <t>4b row 5</t>
        </is>
      </c>
      <c r="D54" s="5" t="inlineStr">
        <is>
          <t>City and State(include tribal land, if applies)</t>
        </is>
      </c>
      <c r="E54" s="5" t="inlineStr">
        <is>
          <t>DV-105[0].Page1[0].List4[0].List[0].Li2[0].tf15[0]</t>
        </is>
      </c>
      <c r="F54" s="5" t="inlineStr">
        <is>
          <t>text</t>
        </is>
      </c>
      <c r="G54" s="5" t="inlineStr"/>
      <c r="H54" s="5" t="inlineStr"/>
      <c r="I54" s="5" t="inlineStr">
        <is>
          <t>201, 672, 376, 687</t>
        </is>
      </c>
      <c r="J54" s="5" t="inlineStr">
        <is>
          <t>question</t>
        </is>
      </c>
      <c r="K54" s="5" t="inlineStr">
        <is>
          <t>K2</t>
        </is>
      </c>
      <c r="L54" s="5">
        <f> K2[4].private ? K2[4].state : K2[4].cityState</f>
        <v/>
      </c>
      <c r="M54" s="5" t="inlineStr">
        <is>
          <t>K1 == "Y" and K2.length &gt; 4</t>
        </is>
      </c>
      <c r="N54" s="5" t="inlineStr"/>
      <c r="O54" s="5" t="inlineStr"/>
    </row>
    <row r="55">
      <c r="A55" s="5" t="n">
        <v>54</v>
      </c>
      <c r="B55" s="5" t="n">
        <v>1</v>
      </c>
      <c r="C55" s="5" t="inlineStr">
        <is>
          <t>4b row 5</t>
        </is>
      </c>
      <c r="D55" s="5" t="inlineStr">
        <is>
          <t>Me</t>
        </is>
      </c>
      <c r="E55" s="5" t="inlineStr">
        <is>
          <t>DV-105[0].Page1[0].List4[0].List[0].Li2[0].ChoiceChildLiveW12[0]</t>
        </is>
      </c>
      <c r="F55" s="5" t="inlineStr">
        <is>
          <t>checkbox</t>
        </is>
      </c>
      <c r="G55" s="5" t="inlineStr">
        <is>
          <t>1</t>
        </is>
      </c>
      <c r="H55" s="5" t="inlineStr"/>
      <c r="I55" s="5" t="inlineStr">
        <is>
          <t>380, 672, 389, 681</t>
        </is>
      </c>
      <c r="J55" s="5" t="inlineStr">
        <is>
          <t>question</t>
        </is>
      </c>
      <c r="K55" s="5" t="inlineStr">
        <is>
          <t>K2</t>
        </is>
      </c>
      <c r="L55" s="5" t="inlineStr">
        <is>
          <t>check if K2[4].livedWith has "me"</t>
        </is>
      </c>
      <c r="M55" s="5" t="inlineStr">
        <is>
          <t>K1 == "Y" and K2.length &gt; 4</t>
        </is>
      </c>
      <c r="N55" s="5" t="inlineStr"/>
      <c r="O55" s="5" t="inlineStr"/>
    </row>
    <row r="56">
      <c r="A56" s="5" t="n">
        <v>55</v>
      </c>
      <c r="B56" s="5" t="n">
        <v>1</v>
      </c>
      <c r="C56" s="5" t="inlineStr">
        <is>
          <t>4b row 5</t>
        </is>
      </c>
      <c r="D56" s="5" t="inlineStr">
        <is>
          <t>Person in 2</t>
        </is>
      </c>
      <c r="E56" s="5" t="inlineStr">
        <is>
          <t>DV-105[0].Page1[0].List4[0].List[0].Li2[0].ChoiceChildLiveW12[1]</t>
        </is>
      </c>
      <c r="F56" s="5" t="inlineStr">
        <is>
          <t>checkbox</t>
        </is>
      </c>
      <c r="G56" s="5" t="inlineStr">
        <is>
          <t>11</t>
        </is>
      </c>
      <c r="H56" s="5" t="inlineStr"/>
      <c r="I56" s="5" t="inlineStr">
        <is>
          <t>427, 672, 436, 681</t>
        </is>
      </c>
      <c r="J56" s="5" t="inlineStr">
        <is>
          <t>question</t>
        </is>
      </c>
      <c r="K56" s="5" t="inlineStr">
        <is>
          <t>K2</t>
        </is>
      </c>
      <c r="L56" s="5" t="inlineStr">
        <is>
          <t>check if K2[4].livedWith has "respondent"</t>
        </is>
      </c>
      <c r="M56" s="5" t="inlineStr">
        <is>
          <t>K1 == "Y" and K2.length &gt; 4</t>
        </is>
      </c>
      <c r="N56" s="5" t="inlineStr"/>
      <c r="O56" s="5" t="inlineStr"/>
    </row>
    <row r="57">
      <c r="A57" s="5" t="n">
        <v>56</v>
      </c>
      <c r="B57" s="5" t="n">
        <v>1</v>
      </c>
      <c r="C57" s="5" t="inlineStr">
        <is>
          <t>4b row 5</t>
        </is>
      </c>
      <c r="D57" s="5" t="inlineStr">
        <is>
          <t>Other (relationship to child)</t>
        </is>
      </c>
      <c r="E57" s="5" t="inlineStr">
        <is>
          <t>DV-105[0].Page1[0].List4[0].List[0].Li2[0].ChoiceChildLiveW12[2]</t>
        </is>
      </c>
      <c r="F57" s="5" t="inlineStr">
        <is>
          <t>checkbox</t>
        </is>
      </c>
      <c r="G57" s="5" t="inlineStr">
        <is>
          <t>21</t>
        </is>
      </c>
      <c r="H57" s="5" t="inlineStr"/>
      <c r="I57" s="5" t="inlineStr">
        <is>
          <t>466, 672, 475, 681</t>
        </is>
      </c>
      <c r="J57" s="5" t="inlineStr">
        <is>
          <t>question</t>
        </is>
      </c>
      <c r="K57" s="5" t="inlineStr">
        <is>
          <t>K2</t>
        </is>
      </c>
      <c r="L57" s="5" t="inlineStr">
        <is>
          <t>check if K2[4].livedWith has "other"</t>
        </is>
      </c>
      <c r="M57" s="5" t="inlineStr">
        <is>
          <t>K1 == "Y" and K2.length &gt; 4</t>
        </is>
      </c>
      <c r="N57" s="5" t="inlineStr"/>
      <c r="O57" s="5" t="inlineStr"/>
    </row>
    <row r="58">
      <c r="A58" s="5" t="n">
        <v>57</v>
      </c>
      <c r="B58" s="5" t="n">
        <v>1</v>
      </c>
      <c r="C58" s="5" t="inlineStr">
        <is>
          <t>4b row 5</t>
        </is>
      </c>
      <c r="D58" s="5" t="inlineStr">
        <is>
          <t>Other (relationship to child)</t>
        </is>
      </c>
      <c r="E58" s="5" t="inlineStr">
        <is>
          <t>DV-105[0].Page1[0].List4[0].List[0].Li2[0].TextField5[0]</t>
        </is>
      </c>
      <c r="F58" s="5" t="inlineStr">
        <is>
          <t>text</t>
        </is>
      </c>
      <c r="G58" s="5" t="inlineStr"/>
      <c r="H58" s="5" t="inlineStr"/>
      <c r="I58" s="5" t="inlineStr">
        <is>
          <t>485, 672, 574, 687</t>
        </is>
      </c>
      <c r="J58" s="5" t="inlineStr">
        <is>
          <t>question</t>
        </is>
      </c>
      <c r="K58" s="5" t="inlineStr">
        <is>
          <t>K2</t>
        </is>
      </c>
      <c r="L58" s="5">
        <f> K2[4].otherRelationship</f>
        <v/>
      </c>
      <c r="M58" s="5" t="inlineStr">
        <is>
          <t>K1 == "Y" and K2.length &gt; 4 and livedWith has "other"</t>
        </is>
      </c>
      <c r="N58" s="5" t="inlineStr"/>
      <c r="O58" s="5" t="inlineStr"/>
    </row>
    <row r="59">
      <c r="A59" s="5" t="n">
        <v>58</v>
      </c>
      <c r="B59" s="5" t="n">
        <v>1</v>
      </c>
      <c r="C59" s="5" t="inlineStr">
        <is>
          <t>4b row 6</t>
        </is>
      </c>
      <c r="D59" s="5" t="inlineStr">
        <is>
          <t>From:</t>
        </is>
      </c>
      <c r="E59" s="5" t="inlineStr">
        <is>
          <t>DV-105[0].Page1[0].List4[0].List[0].Li2[0].tf16[0]</t>
        </is>
      </c>
      <c r="F59" s="5" t="inlineStr">
        <is>
          <t>text</t>
        </is>
      </c>
      <c r="G59" s="5" t="inlineStr"/>
      <c r="H59" s="5" t="inlineStr"/>
      <c r="I59" s="5" t="inlineStr">
        <is>
          <t>91, 689, 127, 704</t>
        </is>
      </c>
      <c r="J59" s="5" t="inlineStr">
        <is>
          <t>question</t>
        </is>
      </c>
      <c r="K59" s="5" t="inlineStr">
        <is>
          <t>K2</t>
        </is>
      </c>
      <c r="L59" s="5">
        <f> fmtMonthYear(K2[5].from)</f>
        <v/>
      </c>
      <c r="M59" s="5" t="inlineStr">
        <is>
          <t>K1 == "Y" and K2.length &gt; 5</t>
        </is>
      </c>
      <c r="N59" s="5" t="inlineStr"/>
      <c r="O59" s="5" t="inlineStr"/>
    </row>
    <row r="60">
      <c r="A60" s="5" t="n">
        <v>59</v>
      </c>
      <c r="B60" s="5" t="n">
        <v>1</v>
      </c>
      <c r="C60" s="5" t="inlineStr">
        <is>
          <t>4b row 6</t>
        </is>
      </c>
      <c r="D60" s="5" t="inlineStr">
        <is>
          <t>Until:</t>
        </is>
      </c>
      <c r="E60" s="5" t="inlineStr">
        <is>
          <t>DV-105[0].Page1[0].List4[0].List[0].Li2[0].tf17[0]</t>
        </is>
      </c>
      <c r="F60" s="5" t="inlineStr">
        <is>
          <t>text</t>
        </is>
      </c>
      <c r="G60" s="5" t="inlineStr"/>
      <c r="H60" s="5" t="inlineStr"/>
      <c r="I60" s="5" t="inlineStr">
        <is>
          <t>158, 689, 197, 704</t>
        </is>
      </c>
      <c r="J60" s="5" t="inlineStr">
        <is>
          <t>question</t>
        </is>
      </c>
      <c r="K60" s="5" t="inlineStr">
        <is>
          <t>K2</t>
        </is>
      </c>
      <c r="L60" s="5">
        <f> fmtMonthYear(K2[5].until)</f>
        <v/>
      </c>
      <c r="M60" s="5" t="inlineStr">
        <is>
          <t>K1 == "Y" and K2.length &gt; 5</t>
        </is>
      </c>
      <c r="N60" s="5" t="inlineStr"/>
      <c r="O60" s="5" t="inlineStr"/>
    </row>
    <row r="61">
      <c r="A61" s="5" t="n">
        <v>60</v>
      </c>
      <c r="B61" s="5" t="n">
        <v>1</v>
      </c>
      <c r="C61" s="5" t="inlineStr">
        <is>
          <t>4b row 6</t>
        </is>
      </c>
      <c r="D61" s="5" t="inlineStr">
        <is>
          <t>City and State(include tribal land, if applies)</t>
        </is>
      </c>
      <c r="E61" s="5" t="inlineStr">
        <is>
          <t>DV-105[0].Page1[0].List4[0].List[0].Li2[0].tf18[0]</t>
        </is>
      </c>
      <c r="F61" s="5" t="inlineStr">
        <is>
          <t>text</t>
        </is>
      </c>
      <c r="G61" s="5" t="inlineStr"/>
      <c r="H61" s="5" t="inlineStr"/>
      <c r="I61" s="5" t="inlineStr">
        <is>
          <t>201, 689, 376, 704</t>
        </is>
      </c>
      <c r="J61" s="5" t="inlineStr">
        <is>
          <t>question</t>
        </is>
      </c>
      <c r="K61" s="5" t="inlineStr">
        <is>
          <t>K2</t>
        </is>
      </c>
      <c r="L61" s="5">
        <f> K2[5].private ? K2[5].state : K2[5].cityState</f>
        <v/>
      </c>
      <c r="M61" s="5" t="inlineStr">
        <is>
          <t>K1 == "Y" and K2.length &gt; 5</t>
        </is>
      </c>
      <c r="N61" s="5" t="inlineStr"/>
      <c r="O61" s="5" t="inlineStr"/>
    </row>
    <row r="62">
      <c r="A62" s="5" t="n">
        <v>61</v>
      </c>
      <c r="B62" s="5" t="n">
        <v>1</v>
      </c>
      <c r="C62" s="5" t="inlineStr">
        <is>
          <t>4b row 6</t>
        </is>
      </c>
      <c r="D62" s="5" t="inlineStr">
        <is>
          <t>Me</t>
        </is>
      </c>
      <c r="E62" s="5" t="inlineStr">
        <is>
          <t>DV-105[0].Page1[0].List4[0].List[0].Li2[0].ChoiceChildLiveW13[0]</t>
        </is>
      </c>
      <c r="F62" s="5" t="inlineStr">
        <is>
          <t>checkbox</t>
        </is>
      </c>
      <c r="G62" s="5" t="inlineStr">
        <is>
          <t>1</t>
        </is>
      </c>
      <c r="H62" s="5" t="inlineStr"/>
      <c r="I62" s="5" t="inlineStr">
        <is>
          <t>380, 689, 389, 698</t>
        </is>
      </c>
      <c r="J62" s="5" t="inlineStr">
        <is>
          <t>question</t>
        </is>
      </c>
      <c r="K62" s="5" t="inlineStr">
        <is>
          <t>K2</t>
        </is>
      </c>
      <c r="L62" s="5" t="inlineStr">
        <is>
          <t>check if K2[5].livedWith has "me"</t>
        </is>
      </c>
      <c r="M62" s="5" t="inlineStr">
        <is>
          <t>K1 == "Y" and K2.length &gt; 5</t>
        </is>
      </c>
      <c r="N62" s="5" t="inlineStr"/>
      <c r="O62" s="5" t="inlineStr"/>
    </row>
    <row r="63">
      <c r="A63" s="5" t="n">
        <v>62</v>
      </c>
      <c r="B63" s="5" t="n">
        <v>1</v>
      </c>
      <c r="C63" s="5" t="inlineStr">
        <is>
          <t>4b row 6</t>
        </is>
      </c>
      <c r="D63" s="5" t="inlineStr">
        <is>
          <t>Person in 2</t>
        </is>
      </c>
      <c r="E63" s="5" t="inlineStr">
        <is>
          <t>DV-105[0].Page1[0].List4[0].List[0].Li2[0].ChoiceChildLiveW13[1]</t>
        </is>
      </c>
      <c r="F63" s="5" t="inlineStr">
        <is>
          <t>checkbox</t>
        </is>
      </c>
      <c r="G63" s="5" t="inlineStr">
        <is>
          <t>11</t>
        </is>
      </c>
      <c r="H63" s="5" t="inlineStr"/>
      <c r="I63" s="5" t="inlineStr">
        <is>
          <t>427, 689, 436, 698</t>
        </is>
      </c>
      <c r="J63" s="5" t="inlineStr">
        <is>
          <t>question</t>
        </is>
      </c>
      <c r="K63" s="5" t="inlineStr">
        <is>
          <t>K2</t>
        </is>
      </c>
      <c r="L63" s="5" t="inlineStr">
        <is>
          <t>check if K2[5].livedWith has "respondent"</t>
        </is>
      </c>
      <c r="M63" s="5" t="inlineStr">
        <is>
          <t>K1 == "Y" and K2.length &gt; 5</t>
        </is>
      </c>
      <c r="N63" s="5" t="inlineStr"/>
      <c r="O63" s="5" t="inlineStr"/>
    </row>
    <row r="64">
      <c r="A64" s="5" t="n">
        <v>63</v>
      </c>
      <c r="B64" s="5" t="n">
        <v>1</v>
      </c>
      <c r="C64" s="5" t="inlineStr">
        <is>
          <t>4b row 6</t>
        </is>
      </c>
      <c r="D64" s="5" t="inlineStr">
        <is>
          <t>Other (relationship to child)</t>
        </is>
      </c>
      <c r="E64" s="5" t="inlineStr">
        <is>
          <t>DV-105[0].Page1[0].List4[0].List[0].Li2[0].ChoiceChildLiveW13[2]</t>
        </is>
      </c>
      <c r="F64" s="5" t="inlineStr">
        <is>
          <t>checkbox</t>
        </is>
      </c>
      <c r="G64" s="5" t="inlineStr">
        <is>
          <t>21</t>
        </is>
      </c>
      <c r="H64" s="5" t="inlineStr"/>
      <c r="I64" s="5" t="inlineStr">
        <is>
          <t>466, 689, 475, 698</t>
        </is>
      </c>
      <c r="J64" s="5" t="inlineStr">
        <is>
          <t>question</t>
        </is>
      </c>
      <c r="K64" s="5" t="inlineStr">
        <is>
          <t>K2</t>
        </is>
      </c>
      <c r="L64" s="5" t="inlineStr">
        <is>
          <t>check if K2[5].livedWith has "other"</t>
        </is>
      </c>
      <c r="M64" s="5" t="inlineStr">
        <is>
          <t>K1 == "Y" and K2.length &gt; 5</t>
        </is>
      </c>
      <c r="N64" s="5" t="inlineStr"/>
      <c r="O64" s="5" t="inlineStr"/>
    </row>
    <row r="65">
      <c r="A65" s="5" t="n">
        <v>64</v>
      </c>
      <c r="B65" s="5" t="n">
        <v>1</v>
      </c>
      <c r="C65" s="5" t="inlineStr">
        <is>
          <t>4b row 6</t>
        </is>
      </c>
      <c r="D65" s="5" t="inlineStr">
        <is>
          <t>Other (relationship to child)</t>
        </is>
      </c>
      <c r="E65" s="5" t="inlineStr">
        <is>
          <t>DV-105[0].Page1[0].List4[0].List[0].Li2[0].TextField6[0]</t>
        </is>
      </c>
      <c r="F65" s="5" t="inlineStr">
        <is>
          <t>text</t>
        </is>
      </c>
      <c r="G65" s="5" t="inlineStr"/>
      <c r="H65" s="5" t="inlineStr"/>
      <c r="I65" s="5" t="inlineStr">
        <is>
          <t>485, 689, 574, 704</t>
        </is>
      </c>
      <c r="J65" s="5" t="inlineStr">
        <is>
          <t>question</t>
        </is>
      </c>
      <c r="K65" s="5" t="inlineStr">
        <is>
          <t>K2</t>
        </is>
      </c>
      <c r="L65" s="5">
        <f> K2[5].otherRelationship</f>
        <v/>
      </c>
      <c r="M65" s="5" t="inlineStr">
        <is>
          <t>K1 == "Y" and K2.length &gt; 5 and livedWith has "other"</t>
        </is>
      </c>
      <c r="N65" s="5" t="inlineStr"/>
      <c r="O65" s="5" t="inlineStr"/>
    </row>
    <row r="66">
      <c r="A66" s="5" t="n">
        <v>65</v>
      </c>
      <c r="B66" s="5" t="n">
        <v>2</v>
      </c>
      <c r="C66" s="5" t="inlineStr">
        <is>
          <t>Caption</t>
        </is>
      </c>
      <c r="D66" s="5" t="inlineStr">
        <is>
          <t>Case Number:</t>
        </is>
      </c>
      <c r="E66" s="5" t="inlineStr">
        <is>
          <t>DV-105[0].Page2[0].Caption[0].PxCaption[0].CaseNumber[0]</t>
        </is>
      </c>
      <c r="F66" s="5" t="inlineStr">
        <is>
          <t>text</t>
        </is>
      </c>
      <c r="G66" s="5" t="inlineStr"/>
      <c r="H66" s="5" t="inlineStr"/>
      <c r="I66" s="5" t="inlineStr">
        <is>
          <t>399, 49, 572, 61</t>
        </is>
      </c>
      <c r="J66" s="5" t="inlineStr">
        <is>
          <t>question</t>
        </is>
      </c>
      <c r="K66" s="5" t="inlineStr">
        <is>
          <t>S3,S4</t>
        </is>
      </c>
      <c r="L66" s="5">
        <f> S4</f>
        <v/>
      </c>
      <c r="M66" s="5" t="inlineStr">
        <is>
          <t>S3 == "update"; otherwise blank for clerk</t>
        </is>
      </c>
      <c r="N66" s="5" t="inlineStr"/>
      <c r="O66" s="5" t="inlineStr"/>
    </row>
    <row r="67">
      <c r="A67" s="6" t="n">
        <v>66</v>
      </c>
      <c r="B67" s="6" t="n">
        <v>2</v>
      </c>
      <c r="C67" s="6" t="inlineStr">
        <is>
          <t>5a</t>
        </is>
      </c>
      <c r="D67" s="6" t="inlineStr">
        <is>
          <t>No</t>
        </is>
      </c>
      <c r="E67" s="6" t="inlineStr">
        <is>
          <t>DV-105[0].Page2[0].List5[0].List[0].Li1[0].ChoiceInvolv1[0]</t>
        </is>
      </c>
      <c r="F67" s="6" t="inlineStr">
        <is>
          <t>checkbox</t>
        </is>
      </c>
      <c r="G67" s="6" t="inlineStr">
        <is>
          <t>1</t>
        </is>
      </c>
      <c r="H67" s="6" t="inlineStr"/>
      <c r="I67" s="6" t="inlineStr">
        <is>
          <t>78, 112, 87, 121</t>
        </is>
      </c>
      <c r="J67" s="6" t="inlineStr">
        <is>
          <t>derived</t>
        </is>
      </c>
      <c r="K67" s="6" t="inlineStr">
        <is>
          <t>C4,C5</t>
        </is>
      </c>
      <c r="L67" s="6" t="inlineStr">
        <is>
          <t>check if no case involves the children (C4.involvesChildren, C5)</t>
        </is>
      </c>
      <c r="M67" s="6" t="inlineStr">
        <is>
          <t>O15</t>
        </is>
      </c>
      <c r="N67" s="6" t="inlineStr"/>
      <c r="O67" s="6" t="inlineStr"/>
    </row>
    <row r="68">
      <c r="A68" s="6" t="n">
        <v>67</v>
      </c>
      <c r="B68" s="6" t="n">
        <v>2</v>
      </c>
      <c r="C68" s="6" t="inlineStr">
        <is>
          <t>5a</t>
        </is>
      </c>
      <c r="D68" s="6" t="inlineStr">
        <is>
          <t>Yes</t>
        </is>
      </c>
      <c r="E68" s="6" t="inlineStr">
        <is>
          <t>DV-105[0].Page2[0].List5[0].List[0].Li1[0].ChoiceInvolv1[1]</t>
        </is>
      </c>
      <c r="F68" s="6" t="inlineStr">
        <is>
          <t>checkbox</t>
        </is>
      </c>
      <c r="G68" s="6" t="inlineStr">
        <is>
          <t>3</t>
        </is>
      </c>
      <c r="H68" s="6" t="inlineStr"/>
      <c r="I68" s="6" t="inlineStr">
        <is>
          <t>78, 128, 87, 137</t>
        </is>
      </c>
      <c r="J68" s="6" t="inlineStr">
        <is>
          <t>derived</t>
        </is>
      </c>
      <c r="K68" s="6" t="inlineStr">
        <is>
          <t>C4,C5</t>
        </is>
      </c>
      <c r="L68" s="6" t="inlineStr">
        <is>
          <t>check if any case involves the children</t>
        </is>
      </c>
      <c r="M68" s="6" t="inlineStr">
        <is>
          <t>O15</t>
        </is>
      </c>
      <c r="N68" s="6" t="inlineStr">
        <is>
          <t>cases5 = C4.where(involvesChildren) + C5</t>
        </is>
      </c>
      <c r="O68" s="6" t="inlineStr"/>
    </row>
    <row r="69">
      <c r="A69" s="6" t="n">
        <v>68</v>
      </c>
      <c r="B69" s="6" t="n">
        <v>2</v>
      </c>
      <c r="C69" s="6" t="inlineStr">
        <is>
          <t>5a</t>
        </is>
      </c>
      <c r="D69" s="6" t="inlineStr">
        <is>
          <t>Custody</t>
        </is>
      </c>
      <c r="E69" s="6" t="inlineStr">
        <is>
          <t>DV-105[0].Page2[0].List5[0].List[0].Li1[0].CheckBox1[0]</t>
        </is>
      </c>
      <c r="F69" s="6" t="inlineStr">
        <is>
          <t>checkbox</t>
        </is>
      </c>
      <c r="G69" s="6" t="inlineStr">
        <is>
          <t>1</t>
        </is>
      </c>
      <c r="H69" s="6" t="inlineStr"/>
      <c r="I69" s="6" t="inlineStr">
        <is>
          <t>101, 182, 110, 191</t>
        </is>
      </c>
      <c r="J69" s="6" t="inlineStr">
        <is>
          <t>derived</t>
        </is>
      </c>
      <c r="K69" s="6" t="inlineStr">
        <is>
          <t>C4,C5</t>
        </is>
      </c>
      <c r="L69" s="6" t="inlineStr">
        <is>
          <t>check if any cases5.type == "custody"</t>
        </is>
      </c>
      <c r="M69" s="6" t="inlineStr">
        <is>
          <t>O15</t>
        </is>
      </c>
      <c r="N69" s="6" t="inlineStr"/>
      <c r="O69" s="6" t="inlineStr"/>
    </row>
    <row r="70">
      <c r="A70" s="6" t="n">
        <v>69</v>
      </c>
      <c r="B70" s="6" t="n">
        <v>2</v>
      </c>
      <c r="C70" s="6" t="inlineStr">
        <is>
          <t>5a</t>
        </is>
      </c>
      <c r="D70" s="6" t="inlineStr">
        <is>
          <t>Custody</t>
        </is>
      </c>
      <c r="E70" s="6" t="inlineStr">
        <is>
          <t>DV-105[0].Page2[0].List5[0].List[0].Li1[0].TextField1[0]</t>
        </is>
      </c>
      <c r="F70" s="6" t="inlineStr">
        <is>
          <t>text</t>
        </is>
      </c>
      <c r="G70" s="6" t="inlineStr"/>
      <c r="H70" s="6" t="inlineStr"/>
      <c r="I70" s="6" t="inlineStr">
        <is>
          <t>157, 181, 576, 194</t>
        </is>
      </c>
      <c r="J70" s="6" t="inlineStr">
        <is>
          <t>derived</t>
        </is>
      </c>
      <c r="K70" s="6" t="inlineStr">
        <is>
          <t>C4,C5</t>
        </is>
      </c>
      <c r="L70" s="6">
        <f> join(cases5.where(type=="custody").map(c =&gt; c.where + "; " + c.year + "; " + c.caseNumber), " | ")</f>
        <v/>
      </c>
      <c r="M70" s="6" t="inlineStr">
        <is>
          <t>O15</t>
        </is>
      </c>
      <c r="N70" s="6" t="inlineStr"/>
      <c r="O70" s="6" t="inlineStr"/>
    </row>
    <row r="71">
      <c r="A71" s="6" t="n">
        <v>70</v>
      </c>
      <c r="B71" s="6" t="n">
        <v>2</v>
      </c>
      <c r="C71" s="6" t="inlineStr">
        <is>
          <t>5a</t>
        </is>
      </c>
      <c r="D71" s="6" t="inlineStr">
        <is>
          <t>Divorce</t>
        </is>
      </c>
      <c r="E71" s="6" t="inlineStr">
        <is>
          <t>DV-105[0].Page2[0].List5[0].List[0].Li1[0].CheckBox2[0]</t>
        </is>
      </c>
      <c r="F71" s="6" t="inlineStr">
        <is>
          <t>checkbox</t>
        </is>
      </c>
      <c r="G71" s="6" t="inlineStr">
        <is>
          <t>1</t>
        </is>
      </c>
      <c r="H71" s="6" t="inlineStr"/>
      <c r="I71" s="6" t="inlineStr">
        <is>
          <t>101, 200, 110, 209</t>
        </is>
      </c>
      <c r="J71" s="6" t="inlineStr">
        <is>
          <t>derived</t>
        </is>
      </c>
      <c r="K71" s="6" t="inlineStr">
        <is>
          <t>C4,C5</t>
        </is>
      </c>
      <c r="L71" s="6" t="inlineStr">
        <is>
          <t>check if any cases5.type == "divorce"</t>
        </is>
      </c>
      <c r="M71" s="6" t="inlineStr">
        <is>
          <t>O15</t>
        </is>
      </c>
      <c r="N71" s="6" t="inlineStr"/>
      <c r="O71" s="6" t="inlineStr"/>
    </row>
    <row r="72">
      <c r="A72" s="6" t="n">
        <v>71</v>
      </c>
      <c r="B72" s="6" t="n">
        <v>2</v>
      </c>
      <c r="C72" s="6" t="inlineStr">
        <is>
          <t>5a</t>
        </is>
      </c>
      <c r="D72" s="6" t="inlineStr">
        <is>
          <t>Divorce</t>
        </is>
      </c>
      <c r="E72" s="6" t="inlineStr">
        <is>
          <t>DV-105[0].Page2[0].List5[0].List[0].Li1[0].TextField2[0]</t>
        </is>
      </c>
      <c r="F72" s="6" t="inlineStr">
        <is>
          <t>text</t>
        </is>
      </c>
      <c r="G72" s="6" t="inlineStr"/>
      <c r="H72" s="6" t="inlineStr"/>
      <c r="I72" s="6" t="inlineStr">
        <is>
          <t>155, 198, 576, 211</t>
        </is>
      </c>
      <c r="J72" s="6" t="inlineStr">
        <is>
          <t>derived</t>
        </is>
      </c>
      <c r="K72" s="6" t="inlineStr">
        <is>
          <t>C4,C5</t>
        </is>
      </c>
      <c r="L72" s="6">
        <f> join(cases5.where(type=="divorce").map(c =&gt; c.where + "; " + c.year + "; " + c.caseNumber), " | ")</f>
        <v/>
      </c>
      <c r="M72" s="6" t="inlineStr">
        <is>
          <t>O15</t>
        </is>
      </c>
      <c r="N72" s="6" t="inlineStr"/>
      <c r="O72" s="6" t="inlineStr"/>
    </row>
    <row r="73">
      <c r="A73" s="6" t="n">
        <v>72</v>
      </c>
      <c r="B73" s="6" t="n">
        <v>2</v>
      </c>
      <c r="C73" s="6" t="inlineStr">
        <is>
          <t>5a</t>
        </is>
      </c>
      <c r="D73" s="6" t="inlineStr">
        <is>
          <t>Juvenile Court (child welfare, juvenile justice)</t>
        </is>
      </c>
      <c r="E73" s="6" t="inlineStr">
        <is>
          <t>DV-105[0].Page2[0].List5[0].List[0].Li1[0].CheckBox3[0]</t>
        </is>
      </c>
      <c r="F73" s="6" t="inlineStr">
        <is>
          <t>checkbox</t>
        </is>
      </c>
      <c r="G73" s="6" t="inlineStr">
        <is>
          <t>1</t>
        </is>
      </c>
      <c r="H73" s="6" t="inlineStr"/>
      <c r="I73" s="6" t="inlineStr">
        <is>
          <t>101, 218, 110, 227</t>
        </is>
      </c>
      <c r="J73" s="6" t="inlineStr">
        <is>
          <t>derived</t>
        </is>
      </c>
      <c r="K73" s="6" t="inlineStr">
        <is>
          <t>C4,C5</t>
        </is>
      </c>
      <c r="L73" s="6" t="inlineStr">
        <is>
          <t>check if any cases5.type == "juvenile"</t>
        </is>
      </c>
      <c r="M73" s="6" t="inlineStr">
        <is>
          <t>O15</t>
        </is>
      </c>
      <c r="N73" s="6" t="inlineStr"/>
      <c r="O73" s="6" t="inlineStr"/>
    </row>
    <row r="74">
      <c r="A74" s="6" t="n">
        <v>73</v>
      </c>
      <c r="B74" s="6" t="n">
        <v>2</v>
      </c>
      <c r="C74" s="6" t="inlineStr">
        <is>
          <t>5a</t>
        </is>
      </c>
      <c r="D74" s="6" t="inlineStr">
        <is>
          <t>Juvenile Court (child welfare, juvenile justice)</t>
        </is>
      </c>
      <c r="E74" s="6" t="inlineStr">
        <is>
          <t>DV-105[0].Page2[0].List5[0].List[0].Li1[0].TextField3[0]</t>
        </is>
      </c>
      <c r="F74" s="6" t="inlineStr">
        <is>
          <t>text</t>
        </is>
      </c>
      <c r="G74" s="6" t="inlineStr"/>
      <c r="H74" s="6" t="inlineStr"/>
      <c r="I74" s="6" t="inlineStr">
        <is>
          <t>323, 216, 576, 229</t>
        </is>
      </c>
      <c r="J74" s="6" t="inlineStr">
        <is>
          <t>derived</t>
        </is>
      </c>
      <c r="K74" s="6" t="inlineStr">
        <is>
          <t>C4,C5</t>
        </is>
      </c>
      <c r="L74" s="6">
        <f> join(cases5.where(type=="juvenile").map(c =&gt; c.where + "; " + c.year + "; " + c.caseNumber), " | ")</f>
        <v/>
      </c>
      <c r="M74" s="6" t="inlineStr">
        <is>
          <t>O15</t>
        </is>
      </c>
      <c r="N74" s="6" t="inlineStr"/>
      <c r="O74" s="6" t="inlineStr"/>
    </row>
    <row r="75">
      <c r="A75" s="6" t="n">
        <v>74</v>
      </c>
      <c r="B75" s="6" t="n">
        <v>2</v>
      </c>
      <c r="C75" s="6" t="inlineStr">
        <is>
          <t>5a</t>
        </is>
      </c>
      <c r="D75" s="6" t="inlineStr">
        <is>
          <t>Guardianship</t>
        </is>
      </c>
      <c r="E75" s="6" t="inlineStr">
        <is>
          <t>DV-105[0].Page2[0].List5[0].List[0].Li1[0].CheckBox4[0]</t>
        </is>
      </c>
      <c r="F75" s="6" t="inlineStr">
        <is>
          <t>checkbox</t>
        </is>
      </c>
      <c r="G75" s="6" t="inlineStr">
        <is>
          <t>1</t>
        </is>
      </c>
      <c r="H75" s="6" t="inlineStr"/>
      <c r="I75" s="6" t="inlineStr">
        <is>
          <t>101, 236, 110, 245</t>
        </is>
      </c>
      <c r="J75" s="6" t="inlineStr">
        <is>
          <t>derived</t>
        </is>
      </c>
      <c r="K75" s="6" t="inlineStr">
        <is>
          <t>C4,C5</t>
        </is>
      </c>
      <c r="L75" s="6" t="inlineStr">
        <is>
          <t>check if any cases5.type == "guardianship"</t>
        </is>
      </c>
      <c r="M75" s="6" t="inlineStr">
        <is>
          <t>O15</t>
        </is>
      </c>
      <c r="N75" s="6" t="inlineStr"/>
      <c r="O75" s="6" t="inlineStr"/>
    </row>
    <row r="76">
      <c r="A76" s="6" t="n">
        <v>75</v>
      </c>
      <c r="B76" s="6" t="n">
        <v>2</v>
      </c>
      <c r="C76" s="6" t="inlineStr">
        <is>
          <t>5a</t>
        </is>
      </c>
      <c r="D76" s="6" t="inlineStr">
        <is>
          <t>Guardianship</t>
        </is>
      </c>
      <c r="E76" s="6" t="inlineStr">
        <is>
          <t>DV-105[0].Page2[0].List5[0].List[0].Li1[0].TextField4[0]</t>
        </is>
      </c>
      <c r="F76" s="6" t="inlineStr">
        <is>
          <t>text</t>
        </is>
      </c>
      <c r="G76" s="6" t="inlineStr"/>
      <c r="H76" s="6" t="inlineStr"/>
      <c r="I76" s="6" t="inlineStr">
        <is>
          <t>178, 234, 576, 247</t>
        </is>
      </c>
      <c r="J76" s="6" t="inlineStr">
        <is>
          <t>derived</t>
        </is>
      </c>
      <c r="K76" s="6" t="inlineStr">
        <is>
          <t>C4,C5</t>
        </is>
      </c>
      <c r="L76" s="6">
        <f> join(cases5.where(type=="guardianship").map(c =&gt; c.where + "; " + c.year + "; " + c.caseNumber), " | ")</f>
        <v/>
      </c>
      <c r="M76" s="6" t="inlineStr">
        <is>
          <t>O15</t>
        </is>
      </c>
      <c r="N76" s="6" t="inlineStr"/>
      <c r="O76" s="6" t="inlineStr"/>
    </row>
    <row r="77">
      <c r="A77" s="6" t="n">
        <v>76</v>
      </c>
      <c r="B77" s="6" t="n">
        <v>2</v>
      </c>
      <c r="C77" s="6" t="inlineStr">
        <is>
          <t>5a</t>
        </is>
      </c>
      <c r="D77" s="6" t="inlineStr">
        <is>
          <t>Criminal</t>
        </is>
      </c>
      <c r="E77" s="6" t="inlineStr">
        <is>
          <t>DV-105[0].Page2[0].List5[0].List[0].Li1[0].CheckBox5[0]</t>
        </is>
      </c>
      <c r="F77" s="6" t="inlineStr">
        <is>
          <t>checkbox</t>
        </is>
      </c>
      <c r="G77" s="6" t="inlineStr">
        <is>
          <t>1</t>
        </is>
      </c>
      <c r="H77" s="6" t="inlineStr"/>
      <c r="I77" s="6" t="inlineStr">
        <is>
          <t>101, 254, 110, 263</t>
        </is>
      </c>
      <c r="J77" s="6" t="inlineStr">
        <is>
          <t>derived</t>
        </is>
      </c>
      <c r="K77" s="6" t="inlineStr">
        <is>
          <t>C4,C5</t>
        </is>
      </c>
      <c r="L77" s="6" t="inlineStr">
        <is>
          <t>check if any cases5.type == "criminal"</t>
        </is>
      </c>
      <c r="M77" s="6" t="inlineStr">
        <is>
          <t>O15</t>
        </is>
      </c>
      <c r="N77" s="6" t="inlineStr"/>
      <c r="O77" s="6" t="inlineStr"/>
    </row>
    <row r="78">
      <c r="A78" s="6" t="n">
        <v>77</v>
      </c>
      <c r="B78" s="6" t="n">
        <v>2</v>
      </c>
      <c r="C78" s="6" t="inlineStr">
        <is>
          <t>5a</t>
        </is>
      </c>
      <c r="D78" s="6" t="inlineStr">
        <is>
          <t>Criminal</t>
        </is>
      </c>
      <c r="E78" s="6" t="inlineStr">
        <is>
          <t>DV-105[0].Page2[0].List5[0].List[0].Li1[0].TextField5[0]</t>
        </is>
      </c>
      <c r="F78" s="6" t="inlineStr">
        <is>
          <t>text</t>
        </is>
      </c>
      <c r="G78" s="6" t="inlineStr"/>
      <c r="H78" s="6" t="inlineStr"/>
      <c r="I78" s="6" t="inlineStr">
        <is>
          <t>157, 252, 576, 265</t>
        </is>
      </c>
      <c r="J78" s="6" t="inlineStr">
        <is>
          <t>derived</t>
        </is>
      </c>
      <c r="K78" s="6" t="inlineStr">
        <is>
          <t>C4,C5</t>
        </is>
      </c>
      <c r="L78" s="6">
        <f> join(cases5.where(type=="criminal").map(c =&gt; c.where + "; " + c.year + "; " + c.caseNumber), " | ")</f>
        <v/>
      </c>
      <c r="M78" s="6" t="inlineStr">
        <is>
          <t>O15</t>
        </is>
      </c>
      <c r="N78" s="6" t="inlineStr"/>
      <c r="O78" s="6" t="inlineStr"/>
    </row>
    <row r="79">
      <c r="A79" s="6" t="n">
        <v>78</v>
      </c>
      <c r="B79" s="6" t="n">
        <v>2</v>
      </c>
      <c r="C79" s="6" t="inlineStr">
        <is>
          <t>5a</t>
        </is>
      </c>
      <c r="D79" s="6" t="inlineStr">
        <is>
          <t>Other (example: child support case)</t>
        </is>
      </c>
      <c r="E79" s="6" t="inlineStr">
        <is>
          <t>DV-105[0].Page2[0].List5[0].List[0].Li1[0].CheckBox6[0]</t>
        </is>
      </c>
      <c r="F79" s="6" t="inlineStr">
        <is>
          <t>checkbox</t>
        </is>
      </c>
      <c r="G79" s="6" t="inlineStr">
        <is>
          <t>1</t>
        </is>
      </c>
      <c r="H79" s="6" t="inlineStr"/>
      <c r="I79" s="6" t="inlineStr">
        <is>
          <t>101, 273, 110, 282</t>
        </is>
      </c>
      <c r="J79" s="6" t="inlineStr">
        <is>
          <t>derived</t>
        </is>
      </c>
      <c r="K79" s="6" t="inlineStr">
        <is>
          <t>C4,C5</t>
        </is>
      </c>
      <c r="L79" s="6" t="inlineStr">
        <is>
          <t>check if any cases5.type in ("child support","other")</t>
        </is>
      </c>
      <c r="M79" s="6" t="inlineStr">
        <is>
          <t>O15</t>
        </is>
      </c>
      <c r="N79" s="6" t="inlineStr"/>
      <c r="O79" s="6" t="inlineStr"/>
    </row>
    <row r="80">
      <c r="A80" s="6" t="n">
        <v>79</v>
      </c>
      <c r="B80" s="6" t="n">
        <v>2</v>
      </c>
      <c r="C80" s="6" t="inlineStr">
        <is>
          <t>5a</t>
        </is>
      </c>
      <c r="D80" s="6" t="inlineStr">
        <is>
          <t>Other (example: child support case)</t>
        </is>
      </c>
      <c r="E80" s="6" t="inlineStr">
        <is>
          <t>DV-105[0].Page2[0].List5[0].List[0].Li1[0].TextField6[0]</t>
        </is>
      </c>
      <c r="F80" s="6" t="inlineStr">
        <is>
          <t>text</t>
        </is>
      </c>
      <c r="G80" s="6" t="inlineStr"/>
      <c r="H80" s="6" t="inlineStr"/>
      <c r="I80" s="6" t="inlineStr">
        <is>
          <t>277, 271, 576, 284</t>
        </is>
      </c>
      <c r="J80" s="6" t="inlineStr">
        <is>
          <t>derived</t>
        </is>
      </c>
      <c r="K80" s="6" t="inlineStr">
        <is>
          <t>C4,C5</t>
        </is>
      </c>
      <c r="L80" s="6">
        <f> join(cases5.where(type in ("child support","other")).map(c =&gt; c.kind + ": " + c.where + "; " + c.year + "; " + c.caseNumber), " | ")</f>
        <v/>
      </c>
      <c r="M80" s="6" t="inlineStr">
        <is>
          <t>O15</t>
        </is>
      </c>
      <c r="N80" s="6" t="inlineStr"/>
      <c r="O80" s="6" t="inlineStr"/>
    </row>
    <row r="81">
      <c r="A81" s="5" t="n">
        <v>80</v>
      </c>
      <c r="B81" s="5" t="n">
        <v>2</v>
      </c>
      <c r="C81" s="5" t="inlineStr">
        <is>
          <t>5b</t>
        </is>
      </c>
      <c r="D81" s="5" t="inlineStr">
        <is>
          <t>No</t>
        </is>
      </c>
      <c r="E81" s="5" t="inlineStr">
        <is>
          <t>DV-105[0].Page2[0].List5[0].List[0].Li2[0].ChoiceCustody[0]</t>
        </is>
      </c>
      <c r="F81" s="5" t="inlineStr">
        <is>
          <t>checkbox</t>
        </is>
      </c>
      <c r="G81" s="5" t="inlineStr">
        <is>
          <t>1</t>
        </is>
      </c>
      <c r="H81" s="5" t="inlineStr"/>
      <c r="I81" s="5" t="inlineStr">
        <is>
          <t>78, 338, 87, 347</t>
        </is>
      </c>
      <c r="J81" s="5" t="inlineStr">
        <is>
          <t>question</t>
        </is>
      </c>
      <c r="K81" s="5" t="inlineStr">
        <is>
          <t>C6</t>
        </is>
      </c>
      <c r="L81" s="5" t="inlineStr">
        <is>
          <t>check if C6 == "N"</t>
        </is>
      </c>
      <c r="M81" s="5" t="inlineStr"/>
      <c r="N81" s="5" t="inlineStr"/>
      <c r="O81" s="5" t="inlineStr"/>
    </row>
    <row r="82">
      <c r="A82" s="5" t="n">
        <v>81</v>
      </c>
      <c r="B82" s="5" t="n">
        <v>2</v>
      </c>
      <c r="C82" s="5" t="inlineStr">
        <is>
          <t>5b</t>
        </is>
      </c>
      <c r="D82" s="5" t="inlineStr">
        <is>
          <t>Yes (If yes, complete the section below):</t>
        </is>
      </c>
      <c r="E82" s="5" t="inlineStr">
        <is>
          <t>DV-105[0].Page2[0].List5[0].List[0].Li2[0].ChoiceCustody[1]</t>
        </is>
      </c>
      <c r="F82" s="5" t="inlineStr">
        <is>
          <t>checkbox</t>
        </is>
      </c>
      <c r="G82" s="5" t="inlineStr">
        <is>
          <t>12</t>
        </is>
      </c>
      <c r="H82" s="5" t="inlineStr"/>
      <c r="I82" s="5" t="inlineStr">
        <is>
          <t>78, 354, 87, 363</t>
        </is>
      </c>
      <c r="J82" s="5" t="inlineStr">
        <is>
          <t>question</t>
        </is>
      </c>
      <c r="K82" s="5" t="inlineStr">
        <is>
          <t>C6</t>
        </is>
      </c>
      <c r="L82" s="5" t="inlineStr">
        <is>
          <t>check if C6 == "Y"</t>
        </is>
      </c>
      <c r="M82" s="5" t="inlineStr"/>
      <c r="N82" s="5" t="inlineStr">
        <is>
          <t>Export value 12.</t>
        </is>
      </c>
      <c r="O82" s="5" t="inlineStr"/>
    </row>
    <row r="83">
      <c r="A83" s="5" t="n">
        <v>82</v>
      </c>
      <c r="B83" s="5" t="n">
        <v>2</v>
      </c>
      <c r="C83" s="5" t="inlineStr">
        <is>
          <t>5b</t>
        </is>
      </c>
      <c r="D83" s="5" t="inlineStr">
        <is>
          <t>What did the judge order? (Examples: who has custody of the children and what the visitation schedule is)</t>
        </is>
      </c>
      <c r="E83" s="5" t="inlineStr">
        <is>
          <t>DV-105[0].Page2[0].List5[0].List[0].Li2[0].#area[0].TextField1[0]</t>
        </is>
      </c>
      <c r="F83" s="5" t="inlineStr">
        <is>
          <t>text</t>
        </is>
      </c>
      <c r="G83" s="5" t="inlineStr"/>
      <c r="H83" s="5" t="inlineStr"/>
      <c r="I83" s="5" t="inlineStr">
        <is>
          <t>98, 392, 575, 458</t>
        </is>
      </c>
      <c r="J83" s="5" t="inlineStr">
        <is>
          <t>question</t>
        </is>
      </c>
      <c r="K83" s="5" t="inlineStr">
        <is>
          <t>C7</t>
        </is>
      </c>
      <c r="L83" s="5">
        <f> C7</f>
        <v/>
      </c>
      <c r="M83" s="5" t="inlineStr">
        <is>
          <t>C6 == "Y"</t>
        </is>
      </c>
      <c r="N83" s="5" t="inlineStr">
        <is>
          <t>Attach the uploaded copy.</t>
        </is>
      </c>
      <c r="O83" s="5" t="inlineStr"/>
    </row>
    <row r="84">
      <c r="A84" s="5" t="n">
        <v>83</v>
      </c>
      <c r="B84" s="5" t="n">
        <v>2</v>
      </c>
      <c r="C84" s="5" t="inlineStr">
        <is>
          <t>5b</t>
        </is>
      </c>
      <c r="D84" s="5" t="inlineStr">
        <is>
          <t>Why do you want to change the order?</t>
        </is>
      </c>
      <c r="E84" s="5" t="inlineStr">
        <is>
          <t>DV-105[0].Page2[0].List5[0].List[0].Li2[0].TextField2[0]</t>
        </is>
      </c>
      <c r="F84" s="5" t="inlineStr">
        <is>
          <t>text</t>
        </is>
      </c>
      <c r="G84" s="5" t="inlineStr"/>
      <c r="H84" s="5" t="inlineStr"/>
      <c r="I84" s="5" t="inlineStr">
        <is>
          <t>98, 519, 575, 585</t>
        </is>
      </c>
      <c r="J84" s="5" t="inlineStr">
        <is>
          <t>question</t>
        </is>
      </c>
      <c r="K84" s="5" t="inlineStr">
        <is>
          <t>C8</t>
        </is>
      </c>
      <c r="L84" s="5">
        <f> C8</f>
        <v/>
      </c>
      <c r="M84" s="5" t="inlineStr">
        <is>
          <t>C6 == "Y"</t>
        </is>
      </c>
      <c r="N84" s="5" t="inlineStr"/>
      <c r="O84" s="5" t="inlineStr"/>
    </row>
    <row r="85">
      <c r="A85" s="5" t="n">
        <v>84</v>
      </c>
      <c r="B85" s="5" t="n">
        <v>2</v>
      </c>
      <c r="C85" s="5" t="inlineStr">
        <is>
          <t>5c</t>
        </is>
      </c>
      <c r="D85" s="5" t="inlineStr">
        <is>
          <t>Name:</t>
        </is>
      </c>
      <c r="E85" s="5" t="inlineStr">
        <is>
          <t>DV-105[0].Page2[0].List5[0].List[0].Li3[0].TextField2[0]</t>
        </is>
      </c>
      <c r="F85" s="5" t="inlineStr">
        <is>
          <t>text</t>
        </is>
      </c>
      <c r="G85" s="5" t="inlineStr"/>
      <c r="H85" s="5" t="inlineStr"/>
      <c r="I85" s="5" t="inlineStr">
        <is>
          <t>112, 647, 338, 662</t>
        </is>
      </c>
      <c r="J85" s="5" t="inlineStr">
        <is>
          <t>question</t>
        </is>
      </c>
      <c r="K85" s="5" t="inlineStr">
        <is>
          <t>PR13</t>
        </is>
      </c>
      <c r="L85" s="5">
        <f> PR13.name</f>
        <v/>
      </c>
      <c r="M85" s="5" t="inlineStr">
        <is>
          <t>PR13 given</t>
        </is>
      </c>
      <c r="N85" s="5" t="inlineStr"/>
      <c r="O85" s="5" t="inlineStr"/>
    </row>
    <row r="86">
      <c r="A86" s="5" t="n">
        <v>85</v>
      </c>
      <c r="B86" s="5" t="n">
        <v>2</v>
      </c>
      <c r="C86" s="5" t="inlineStr">
        <is>
          <t>5c</t>
        </is>
      </c>
      <c r="D86" s="5" t="inlineStr">
        <is>
          <t>Parent</t>
        </is>
      </c>
      <c r="E86" s="5" t="inlineStr">
        <is>
          <t>DV-105[0].Page2[0].List5[0].List[0].Li3[0].PartentLG[0]</t>
        </is>
      </c>
      <c r="F86" s="5" t="inlineStr">
        <is>
          <t>checkbox</t>
        </is>
      </c>
      <c r="G86" s="5" t="inlineStr">
        <is>
          <t>1</t>
        </is>
      </c>
      <c r="H86" s="5" t="inlineStr"/>
      <c r="I86" s="5" t="inlineStr">
        <is>
          <t>348, 650, 357, 659</t>
        </is>
      </c>
      <c r="J86" s="5" t="inlineStr">
        <is>
          <t>question</t>
        </is>
      </c>
      <c r="K86" s="5" t="inlineStr">
        <is>
          <t>PR13</t>
        </is>
      </c>
      <c r="L86" s="5" t="inlineStr">
        <is>
          <t>check if PR13.role == "parent"</t>
        </is>
      </c>
      <c r="M86" s="5" t="inlineStr">
        <is>
          <t>PR13 given</t>
        </is>
      </c>
      <c r="N86" s="5" t="inlineStr"/>
      <c r="O86" s="5" t="inlineStr"/>
    </row>
    <row r="87">
      <c r="A87" s="5" t="n">
        <v>86</v>
      </c>
      <c r="B87" s="5" t="n">
        <v>2</v>
      </c>
      <c r="C87" s="5" t="inlineStr">
        <is>
          <t>5c</t>
        </is>
      </c>
      <c r="D87" s="5" t="inlineStr">
        <is>
          <t>Legal guardian</t>
        </is>
      </c>
      <c r="E87" s="5" t="inlineStr">
        <is>
          <t>DV-105[0].Page2[0].List5[0].List[0].Li3[0].PartentLG[1]</t>
        </is>
      </c>
      <c r="F87" s="5" t="inlineStr">
        <is>
          <t>checkbox</t>
        </is>
      </c>
      <c r="G87" s="5" t="inlineStr">
        <is>
          <t>11</t>
        </is>
      </c>
      <c r="H87" s="5" t="inlineStr"/>
      <c r="I87" s="5" t="inlineStr">
        <is>
          <t>418, 650, 427, 659</t>
        </is>
      </c>
      <c r="J87" s="5" t="inlineStr">
        <is>
          <t>question</t>
        </is>
      </c>
      <c r="K87" s="5" t="inlineStr">
        <is>
          <t>PR13</t>
        </is>
      </c>
      <c r="L87" s="5" t="inlineStr">
        <is>
          <t>check if PR13.role == "legal guardian"</t>
        </is>
      </c>
      <c r="M87" s="5" t="inlineStr">
        <is>
          <t>PR13 given</t>
        </is>
      </c>
      <c r="N87" s="5" t="inlineStr"/>
      <c r="O87" s="5" t="inlineStr"/>
    </row>
    <row r="88">
      <c r="A88" s="5" t="n">
        <v>87</v>
      </c>
      <c r="B88" s="5" t="n">
        <v>3</v>
      </c>
      <c r="C88" s="5" t="inlineStr">
        <is>
          <t>Caption</t>
        </is>
      </c>
      <c r="D88" s="5" t="inlineStr">
        <is>
          <t>Case Number:</t>
        </is>
      </c>
      <c r="E88" s="5" t="inlineStr">
        <is>
          <t>DV-105[0].Page3[0].Caption[0].PxCaption[0].CaseNumber[0]</t>
        </is>
      </c>
      <c r="F88" s="5" t="inlineStr">
        <is>
          <t>text</t>
        </is>
      </c>
      <c r="G88" s="5" t="inlineStr"/>
      <c r="H88" s="5" t="inlineStr"/>
      <c r="I88" s="5" t="inlineStr">
        <is>
          <t>399, 49, 572, 61</t>
        </is>
      </c>
      <c r="J88" s="5" t="inlineStr">
        <is>
          <t>question</t>
        </is>
      </c>
      <c r="K88" s="5" t="inlineStr">
        <is>
          <t>S3,S4</t>
        </is>
      </c>
      <c r="L88" s="5">
        <f> S4</f>
        <v/>
      </c>
      <c r="M88" s="5" t="inlineStr">
        <is>
          <t>S3 == "update"; otherwise blank for clerk</t>
        </is>
      </c>
      <c r="N88" s="5" t="inlineStr"/>
      <c r="O88" s="5" t="inlineStr"/>
    </row>
    <row r="89">
      <c r="A89" s="5" t="n">
        <v>88</v>
      </c>
      <c r="B89" s="5" t="n">
        <v>3</v>
      </c>
      <c r="C89" s="5" t="inlineStr">
        <is>
          <t>6</t>
        </is>
      </c>
      <c r="D89" s="5" t="inlineStr">
        <is>
          <t>No</t>
        </is>
      </c>
      <c r="E89" s="5" t="inlineStr">
        <is>
          <t>DV-105[0].Page3[0].List6[0].item6NY[0]</t>
        </is>
      </c>
      <c r="F89" s="5" t="inlineStr">
        <is>
          <t>checkbox</t>
        </is>
      </c>
      <c r="G89" s="5" t="inlineStr">
        <is>
          <t>1</t>
        </is>
      </c>
      <c r="H89" s="5" t="inlineStr"/>
      <c r="I89" s="5" t="inlineStr">
        <is>
          <t>63, 179, 72, 188</t>
        </is>
      </c>
      <c r="J89" s="5" t="inlineStr">
        <is>
          <t>question</t>
        </is>
      </c>
      <c r="K89" s="5" t="inlineStr">
        <is>
          <t>K3</t>
        </is>
      </c>
      <c r="L89" s="5" t="inlineStr">
        <is>
          <t>check if K3 == "N"</t>
        </is>
      </c>
      <c r="M89" s="5" t="inlineStr"/>
      <c r="N89" s="5" t="inlineStr"/>
      <c r="O89" s="5" t="inlineStr"/>
    </row>
    <row r="90">
      <c r="A90" s="5" t="n">
        <v>89</v>
      </c>
      <c r="B90" s="5" t="n">
        <v>3</v>
      </c>
      <c r="C90" s="5" t="inlineStr">
        <is>
          <t>6</t>
        </is>
      </c>
      <c r="D90" s="5" t="inlineStr">
        <is>
          <t>Yes (If yes, complete the section below):</t>
        </is>
      </c>
      <c r="E90" s="5" t="inlineStr">
        <is>
          <t>DV-105[0].Page3[0].List6[0].item6NY[1]</t>
        </is>
      </c>
      <c r="F90" s="5" t="inlineStr">
        <is>
          <t>checkbox</t>
        </is>
      </c>
      <c r="G90" s="5" t="inlineStr">
        <is>
          <t>2</t>
        </is>
      </c>
      <c r="H90" s="5" t="inlineStr"/>
      <c r="I90" s="5" t="inlineStr">
        <is>
          <t>63, 195, 72, 204</t>
        </is>
      </c>
      <c r="J90" s="5" t="inlineStr">
        <is>
          <t>question</t>
        </is>
      </c>
      <c r="K90" s="5" t="inlineStr">
        <is>
          <t>K3</t>
        </is>
      </c>
      <c r="L90" s="5" t="inlineStr">
        <is>
          <t>check if K3 == "Y"</t>
        </is>
      </c>
      <c r="M90" s="5" t="inlineStr"/>
      <c r="N90" s="5" t="inlineStr">
        <is>
          <t>Export value 2.</t>
        </is>
      </c>
      <c r="O90" s="5" t="inlineStr"/>
    </row>
    <row r="91">
      <c r="A91" s="5" t="n">
        <v>90</v>
      </c>
      <c r="B91" s="5" t="n">
        <v>3</v>
      </c>
      <c r="C91" s="5" t="inlineStr">
        <is>
          <t>6</t>
        </is>
      </c>
      <c r="D91" s="5" t="inlineStr">
        <is>
          <t>The county of</t>
        </is>
      </c>
      <c r="E91" s="5" t="inlineStr">
        <is>
          <t>DV-105[0].Page3[0].List6[0].item6cb1[0]</t>
        </is>
      </c>
      <c r="F91" s="5" t="inlineStr">
        <is>
          <t>checkbox</t>
        </is>
      </c>
      <c r="G91" s="5" t="inlineStr">
        <is>
          <t>1</t>
        </is>
      </c>
      <c r="H91" s="5" t="inlineStr"/>
      <c r="I91" s="5" t="inlineStr">
        <is>
          <t>78, 246, 87, 255</t>
        </is>
      </c>
      <c r="J91" s="5" t="inlineStr">
        <is>
          <t>question</t>
        </is>
      </c>
      <c r="K91" s="5" t="inlineStr">
        <is>
          <t>K3</t>
        </is>
      </c>
      <c r="L91" s="5" t="inlineStr">
        <is>
          <t>check if K3.places has "this county"</t>
        </is>
      </c>
      <c r="M91" s="5" t="inlineStr">
        <is>
          <t>K3 == "Y"</t>
        </is>
      </c>
      <c r="N91" s="5" t="inlineStr"/>
      <c r="O91" s="5" t="inlineStr"/>
    </row>
    <row r="92">
      <c r="A92" s="5" t="n">
        <v>91</v>
      </c>
      <c r="B92" s="5" t="n">
        <v>3</v>
      </c>
      <c r="C92" s="5" t="inlineStr">
        <is>
          <t>6</t>
        </is>
      </c>
      <c r="D92" s="5" t="inlineStr">
        <is>
          <t>(list):</t>
        </is>
      </c>
      <c r="E92" s="5" t="inlineStr">
        <is>
          <t>DV-105[0].Page3[0].List6[0].item6tf1[0]</t>
        </is>
      </c>
      <c r="F92" s="5" t="inlineStr">
        <is>
          <t>text</t>
        </is>
      </c>
      <c r="G92" s="5" t="inlineStr"/>
      <c r="H92" s="5" t="inlineStr"/>
      <c r="I92" s="5" t="inlineStr">
        <is>
          <t>184, 246, 544, 259</t>
        </is>
      </c>
      <c r="J92" s="5" t="inlineStr">
        <is>
          <t>question</t>
        </is>
      </c>
      <c r="K92" s="5" t="inlineStr">
        <is>
          <t>K3</t>
        </is>
      </c>
      <c r="L92" s="5">
        <f> K3.countyName</f>
        <v/>
      </c>
      <c r="M92" s="5" t="inlineStr">
        <is>
          <t>K3.places has "this county"</t>
        </is>
      </c>
      <c r="N92" s="5" t="inlineStr">
        <is>
          <t>Defaults to S1.</t>
        </is>
      </c>
      <c r="O92" s="5" t="inlineStr"/>
    </row>
    <row r="93">
      <c r="A93" s="5" t="n">
        <v>92</v>
      </c>
      <c r="B93" s="5" t="n">
        <v>3</v>
      </c>
      <c r="C93" s="5" t="inlineStr">
        <is>
          <t>6</t>
        </is>
      </c>
      <c r="D93" s="5" t="inlineStr">
        <is>
          <t>California</t>
        </is>
      </c>
      <c r="E93" s="5" t="inlineStr">
        <is>
          <t>DV-105[0].Page3[0].List6[0].item6cb2[0]</t>
        </is>
      </c>
      <c r="F93" s="5" t="inlineStr">
        <is>
          <t>checkbox</t>
        </is>
      </c>
      <c r="G93" s="5" t="inlineStr">
        <is>
          <t>1</t>
        </is>
      </c>
      <c r="H93" s="5" t="inlineStr"/>
      <c r="I93" s="5" t="inlineStr">
        <is>
          <t>78, 262, 87, 271</t>
        </is>
      </c>
      <c r="J93" s="5" t="inlineStr">
        <is>
          <t>question</t>
        </is>
      </c>
      <c r="K93" s="5" t="inlineStr">
        <is>
          <t>K3</t>
        </is>
      </c>
      <c r="L93" s="5" t="inlineStr">
        <is>
          <t>check if K3.places has "California"</t>
        </is>
      </c>
      <c r="M93" s="5" t="inlineStr">
        <is>
          <t>K3 == "Y"</t>
        </is>
      </c>
      <c r="N93" s="5" t="inlineStr"/>
      <c r="O93" s="5" t="inlineStr"/>
    </row>
    <row r="94">
      <c r="A94" s="5" t="n">
        <v>93</v>
      </c>
      <c r="B94" s="5" t="n">
        <v>3</v>
      </c>
      <c r="C94" s="5" t="inlineStr">
        <is>
          <t>6</t>
        </is>
      </c>
      <c r="D94" s="5" t="inlineStr">
        <is>
          <t>Other places</t>
        </is>
      </c>
      <c r="E94" s="5" t="inlineStr">
        <is>
          <t>DV-105[0].Page3[0].List6[0].item6cb3[0]</t>
        </is>
      </c>
      <c r="F94" s="5" t="inlineStr">
        <is>
          <t>checkbox</t>
        </is>
      </c>
      <c r="G94" s="5" t="inlineStr">
        <is>
          <t>1</t>
        </is>
      </c>
      <c r="H94" s="5" t="inlineStr"/>
      <c r="I94" s="5" t="inlineStr">
        <is>
          <t>78, 278, 87, 287</t>
        </is>
      </c>
      <c r="J94" s="5" t="inlineStr">
        <is>
          <t>question</t>
        </is>
      </c>
      <c r="K94" s="5" t="inlineStr">
        <is>
          <t>K3</t>
        </is>
      </c>
      <c r="L94" s="5" t="inlineStr">
        <is>
          <t>check if K3.places has "other"</t>
        </is>
      </c>
      <c r="M94" s="5" t="inlineStr">
        <is>
          <t>K3 == "Y"</t>
        </is>
      </c>
      <c r="N94" s="5" t="inlineStr"/>
      <c r="O94" s="5" t="inlineStr"/>
    </row>
    <row r="95">
      <c r="A95" s="5" t="n">
        <v>94</v>
      </c>
      <c r="B95" s="5" t="n">
        <v>3</v>
      </c>
      <c r="C95" s="5" t="inlineStr">
        <is>
          <t>6</t>
        </is>
      </c>
      <c r="D95" s="5" t="inlineStr">
        <is>
          <t>(list):</t>
        </is>
      </c>
      <c r="E95" s="5" t="inlineStr">
        <is>
          <t>DV-105[0].Page3[0].List6[0].item6tf2[0]</t>
        </is>
      </c>
      <c r="F95" s="5" t="inlineStr">
        <is>
          <t>text</t>
        </is>
      </c>
      <c r="G95" s="5" t="inlineStr"/>
      <c r="H95" s="5" t="inlineStr"/>
      <c r="I95" s="5" t="inlineStr">
        <is>
          <t>178, 278, 546, 291</t>
        </is>
      </c>
      <c r="J95" s="5" t="inlineStr">
        <is>
          <t>question</t>
        </is>
      </c>
      <c r="K95" s="5" t="inlineStr">
        <is>
          <t>K3</t>
        </is>
      </c>
      <c r="L95" s="5">
        <f> K3.otherPlaces</f>
        <v/>
      </c>
      <c r="M95" s="5" t="inlineStr">
        <is>
          <t>K3.places has "other"</t>
        </is>
      </c>
      <c r="N95" s="5" t="inlineStr"/>
      <c r="O95" s="5" t="inlineStr"/>
    </row>
    <row r="96">
      <c r="A96" s="5" t="n">
        <v>95</v>
      </c>
      <c r="B96" s="5" t="n">
        <v>3</v>
      </c>
      <c r="C96" s="5" t="inlineStr">
        <is>
          <t>7</t>
        </is>
      </c>
      <c r="D96" s="5" t="inlineStr">
        <is>
          <t>Yes</t>
        </is>
      </c>
      <c r="E96" s="5" t="inlineStr">
        <is>
          <t>DV-105[0].Page3[0].List7[0].ChoiceItem7[0]</t>
        </is>
      </c>
      <c r="F96" s="5" t="inlineStr">
        <is>
          <t>checkbox</t>
        </is>
      </c>
      <c r="G96" s="5" t="inlineStr">
        <is>
          <t>1</t>
        </is>
      </c>
      <c r="H96" s="5" t="inlineStr"/>
      <c r="I96" s="5" t="inlineStr">
        <is>
          <t>63, 351, 72, 360</t>
        </is>
      </c>
      <c r="J96" s="5" t="inlineStr">
        <is>
          <t>question</t>
        </is>
      </c>
      <c r="K96" s="5" t="inlineStr">
        <is>
          <t>K4</t>
        </is>
      </c>
      <c r="L96" s="5" t="inlineStr">
        <is>
          <t>check if K4 == "N"</t>
        </is>
      </c>
      <c r="M96" s="5" t="inlineStr"/>
      <c r="N96" s="5" t="inlineStr">
        <is>
          <t>The form asks the reverse: Yes = the respondent MAY see records. So K4 (block) = N checks Yes.</t>
        </is>
      </c>
      <c r="O96" s="5" t="inlineStr"/>
    </row>
    <row r="97">
      <c r="A97" s="5" t="n">
        <v>96</v>
      </c>
      <c r="B97" s="5" t="n">
        <v>3</v>
      </c>
      <c r="C97" s="5" t="inlineStr">
        <is>
          <t>7</t>
        </is>
      </c>
      <c r="D97" s="5" t="inlineStr">
        <is>
          <t>No (If no, complete the section below):</t>
        </is>
      </c>
      <c r="E97" s="5" t="inlineStr">
        <is>
          <t>DV-105[0].Page3[0].List7[0].ChoiceItem7[1]</t>
        </is>
      </c>
      <c r="F97" s="5" t="inlineStr">
        <is>
          <t>checkbox</t>
        </is>
      </c>
      <c r="G97" s="5" t="inlineStr">
        <is>
          <t>2</t>
        </is>
      </c>
      <c r="H97" s="5" t="inlineStr"/>
      <c r="I97" s="5" t="inlineStr">
        <is>
          <t>63, 368, 72, 377</t>
        </is>
      </c>
      <c r="J97" s="5" t="inlineStr">
        <is>
          <t>question</t>
        </is>
      </c>
      <c r="K97" s="5" t="inlineStr">
        <is>
          <t>K4</t>
        </is>
      </c>
      <c r="L97" s="5" t="inlineStr">
        <is>
          <t>check if K4 == "Y"</t>
        </is>
      </c>
      <c r="M97" s="5" t="inlineStr"/>
      <c r="N97" s="5" t="inlineStr">
        <is>
          <t>Export value 2.</t>
        </is>
      </c>
      <c r="O97" s="5" t="inlineStr"/>
    </row>
    <row r="98">
      <c r="A98" s="5" t="n">
        <v>97</v>
      </c>
      <c r="B98" s="5" t="n">
        <v>3</v>
      </c>
      <c r="C98" s="5" t="inlineStr">
        <is>
          <t>7a</t>
        </is>
      </c>
      <c r="D98" s="5" t="inlineStr">
        <is>
          <t>All the children listed in 3 .</t>
        </is>
      </c>
      <c r="E98" s="5" t="inlineStr">
        <is>
          <t>DV-105[0].Page3[0].List7[0].List[0].LI1[0].CheckBoxRightCaptionitem7a[0]</t>
        </is>
      </c>
      <c r="F98" s="5" t="inlineStr">
        <is>
          <t>checkbox</t>
        </is>
      </c>
      <c r="G98" s="5" t="inlineStr">
        <is>
          <t>1</t>
        </is>
      </c>
      <c r="H98" s="5" t="inlineStr"/>
      <c r="I98" s="5" t="inlineStr">
        <is>
          <t>78, 407, 87, 416</t>
        </is>
      </c>
      <c r="J98" s="5" t="inlineStr">
        <is>
          <t>question</t>
        </is>
      </c>
      <c r="K98" s="5" t="inlineStr">
        <is>
          <t>K4</t>
        </is>
      </c>
      <c r="L98" s="5" t="inlineStr">
        <is>
          <t>check if K4.children == "all"</t>
        </is>
      </c>
      <c r="M98" s="5" t="inlineStr">
        <is>
          <t>K4 == "Y"</t>
        </is>
      </c>
      <c r="N98" s="5" t="inlineStr"/>
      <c r="O98" s="5" t="inlineStr"/>
    </row>
    <row r="99">
      <c r="A99" s="5" t="n">
        <v>98</v>
      </c>
      <c r="B99" s="5" t="n">
        <v>3</v>
      </c>
      <c r="C99" s="5" t="inlineStr">
        <is>
          <t>7a</t>
        </is>
      </c>
      <c r="D99" s="5" t="inlineStr">
        <is>
          <t>Only the children listed here (names):</t>
        </is>
      </c>
      <c r="E99" s="5" t="inlineStr">
        <is>
          <t>DV-105[0].Page3[0].List7[0].List[0].LI1[0].CheckBoxRightCaptionitem7a[1]</t>
        </is>
      </c>
      <c r="F99" s="5" t="inlineStr">
        <is>
          <t>checkbox</t>
        </is>
      </c>
      <c r="G99" s="5" t="inlineStr">
        <is>
          <t>11</t>
        </is>
      </c>
      <c r="H99" s="5" t="inlineStr"/>
      <c r="I99" s="5" t="inlineStr">
        <is>
          <t>78, 423, 87, 432</t>
        </is>
      </c>
      <c r="J99" s="5" t="inlineStr">
        <is>
          <t>question</t>
        </is>
      </c>
      <c r="K99" s="5" t="inlineStr">
        <is>
          <t>K4</t>
        </is>
      </c>
      <c r="L99" s="5" t="inlineStr">
        <is>
          <t>check if K4.children == "named"</t>
        </is>
      </c>
      <c r="M99" s="5" t="inlineStr">
        <is>
          <t>K4 == "Y"</t>
        </is>
      </c>
      <c r="N99" s="5" t="inlineStr"/>
      <c r="O99" s="5" t="inlineStr"/>
    </row>
    <row r="100">
      <c r="A100" s="5" t="n">
        <v>99</v>
      </c>
      <c r="B100" s="5" t="n">
        <v>3</v>
      </c>
      <c r="C100" s="5" t="inlineStr">
        <is>
          <t>7a</t>
        </is>
      </c>
      <c r="D100" s="5" t="inlineStr">
        <is>
          <t>names</t>
        </is>
      </c>
      <c r="E100" s="5" t="inlineStr">
        <is>
          <t>DV-105[0].Page3[0].List7[0].List[0].LI1[0].TextField[0]</t>
        </is>
      </c>
      <c r="F100" s="5" t="inlineStr">
        <is>
          <t>text</t>
        </is>
      </c>
      <c r="G100" s="5" t="inlineStr"/>
      <c r="H100" s="5" t="inlineStr"/>
      <c r="I100" s="5" t="inlineStr">
        <is>
          <t>261, 423, 546, 438</t>
        </is>
      </c>
      <c r="J100" s="5" t="inlineStr">
        <is>
          <t>question</t>
        </is>
      </c>
      <c r="K100" s="5" t="inlineStr">
        <is>
          <t>K4</t>
        </is>
      </c>
      <c r="L100" s="5">
        <f> join(K4.namedChildren.PR1, ", ")</f>
        <v/>
      </c>
      <c r="M100" s="5" t="inlineStr">
        <is>
          <t>K4.children == "named"</t>
        </is>
      </c>
      <c r="N100" s="5" t="inlineStr"/>
      <c r="O100" s="5" t="inlineStr"/>
    </row>
    <row r="101">
      <c r="A101" s="5" t="n">
        <v>100</v>
      </c>
      <c r="B101" s="5" t="n">
        <v>3</v>
      </c>
      <c r="C101" s="5" t="inlineStr">
        <is>
          <t>7b</t>
        </is>
      </c>
      <c r="D101" s="5" t="inlineStr">
        <is>
          <t>Medical, dental, and mental health</t>
        </is>
      </c>
      <c r="E101" s="5" t="inlineStr">
        <is>
          <t>DV-105[0].Page3[0].List7[0].List[0].Li2[0].CheckBoxRightCaption[0]</t>
        </is>
      </c>
      <c r="F101" s="5" t="inlineStr">
        <is>
          <t>checkbox</t>
        </is>
      </c>
      <c r="G101" s="5" t="inlineStr">
        <is>
          <t>1</t>
        </is>
      </c>
      <c r="H101" s="5" t="inlineStr"/>
      <c r="I101" s="5" t="inlineStr">
        <is>
          <t>78, 471, 87, 480</t>
        </is>
      </c>
      <c r="J101" s="5" t="inlineStr">
        <is>
          <t>question</t>
        </is>
      </c>
      <c r="K101" s="5" t="inlineStr">
        <is>
          <t>K4</t>
        </is>
      </c>
      <c r="L101" s="5" t="inlineStr">
        <is>
          <t>check if K4.records has "medical"</t>
        </is>
      </c>
      <c r="M101" s="5" t="inlineStr">
        <is>
          <t>K4 == "Y"</t>
        </is>
      </c>
      <c r="N101" s="5" t="inlineStr"/>
      <c r="O101" s="5" t="inlineStr"/>
    </row>
    <row r="102">
      <c r="A102" s="5" t="n">
        <v>101</v>
      </c>
      <c r="B102" s="5" t="n">
        <v>3</v>
      </c>
      <c r="C102" s="5" t="inlineStr">
        <is>
          <t>7b</t>
        </is>
      </c>
      <c r="D102" s="5" t="inlineStr">
        <is>
          <t>School and daycare</t>
        </is>
      </c>
      <c r="E102" s="5" t="inlineStr">
        <is>
          <t>DV-105[0].Page3[0].List7[0].List[0].Li2[0].CheckBoxRightCaptionitem7b[0]</t>
        </is>
      </c>
      <c r="F102" s="5" t="inlineStr">
        <is>
          <t>checkbox</t>
        </is>
      </c>
      <c r="G102" s="5" t="inlineStr">
        <is>
          <t>1</t>
        </is>
      </c>
      <c r="H102" s="5" t="inlineStr"/>
      <c r="I102" s="5" t="inlineStr">
        <is>
          <t>78, 487, 87, 496</t>
        </is>
      </c>
      <c r="J102" s="5" t="inlineStr">
        <is>
          <t>question</t>
        </is>
      </c>
      <c r="K102" s="5" t="inlineStr">
        <is>
          <t>K4</t>
        </is>
      </c>
      <c r="L102" s="5" t="inlineStr">
        <is>
          <t>check if K4.records has "school"</t>
        </is>
      </c>
      <c r="M102" s="5" t="inlineStr">
        <is>
          <t>K4 == "Y"</t>
        </is>
      </c>
      <c r="N102" s="5" t="inlineStr"/>
      <c r="O102" s="5" t="inlineStr"/>
    </row>
    <row r="103">
      <c r="A103" s="5" t="n">
        <v>102</v>
      </c>
      <c r="B103" s="5" t="n">
        <v>3</v>
      </c>
      <c r="C103" s="5" t="inlineStr">
        <is>
          <t>7b</t>
        </is>
      </c>
      <c r="D103" s="5" t="inlineStr">
        <is>
          <t>Extracurricular activity, including summer camps and sports teams</t>
        </is>
      </c>
      <c r="E103" s="5" t="inlineStr">
        <is>
          <t>DV-105[0].Page3[0].List7[0].List[0].Li2[0].CheckBoxRightCaption2[0]</t>
        </is>
      </c>
      <c r="F103" s="5" t="inlineStr">
        <is>
          <t>checkbox</t>
        </is>
      </c>
      <c r="G103" s="5" t="inlineStr">
        <is>
          <t>1</t>
        </is>
      </c>
      <c r="H103" s="5" t="inlineStr"/>
      <c r="I103" s="5" t="inlineStr">
        <is>
          <t>78, 502, 87, 511</t>
        </is>
      </c>
      <c r="J103" s="5" t="inlineStr">
        <is>
          <t>question</t>
        </is>
      </c>
      <c r="K103" s="5" t="inlineStr">
        <is>
          <t>K4</t>
        </is>
      </c>
      <c r="L103" s="5" t="inlineStr">
        <is>
          <t>check if K4.records has "activities"</t>
        </is>
      </c>
      <c r="M103" s="5" t="inlineStr">
        <is>
          <t>K4 == "Y"</t>
        </is>
      </c>
      <c r="N103" s="5" t="inlineStr"/>
      <c r="O103" s="5" t="inlineStr"/>
    </row>
    <row r="104">
      <c r="A104" s="5" t="n">
        <v>103</v>
      </c>
      <c r="B104" s="5" t="n">
        <v>3</v>
      </c>
      <c r="C104" s="5" t="inlineStr">
        <is>
          <t>7b</t>
        </is>
      </c>
      <c r="D104" s="5" t="inlineStr">
        <is>
          <t>Other (describe):</t>
        </is>
      </c>
      <c r="E104" s="5" t="inlineStr">
        <is>
          <t>DV-105[0].Page3[0].List7[0].List[0].Li2[0].CheckBoxRightCaption3[0]</t>
        </is>
      </c>
      <c r="F104" s="5" t="inlineStr">
        <is>
          <t>checkbox</t>
        </is>
      </c>
      <c r="G104" s="5" t="inlineStr">
        <is>
          <t>1</t>
        </is>
      </c>
      <c r="H104" s="5" t="inlineStr"/>
      <c r="I104" s="5" t="inlineStr">
        <is>
          <t>78, 534, 87, 543</t>
        </is>
      </c>
      <c r="J104" s="5" t="inlineStr">
        <is>
          <t>question</t>
        </is>
      </c>
      <c r="K104" s="5" t="inlineStr">
        <is>
          <t>K4</t>
        </is>
      </c>
      <c r="L104" s="5" t="inlineStr">
        <is>
          <t>check if K4.records has "other"</t>
        </is>
      </c>
      <c r="M104" s="5" t="inlineStr">
        <is>
          <t>K4 == "Y"</t>
        </is>
      </c>
      <c r="N104" s="5" t="inlineStr"/>
      <c r="O104" s="5" t="inlineStr"/>
    </row>
    <row r="105">
      <c r="A105" s="5" t="n">
        <v>104</v>
      </c>
      <c r="B105" s="5" t="n">
        <v>3</v>
      </c>
      <c r="C105" s="5" t="inlineStr">
        <is>
          <t>7b</t>
        </is>
      </c>
      <c r="D105" s="5" t="inlineStr">
        <is>
          <t>other</t>
        </is>
      </c>
      <c r="E105" s="5" t="inlineStr">
        <is>
          <t>DV-105[0].Page3[0].List7[0].List[0].Li2[0].TextField[0]</t>
        </is>
      </c>
      <c r="F105" s="5" t="inlineStr">
        <is>
          <t>text</t>
        </is>
      </c>
      <c r="G105" s="5" t="inlineStr"/>
      <c r="H105" s="5" t="inlineStr"/>
      <c r="I105" s="5" t="inlineStr">
        <is>
          <t>169, 534, 547, 546</t>
        </is>
      </c>
      <c r="J105" s="5" t="inlineStr">
        <is>
          <t>question</t>
        </is>
      </c>
      <c r="K105" s="5" t="inlineStr">
        <is>
          <t>K4</t>
        </is>
      </c>
      <c r="L105" s="5">
        <f> K4.otherText</f>
        <v/>
      </c>
      <c r="M105" s="5" t="inlineStr">
        <is>
          <t>K4.records has "other"</t>
        </is>
      </c>
      <c r="N105" s="5" t="inlineStr"/>
      <c r="O105" s="5" t="inlineStr"/>
    </row>
    <row r="106">
      <c r="A106" s="5" t="n">
        <v>105</v>
      </c>
      <c r="B106" s="5" t="n">
        <v>3</v>
      </c>
      <c r="C106" s="5" t="inlineStr">
        <is>
          <t>7b</t>
        </is>
      </c>
      <c r="D106" s="5" t="inlineStr">
        <is>
          <t>Child’s employment (including volunteer and unpaid positions)</t>
        </is>
      </c>
      <c r="E106" s="5" t="inlineStr">
        <is>
          <t>DV-105[0].Page3[0].List7[0].List[0].Li2[0].CheckBoxRightCaption3[1]</t>
        </is>
      </c>
      <c r="F106" s="5" t="inlineStr">
        <is>
          <t>checkbox</t>
        </is>
      </c>
      <c r="G106" s="5" t="inlineStr">
        <is>
          <t>1</t>
        </is>
      </c>
      <c r="H106" s="5" t="inlineStr"/>
      <c r="I106" s="5" t="inlineStr">
        <is>
          <t>78, 518, 87, 527</t>
        </is>
      </c>
      <c r="J106" s="5" t="inlineStr">
        <is>
          <t>question</t>
        </is>
      </c>
      <c r="K106" s="5" t="inlineStr">
        <is>
          <t>K4</t>
        </is>
      </c>
      <c r="L106" s="5" t="inlineStr">
        <is>
          <t>check if K4.records has "child's job"</t>
        </is>
      </c>
      <c r="M106" s="5" t="inlineStr">
        <is>
          <t>K4 == "Y"</t>
        </is>
      </c>
      <c r="N106" s="5" t="inlineStr"/>
      <c r="O106" s="5" t="inlineStr"/>
    </row>
    <row r="107">
      <c r="A107" s="5" t="n">
        <v>106</v>
      </c>
      <c r="B107" s="5" t="n">
        <v>3</v>
      </c>
      <c r="C107" s="5" t="inlineStr">
        <is>
          <t>8</t>
        </is>
      </c>
      <c r="D107" s="5" t="inlineStr">
        <is>
          <t>No</t>
        </is>
      </c>
      <c r="E107" s="5" t="inlineStr">
        <is>
          <t>DV-105[0].Page3[0].List8[0].kidnap[0]</t>
        </is>
      </c>
      <c r="F107" s="5" t="inlineStr">
        <is>
          <t>checkbox</t>
        </is>
      </c>
      <c r="G107" s="5" t="inlineStr">
        <is>
          <t>1</t>
        </is>
      </c>
      <c r="H107" s="5" t="inlineStr"/>
      <c r="I107" s="5" t="inlineStr">
        <is>
          <t>63, 641, 72, 650</t>
        </is>
      </c>
      <c r="J107" s="5" t="inlineStr">
        <is>
          <t>question</t>
        </is>
      </c>
      <c r="K107" s="5" t="inlineStr">
        <is>
          <t>K5</t>
        </is>
      </c>
      <c r="L107" s="5" t="inlineStr">
        <is>
          <t>check if K5 == "N"</t>
        </is>
      </c>
      <c r="M107" s="5" t="inlineStr"/>
      <c r="N107" s="5" t="inlineStr"/>
      <c r="O107" s="5" t="inlineStr"/>
    </row>
    <row r="108">
      <c r="A108" s="5" t="n">
        <v>107</v>
      </c>
      <c r="B108" s="5" t="n">
        <v>3</v>
      </c>
      <c r="C108" s="5" t="inlineStr">
        <is>
          <t>8</t>
        </is>
      </c>
      <c r="D108" s="5" t="inlineStr">
        <is>
          <t>Yes (To ask for orders to help prevent abduction, you must complete form DV-108, Request for Orders to  Prevent Child Abduction, and attach it to this form.)</t>
        </is>
      </c>
      <c r="E108" s="5" t="inlineStr">
        <is>
          <t>DV-105[0].Page3[0].List8[0].kidnap[1]</t>
        </is>
      </c>
      <c r="F108" s="5" t="inlineStr">
        <is>
          <t>checkbox</t>
        </is>
      </c>
      <c r="G108" s="5" t="inlineStr">
        <is>
          <t>11</t>
        </is>
      </c>
      <c r="H108" s="5" t="inlineStr"/>
      <c r="I108" s="5" t="inlineStr">
        <is>
          <t>63, 658, 72, 667</t>
        </is>
      </c>
      <c r="J108" s="5" t="inlineStr">
        <is>
          <t>question</t>
        </is>
      </c>
      <c r="K108" s="5" t="inlineStr">
        <is>
          <t>K5</t>
        </is>
      </c>
      <c r="L108" s="5" t="inlineStr">
        <is>
          <t>check if K5 == "Y"</t>
        </is>
      </c>
      <c r="M108" s="5" t="inlineStr"/>
      <c r="N108" s="5" t="inlineStr">
        <is>
          <t>Export value 11. Yes adds DV-108 and DV-145.</t>
        </is>
      </c>
      <c r="O108" s="5" t="inlineStr"/>
    </row>
    <row r="109">
      <c r="A109" s="5" t="n">
        <v>108</v>
      </c>
      <c r="B109" s="5" t="n">
        <v>4</v>
      </c>
      <c r="C109" s="5" t="inlineStr">
        <is>
          <t>Caption</t>
        </is>
      </c>
      <c r="D109" s="5" t="inlineStr">
        <is>
          <t>Case Number:</t>
        </is>
      </c>
      <c r="E109" s="5" t="inlineStr">
        <is>
          <t>DV-105[0].Page4[0].Captio[0].PxCaption[0].CaseNumber[0]</t>
        </is>
      </c>
      <c r="F109" s="5" t="inlineStr">
        <is>
          <t>text</t>
        </is>
      </c>
      <c r="G109" s="5" t="inlineStr"/>
      <c r="H109" s="5" t="inlineStr"/>
      <c r="I109" s="5" t="inlineStr">
        <is>
          <t>399, 49, 572, 61</t>
        </is>
      </c>
      <c r="J109" s="5" t="inlineStr">
        <is>
          <t>question</t>
        </is>
      </c>
      <c r="K109" s="5" t="inlineStr">
        <is>
          <t>S3,S4</t>
        </is>
      </c>
      <c r="L109" s="5">
        <f> S4</f>
        <v/>
      </c>
      <c r="M109" s="5" t="inlineStr">
        <is>
          <t>S3 == "update"; otherwise blank for clerk</t>
        </is>
      </c>
      <c r="N109" s="5" t="inlineStr"/>
      <c r="O109" s="5" t="inlineStr"/>
    </row>
    <row r="110">
      <c r="A110" s="5" t="n">
        <v>109</v>
      </c>
      <c r="B110" s="5" t="n">
        <v>4</v>
      </c>
      <c r="C110" s="5" t="inlineStr">
        <is>
          <t>9</t>
        </is>
      </c>
      <c r="D110" s="5" t="inlineStr">
        <is>
          <t>No</t>
        </is>
      </c>
      <c r="E110" s="5" t="inlineStr">
        <is>
          <t>DV-105[0].Page4[0].List9[0].ChoiceItem9YesNo[0]</t>
        </is>
      </c>
      <c r="F110" s="5" t="inlineStr">
        <is>
          <t>checkbox</t>
        </is>
      </c>
      <c r="G110" s="5" t="inlineStr">
        <is>
          <t>1</t>
        </is>
      </c>
      <c r="H110" s="5" t="inlineStr"/>
      <c r="I110" s="5" t="inlineStr">
        <is>
          <t>62, 237, 71, 246</t>
        </is>
      </c>
      <c r="J110" s="5" t="inlineStr">
        <is>
          <t>question</t>
        </is>
      </c>
      <c r="K110" s="5" t="inlineStr">
        <is>
          <t>K6</t>
        </is>
      </c>
      <c r="L110" s="5" t="inlineStr">
        <is>
          <t>check if K6 == "N"</t>
        </is>
      </c>
      <c r="M110" s="5" t="inlineStr"/>
      <c r="N110" s="5" t="inlineStr"/>
      <c r="O110" s="5" t="inlineStr"/>
    </row>
    <row r="111">
      <c r="A111" s="5" t="n">
        <v>110</v>
      </c>
      <c r="B111" s="5" t="n">
        <v>4</v>
      </c>
      <c r="C111" s="5" t="inlineStr">
        <is>
          <t>9</t>
        </is>
      </c>
      <c r="D111" s="5" t="inlineStr">
        <is>
          <t>Yes (If yes, complete the section below):</t>
        </is>
      </c>
      <c r="E111" s="5" t="inlineStr">
        <is>
          <t>DV-105[0].Page4[0].List9[0].ChoiceItem9YesNo[1]</t>
        </is>
      </c>
      <c r="F111" s="5" t="inlineStr">
        <is>
          <t>checkbox</t>
        </is>
      </c>
      <c r="G111" s="5" t="inlineStr">
        <is>
          <t>12</t>
        </is>
      </c>
      <c r="H111" s="5" t="inlineStr"/>
      <c r="I111" s="5" t="inlineStr">
        <is>
          <t>62, 252, 71, 261</t>
        </is>
      </c>
      <c r="J111" s="5" t="inlineStr">
        <is>
          <t>question</t>
        </is>
      </c>
      <c r="K111" s="5" t="inlineStr">
        <is>
          <t>K6</t>
        </is>
      </c>
      <c r="L111" s="5" t="inlineStr">
        <is>
          <t>check if K6 == "Y"</t>
        </is>
      </c>
      <c r="M111" s="5" t="inlineStr"/>
      <c r="N111" s="5" t="inlineStr">
        <is>
          <t>Export value 12.</t>
        </is>
      </c>
      <c r="O111" s="5" t="inlineStr"/>
    </row>
    <row r="112">
      <c r="A112" s="5" t="n">
        <v>111</v>
      </c>
      <c r="B112" s="5" t="n">
        <v>4</v>
      </c>
      <c r="C112" s="5" t="inlineStr">
        <is>
          <t>9a</t>
        </is>
      </c>
      <c r="D112" s="5" t="inlineStr">
        <is>
          <t>Sole to me</t>
        </is>
      </c>
      <c r="E112" s="5" t="inlineStr">
        <is>
          <t>DV-105[0].Page4[0].List9[0].YesSub[0].CheckBoxRightCaptionItem9[0]</t>
        </is>
      </c>
      <c r="F112" s="5" t="inlineStr">
        <is>
          <t>checkbox</t>
        </is>
      </c>
      <c r="G112" s="5" t="inlineStr">
        <is>
          <t>1</t>
        </is>
      </c>
      <c r="H112" s="5" t="inlineStr"/>
      <c r="I112" s="5" t="inlineStr">
        <is>
          <t>79, 290, 88, 299</t>
        </is>
      </c>
      <c r="J112" s="5" t="inlineStr">
        <is>
          <t>question</t>
        </is>
      </c>
      <c r="K112" s="5" t="inlineStr">
        <is>
          <t>K6</t>
        </is>
      </c>
      <c r="L112" s="5" t="inlineStr">
        <is>
          <t>check if K6.legal == "sole to me"</t>
        </is>
      </c>
      <c r="M112" s="5" t="inlineStr">
        <is>
          <t>K6 == "Y"</t>
        </is>
      </c>
      <c r="N112" s="5" t="inlineStr"/>
      <c r="O112" s="5" t="inlineStr"/>
    </row>
    <row r="113">
      <c r="A113" s="5" t="n">
        <v>112</v>
      </c>
      <c r="B113" s="5" t="n">
        <v>4</v>
      </c>
      <c r="C113" s="5" t="inlineStr">
        <is>
          <t>9a</t>
        </is>
      </c>
      <c r="D113" s="5" t="inlineStr">
        <is>
          <t>Sole to person in 2</t>
        </is>
      </c>
      <c r="E113" s="5" t="inlineStr">
        <is>
          <t>DV-105[0].Page4[0].List9[0].YesSub[0].CheckBoxRightCaptionItem9[1]</t>
        </is>
      </c>
      <c r="F113" s="5" t="inlineStr">
        <is>
          <t>checkbox</t>
        </is>
      </c>
      <c r="G113" s="5" t="inlineStr">
        <is>
          <t>11</t>
        </is>
      </c>
      <c r="H113" s="5" t="inlineStr"/>
      <c r="I113" s="5" t="inlineStr">
        <is>
          <t>79, 303, 88, 312</t>
        </is>
      </c>
      <c r="J113" s="5" t="inlineStr">
        <is>
          <t>question</t>
        </is>
      </c>
      <c r="K113" s="5" t="inlineStr">
        <is>
          <t>K6</t>
        </is>
      </c>
      <c r="L113" s="5" t="inlineStr">
        <is>
          <t>check if K6.legal == "sole to respondent"</t>
        </is>
      </c>
      <c r="M113" s="5" t="inlineStr">
        <is>
          <t>K6 == "Y"</t>
        </is>
      </c>
      <c r="N113" s="5" t="inlineStr"/>
      <c r="O113" s="5" t="inlineStr"/>
    </row>
    <row r="114">
      <c r="A114" s="5" t="n">
        <v>113</v>
      </c>
      <c r="B114" s="5" t="n">
        <v>4</v>
      </c>
      <c r="C114" s="5" t="inlineStr">
        <is>
          <t>9a</t>
        </is>
      </c>
      <c r="D114" s="5" t="inlineStr">
        <is>
          <t>Jointly (shared) by me and person in 2</t>
        </is>
      </c>
      <c r="E114" s="5" t="inlineStr">
        <is>
          <t>DV-105[0].Page4[0].List9[0].YesSub[0].CheckBoxRightCaptionItem9[2]</t>
        </is>
      </c>
      <c r="F114" s="5" t="inlineStr">
        <is>
          <t>checkbox</t>
        </is>
      </c>
      <c r="G114" s="5" t="inlineStr">
        <is>
          <t>21</t>
        </is>
      </c>
      <c r="H114" s="5" t="inlineStr"/>
      <c r="I114" s="5" t="inlineStr">
        <is>
          <t>79, 316, 88, 325</t>
        </is>
      </c>
      <c r="J114" s="5" t="inlineStr">
        <is>
          <t>question</t>
        </is>
      </c>
      <c r="K114" s="5" t="inlineStr">
        <is>
          <t>K6</t>
        </is>
      </c>
      <c r="L114" s="5" t="inlineStr">
        <is>
          <t>check if K6.legal == "joint"</t>
        </is>
      </c>
      <c r="M114" s="5" t="inlineStr">
        <is>
          <t>K6 == "Y"</t>
        </is>
      </c>
      <c r="N114" s="5" t="inlineStr"/>
      <c r="O114" s="5" t="inlineStr"/>
    </row>
    <row r="115">
      <c r="A115" s="5" t="n">
        <v>114</v>
      </c>
      <c r="B115" s="5" t="n">
        <v>4</v>
      </c>
      <c r="C115" s="5" t="inlineStr">
        <is>
          <t>9a</t>
        </is>
      </c>
      <c r="D115" s="5" t="inlineStr">
        <is>
          <t>Other (describe):</t>
        </is>
      </c>
      <c r="E115" s="5" t="inlineStr">
        <is>
          <t>DV-105[0].Page4[0].List9[0].YesSub[0].CheckBoxRightCaptionItem9[3]</t>
        </is>
      </c>
      <c r="F115" s="5" t="inlineStr">
        <is>
          <t>checkbox</t>
        </is>
      </c>
      <c r="G115" s="5" t="inlineStr">
        <is>
          <t>33</t>
        </is>
      </c>
      <c r="H115" s="5" t="inlineStr"/>
      <c r="I115" s="5" t="inlineStr">
        <is>
          <t>79, 330, 88, 339</t>
        </is>
      </c>
      <c r="J115" s="5" t="inlineStr">
        <is>
          <t>question</t>
        </is>
      </c>
      <c r="K115" s="5" t="inlineStr">
        <is>
          <t>K6</t>
        </is>
      </c>
      <c r="L115" s="5" t="inlineStr">
        <is>
          <t>check if K6.legal == "other"</t>
        </is>
      </c>
      <c r="M115" s="5" t="inlineStr">
        <is>
          <t>K6 == "Y"</t>
        </is>
      </c>
      <c r="N115" s="5" t="inlineStr"/>
      <c r="O115" s="5" t="inlineStr"/>
    </row>
    <row r="116">
      <c r="A116" s="5" t="n">
        <v>115</v>
      </c>
      <c r="B116" s="5" t="n">
        <v>4</v>
      </c>
      <c r="C116" s="5" t="inlineStr">
        <is>
          <t>9a</t>
        </is>
      </c>
      <c r="D116" s="5" t="inlineStr">
        <is>
          <t>describe</t>
        </is>
      </c>
      <c r="E116" s="5" t="inlineStr">
        <is>
          <t>DV-105[0].Page4[0].List9[0].YesSub[0].TextField1[0]</t>
        </is>
      </c>
      <c r="F116" s="5" t="inlineStr">
        <is>
          <t>text</t>
        </is>
      </c>
      <c r="G116" s="5" t="inlineStr"/>
      <c r="H116" s="5" t="inlineStr"/>
      <c r="I116" s="5" t="inlineStr">
        <is>
          <t>94, 341, 307, 353</t>
        </is>
      </c>
      <c r="J116" s="5" t="inlineStr">
        <is>
          <t>question</t>
        </is>
      </c>
      <c r="K116" s="5" t="inlineStr">
        <is>
          <t>K6</t>
        </is>
      </c>
      <c r="L116" s="5">
        <f> K6.legalOther</f>
        <v/>
      </c>
      <c r="M116" s="5" t="inlineStr">
        <is>
          <t>K6.legal == "other"</t>
        </is>
      </c>
      <c r="N116" s="5" t="inlineStr"/>
      <c r="O116" s="5" t="inlineStr"/>
    </row>
    <row r="117">
      <c r="A117" s="5" t="n">
        <v>116</v>
      </c>
      <c r="B117" s="5" t="n">
        <v>4</v>
      </c>
      <c r="C117" s="5" t="inlineStr">
        <is>
          <t>9b</t>
        </is>
      </c>
      <c r="D117" s="5" t="inlineStr">
        <is>
          <t>Sole to me</t>
        </is>
      </c>
      <c r="E117" s="5" t="inlineStr">
        <is>
          <t>DV-105[0].Page4[0].List9[0].YesSub[0].CheckBoxRightCaptionItem9PhyCust[0]</t>
        </is>
      </c>
      <c r="F117" s="5" t="inlineStr">
        <is>
          <t>checkbox</t>
        </is>
      </c>
      <c r="G117" s="5" t="inlineStr">
        <is>
          <t>1</t>
        </is>
      </c>
      <c r="H117" s="5" t="inlineStr"/>
      <c r="I117" s="5" t="inlineStr">
        <is>
          <t>335, 290, 344, 299</t>
        </is>
      </c>
      <c r="J117" s="5" t="inlineStr">
        <is>
          <t>question</t>
        </is>
      </c>
      <c r="K117" s="5" t="inlineStr">
        <is>
          <t>K6</t>
        </is>
      </c>
      <c r="L117" s="5" t="inlineStr">
        <is>
          <t>check if K6.physical == "sole to me"</t>
        </is>
      </c>
      <c r="M117" s="5" t="inlineStr">
        <is>
          <t>K6 == "Y"</t>
        </is>
      </c>
      <c r="N117" s="5" t="inlineStr"/>
      <c r="O117" s="5" t="inlineStr"/>
    </row>
    <row r="118">
      <c r="A118" s="5" t="n">
        <v>117</v>
      </c>
      <c r="B118" s="5" t="n">
        <v>4</v>
      </c>
      <c r="C118" s="5" t="inlineStr">
        <is>
          <t>9b</t>
        </is>
      </c>
      <c r="D118" s="5" t="inlineStr">
        <is>
          <t>Sole to person in 2</t>
        </is>
      </c>
      <c r="E118" s="5" t="inlineStr">
        <is>
          <t>DV-105[0].Page4[0].List9[0].YesSub[0].CheckBoxRightCaptionItem9PhyCust[1]</t>
        </is>
      </c>
      <c r="F118" s="5" t="inlineStr">
        <is>
          <t>checkbox</t>
        </is>
      </c>
      <c r="G118" s="5" t="inlineStr">
        <is>
          <t>11</t>
        </is>
      </c>
      <c r="H118" s="5" t="inlineStr"/>
      <c r="I118" s="5" t="inlineStr">
        <is>
          <t>335, 303, 344, 312</t>
        </is>
      </c>
      <c r="J118" s="5" t="inlineStr">
        <is>
          <t>question</t>
        </is>
      </c>
      <c r="K118" s="5" t="inlineStr">
        <is>
          <t>K6</t>
        </is>
      </c>
      <c r="L118" s="5" t="inlineStr">
        <is>
          <t>check if K6.physical == "sole to respondent"</t>
        </is>
      </c>
      <c r="M118" s="5" t="inlineStr">
        <is>
          <t>K6 == "Y"</t>
        </is>
      </c>
      <c r="N118" s="5" t="inlineStr"/>
      <c r="O118" s="5" t="inlineStr"/>
    </row>
    <row r="119">
      <c r="A119" s="5" t="n">
        <v>118</v>
      </c>
      <c r="B119" s="5" t="n">
        <v>4</v>
      </c>
      <c r="C119" s="5" t="inlineStr">
        <is>
          <t>9b</t>
        </is>
      </c>
      <c r="D119" s="5" t="inlineStr">
        <is>
          <t>Jointly (shared) by me and person in 2</t>
        </is>
      </c>
      <c r="E119" s="5" t="inlineStr">
        <is>
          <t>DV-105[0].Page4[0].List9[0].YesSub[0].CheckBoxRightCaptionItem9PhyCust[2]</t>
        </is>
      </c>
      <c r="F119" s="5" t="inlineStr">
        <is>
          <t>checkbox</t>
        </is>
      </c>
      <c r="G119" s="5" t="inlineStr">
        <is>
          <t>21</t>
        </is>
      </c>
      <c r="H119" s="5" t="inlineStr"/>
      <c r="I119" s="5" t="inlineStr">
        <is>
          <t>335, 317, 344, 326</t>
        </is>
      </c>
      <c r="J119" s="5" t="inlineStr">
        <is>
          <t>question</t>
        </is>
      </c>
      <c r="K119" s="5" t="inlineStr">
        <is>
          <t>K6</t>
        </is>
      </c>
      <c r="L119" s="5" t="inlineStr">
        <is>
          <t>check if K6.physical == "joint"</t>
        </is>
      </c>
      <c r="M119" s="5" t="inlineStr">
        <is>
          <t>K6 == "Y"</t>
        </is>
      </c>
      <c r="N119" s="5" t="inlineStr"/>
      <c r="O119" s="5" t="inlineStr"/>
    </row>
    <row r="120">
      <c r="A120" s="5" t="n">
        <v>119</v>
      </c>
      <c r="B120" s="5" t="n">
        <v>4</v>
      </c>
      <c r="C120" s="5" t="inlineStr">
        <is>
          <t>9b</t>
        </is>
      </c>
      <c r="D120" s="5" t="inlineStr">
        <is>
          <t>Other (describe):</t>
        </is>
      </c>
      <c r="E120" s="5" t="inlineStr">
        <is>
          <t>DV-105[0].Page4[0].List9[0].YesSub[0].CheckBoxRightCaptionItem9PhyCust[3]</t>
        </is>
      </c>
      <c r="F120" s="5" t="inlineStr">
        <is>
          <t>checkbox</t>
        </is>
      </c>
      <c r="G120" s="5" t="inlineStr">
        <is>
          <t>23</t>
        </is>
      </c>
      <c r="H120" s="5" t="inlineStr"/>
      <c r="I120" s="5" t="inlineStr">
        <is>
          <t>335, 330, 344, 339</t>
        </is>
      </c>
      <c r="J120" s="5" t="inlineStr">
        <is>
          <t>question</t>
        </is>
      </c>
      <c r="K120" s="5" t="inlineStr">
        <is>
          <t>K6</t>
        </is>
      </c>
      <c r="L120" s="5" t="inlineStr">
        <is>
          <t>check if K6.physical == "other"</t>
        </is>
      </c>
      <c r="M120" s="5" t="inlineStr">
        <is>
          <t>K6 == "Y"</t>
        </is>
      </c>
      <c r="N120" s="5" t="inlineStr"/>
      <c r="O120" s="5" t="inlineStr"/>
    </row>
    <row r="121">
      <c r="A121" s="5" t="n">
        <v>120</v>
      </c>
      <c r="B121" s="5" t="n">
        <v>4</v>
      </c>
      <c r="C121" s="5" t="inlineStr">
        <is>
          <t>9b</t>
        </is>
      </c>
      <c r="D121" s="5" t="inlineStr">
        <is>
          <t>describe</t>
        </is>
      </c>
      <c r="E121" s="5" t="inlineStr">
        <is>
          <t>DV-105[0].Page4[0].List9[0].YesSub[0].TextField2[0]</t>
        </is>
      </c>
      <c r="F121" s="5" t="inlineStr">
        <is>
          <t>text</t>
        </is>
      </c>
      <c r="G121" s="5" t="inlineStr"/>
      <c r="H121" s="5" t="inlineStr"/>
      <c r="I121" s="5" t="inlineStr">
        <is>
          <t>350, 341, 564, 353</t>
        </is>
      </c>
      <c r="J121" s="5" t="inlineStr">
        <is>
          <t>question</t>
        </is>
      </c>
      <c r="K121" s="5" t="inlineStr">
        <is>
          <t>K6</t>
        </is>
      </c>
      <c r="L121" s="5">
        <f> K6.physicalOther</f>
        <v/>
      </c>
      <c r="M121" s="5" t="inlineStr">
        <is>
          <t>K6.physical == "other"</t>
        </is>
      </c>
      <c r="N121" s="5" t="inlineStr"/>
      <c r="O121" s="5" t="inlineStr"/>
    </row>
    <row r="122">
      <c r="A122" s="5" t="n">
        <v>121</v>
      </c>
      <c r="B122" s="5" t="n">
        <v>4</v>
      </c>
      <c r="C122" s="5" t="inlineStr">
        <is>
          <t>10</t>
        </is>
      </c>
      <c r="D122" s="5" t="inlineStr">
        <is>
          <t>No, I ask the judge to order no visits for the person in 2 (Stop here. You have finished completing this form.)</t>
        </is>
      </c>
      <c r="E122" s="5" t="inlineStr">
        <is>
          <t>DV-105[0].Page4[0].List10[0].ChoiceItem10[0]</t>
        </is>
      </c>
      <c r="F122" s="5" t="inlineStr">
        <is>
          <t>checkbox</t>
        </is>
      </c>
      <c r="G122" s="5" t="inlineStr">
        <is>
          <t>1</t>
        </is>
      </c>
      <c r="H122" s="5" t="inlineStr"/>
      <c r="I122" s="5" t="inlineStr">
        <is>
          <t>63, 557, 72, 566</t>
        </is>
      </c>
      <c r="J122" s="5" t="inlineStr">
        <is>
          <t>question</t>
        </is>
      </c>
      <c r="K122" s="5" t="inlineStr">
        <is>
          <t>K7</t>
        </is>
      </c>
      <c r="L122" s="5" t="inlineStr">
        <is>
          <t>check if K7 == "no visits"</t>
        </is>
      </c>
      <c r="M122" s="5" t="inlineStr"/>
      <c r="N122" s="5" t="inlineStr">
        <is>
          <t>Exports 1 / 12 / 15.</t>
        </is>
      </c>
      <c r="O122" s="5" t="inlineStr"/>
    </row>
    <row r="123">
      <c r="A123" s="5" t="n">
        <v>122</v>
      </c>
      <c r="B123" s="5" t="n">
        <v>4</v>
      </c>
      <c r="C123" s="5" t="inlineStr">
        <is>
          <t>10</t>
        </is>
      </c>
      <c r="D123" s="5" t="inlineStr">
        <is>
          <t>Yes  (Go to 11.)</t>
        </is>
      </c>
      <c r="E123" s="5" t="inlineStr">
        <is>
          <t>DV-105[0].Page4[0].List10[0].ChoiceItem10[1]</t>
        </is>
      </c>
      <c r="F123" s="5" t="inlineStr">
        <is>
          <t>checkbox</t>
        </is>
      </c>
      <c r="G123" s="5" t="inlineStr">
        <is>
          <t>12</t>
        </is>
      </c>
      <c r="H123" s="5" t="inlineStr"/>
      <c r="I123" s="5" t="inlineStr">
        <is>
          <t>63, 573, 72, 582</t>
        </is>
      </c>
      <c r="J123" s="5" t="inlineStr">
        <is>
          <t>question</t>
        </is>
      </c>
      <c r="K123" s="5" t="inlineStr">
        <is>
          <t>K7</t>
        </is>
      </c>
      <c r="L123" s="5" t="inlineStr">
        <is>
          <t>check if K7 == "yes"</t>
        </is>
      </c>
      <c r="M123" s="5" t="inlineStr"/>
      <c r="N123" s="5" t="inlineStr"/>
      <c r="O123" s="5" t="inlineStr"/>
    </row>
    <row r="124">
      <c r="A124" s="5" t="n">
        <v>123</v>
      </c>
      <c r="B124" s="5" t="n">
        <v>4</v>
      </c>
      <c r="C124" s="5" t="inlineStr">
        <is>
          <t>10</t>
        </is>
      </c>
      <c r="D124" s="5" t="inlineStr">
        <is>
          <t>Yes, but only virtual visits (Go to 11.)</t>
        </is>
      </c>
      <c r="E124" s="5" t="inlineStr">
        <is>
          <t>DV-105[0].Page4[0].List10[0].ChoiceItem10[2]</t>
        </is>
      </c>
      <c r="F124" s="5" t="inlineStr">
        <is>
          <t>checkbox</t>
        </is>
      </c>
      <c r="G124" s="5" t="inlineStr">
        <is>
          <t>15</t>
        </is>
      </c>
      <c r="H124" s="5" t="inlineStr"/>
      <c r="I124" s="5" t="inlineStr">
        <is>
          <t>63, 590, 72, 599</t>
        </is>
      </c>
      <c r="J124" s="5" t="inlineStr">
        <is>
          <t>question</t>
        </is>
      </c>
      <c r="K124" s="5" t="inlineStr">
        <is>
          <t>K7</t>
        </is>
      </c>
      <c r="L124" s="5" t="inlineStr">
        <is>
          <t>check if K7 == "virtual only"</t>
        </is>
      </c>
      <c r="M124" s="5" t="inlineStr"/>
      <c r="N124" s="5" t="inlineStr"/>
      <c r="O124" s="5" t="inlineStr"/>
    </row>
    <row r="125">
      <c r="A125" s="5" t="n">
        <v>124</v>
      </c>
      <c r="B125" s="5" t="n">
        <v>4</v>
      </c>
      <c r="C125" s="5" t="inlineStr">
        <is>
          <t>11</t>
        </is>
      </c>
      <c r="D125" s="5" t="inlineStr">
        <is>
          <t>Yes (Go to 12.)</t>
        </is>
      </c>
      <c r="E125" s="5" t="inlineStr">
        <is>
          <t>DV-105[0].Page4[0].List11[0].ChoiceItem11[0]</t>
        </is>
      </c>
      <c r="F125" s="5" t="inlineStr">
        <is>
          <t>checkbox</t>
        </is>
      </c>
      <c r="G125" s="5" t="inlineStr">
        <is>
          <t>2</t>
        </is>
      </c>
      <c r="H125" s="5" t="inlineStr"/>
      <c r="I125" s="5" t="inlineStr">
        <is>
          <t>63, 672, 72, 681</t>
        </is>
      </c>
      <c r="J125" s="5" t="inlineStr">
        <is>
          <t>question</t>
        </is>
      </c>
      <c r="K125" s="5" t="inlineStr">
        <is>
          <t>K8</t>
        </is>
      </c>
      <c r="L125" s="5" t="inlineStr">
        <is>
          <t>check if K8 == "Y"</t>
        </is>
      </c>
      <c r="M125" s="5" t="inlineStr">
        <is>
          <t>K7 != "no visits"</t>
        </is>
      </c>
      <c r="N125" s="5" t="inlineStr">
        <is>
          <t>Yes is the first widget (export 2); No is [1] (export 11).</t>
        </is>
      </c>
      <c r="O125" s="5" t="inlineStr"/>
    </row>
    <row r="126">
      <c r="A126" s="5" t="n">
        <v>125</v>
      </c>
      <c r="B126" s="5" t="n">
        <v>4</v>
      </c>
      <c r="C126" s="5" t="inlineStr">
        <is>
          <t>11</t>
        </is>
      </c>
      <c r="D126" s="5" t="inlineStr">
        <is>
          <t>No (Go to 13 .)</t>
        </is>
      </c>
      <c r="E126" s="5" t="inlineStr">
        <is>
          <t>DV-105[0].Page4[0].List11[0].ChoiceItem11[1]</t>
        </is>
      </c>
      <c r="F126" s="5" t="inlineStr">
        <is>
          <t>checkbox</t>
        </is>
      </c>
      <c r="G126" s="5" t="inlineStr">
        <is>
          <t>11</t>
        </is>
      </c>
      <c r="H126" s="5" t="inlineStr"/>
      <c r="I126" s="5" t="inlineStr">
        <is>
          <t>63, 689, 72, 698</t>
        </is>
      </c>
      <c r="J126" s="5" t="inlineStr">
        <is>
          <t>question</t>
        </is>
      </c>
      <c r="K126" s="5" t="inlineStr">
        <is>
          <t>K8</t>
        </is>
      </c>
      <c r="L126" s="5" t="inlineStr">
        <is>
          <t>check if K8 == "N"</t>
        </is>
      </c>
      <c r="M126" s="5" t="inlineStr">
        <is>
          <t>K7 != "no visits"</t>
        </is>
      </c>
      <c r="N126" s="5" t="inlineStr"/>
      <c r="O126" s="5" t="inlineStr"/>
    </row>
    <row r="127">
      <c r="A127" s="5" t="n">
        <v>126</v>
      </c>
      <c r="B127" s="5" t="n">
        <v>5</v>
      </c>
      <c r="C127" s="5" t="inlineStr">
        <is>
          <t>Caption</t>
        </is>
      </c>
      <c r="D127" s="5" t="inlineStr">
        <is>
          <t>Case Number:</t>
        </is>
      </c>
      <c r="E127" s="5" t="inlineStr">
        <is>
          <t>DV-105[0].Page5[0].Caption[0].PxCaption[0].CaseNumber[0]</t>
        </is>
      </c>
      <c r="F127" s="5" t="inlineStr">
        <is>
          <t>text</t>
        </is>
      </c>
      <c r="G127" s="5" t="inlineStr"/>
      <c r="H127" s="5" t="inlineStr"/>
      <c r="I127" s="5" t="inlineStr">
        <is>
          <t>399, 49, 572, 61</t>
        </is>
      </c>
      <c r="J127" s="5" t="inlineStr">
        <is>
          <t>question</t>
        </is>
      </c>
      <c r="K127" s="5" t="inlineStr">
        <is>
          <t>S3,S4</t>
        </is>
      </c>
      <c r="L127" s="5">
        <f> S4</f>
        <v/>
      </c>
      <c r="M127" s="5" t="inlineStr">
        <is>
          <t>S3 == "update"; otherwise blank for clerk</t>
        </is>
      </c>
      <c r="N127" s="5" t="inlineStr"/>
      <c r="O127" s="5" t="inlineStr"/>
    </row>
    <row r="128">
      <c r="A128" s="5" t="n">
        <v>127</v>
      </c>
      <c r="B128" s="5" t="n">
        <v>5</v>
      </c>
      <c r="C128" s="5" t="inlineStr">
        <is>
          <t>12a</t>
        </is>
      </c>
      <c r="D128" s="5" t="inlineStr">
        <is>
          <t>Professional (list name, if known):</t>
        </is>
      </c>
      <c r="E128" s="5" t="inlineStr">
        <is>
          <t>DV-105[0].Page5[0].List12[0].List[0].Li1[0].List[0].Li1[0].choiceItem12a[0]</t>
        </is>
      </c>
      <c r="F128" s="5" t="inlineStr">
        <is>
          <t>checkbox</t>
        </is>
      </c>
      <c r="G128" s="5" t="inlineStr">
        <is>
          <t>11</t>
        </is>
      </c>
      <c r="H128" s="5" t="inlineStr"/>
      <c r="I128" s="5" t="inlineStr">
        <is>
          <t>101, 124, 110, 133</t>
        </is>
      </c>
      <c r="J128" s="5" t="inlineStr">
        <is>
          <t>question</t>
        </is>
      </c>
      <c r="K128" s="5" t="inlineStr">
        <is>
          <t>K9</t>
        </is>
      </c>
      <c r="L128" s="5" t="inlineStr">
        <is>
          <t>check if K9.type == "professional"</t>
        </is>
      </c>
      <c r="M128" s="5" t="inlineStr">
        <is>
          <t>K8 == "Y"</t>
        </is>
      </c>
      <c r="N128" s="5" t="inlineStr"/>
      <c r="O128" s="5" t="inlineStr"/>
    </row>
    <row r="129">
      <c r="A129" s="5" t="n">
        <v>128</v>
      </c>
      <c r="B129" s="5" t="n">
        <v>5</v>
      </c>
      <c r="C129" s="5" t="inlineStr">
        <is>
          <t>12a</t>
        </is>
      </c>
      <c r="D129" s="5" t="inlineStr">
        <is>
          <t>list name, if known</t>
        </is>
      </c>
      <c r="E129" s="5" t="inlineStr">
        <is>
          <t>DV-105[0].Page5[0].List12[0].List[0].Li1[0].List[0].Li1[0].TextField2[0]</t>
        </is>
      </c>
      <c r="F129" s="5" t="inlineStr">
        <is>
          <t>text</t>
        </is>
      </c>
      <c r="G129" s="5" t="inlineStr"/>
      <c r="H129" s="5" t="inlineStr"/>
      <c r="I129" s="5" t="inlineStr">
        <is>
          <t>269, 121, 574, 136</t>
        </is>
      </c>
      <c r="J129" s="5" t="inlineStr">
        <is>
          <t>question</t>
        </is>
      </c>
      <c r="K129" s="5" t="inlineStr">
        <is>
          <t>K9</t>
        </is>
      </c>
      <c r="L129" s="5">
        <f> K9.name</f>
        <v/>
      </c>
      <c r="M129" s="5" t="inlineStr">
        <is>
          <t>K8 == "Y" and type == "professional"</t>
        </is>
      </c>
      <c r="N129" s="5" t="inlineStr"/>
      <c r="O129" s="5" t="inlineStr"/>
    </row>
    <row r="130">
      <c r="A130" s="5" t="n">
        <v>129</v>
      </c>
      <c r="B130" s="5" t="n">
        <v>5</v>
      </c>
      <c r="C130" s="5" t="inlineStr">
        <is>
          <t>12a</t>
        </is>
      </c>
      <c r="D130" s="5" t="inlineStr">
        <is>
          <t>%</t>
        </is>
      </c>
      <c r="E130" s="5" t="inlineStr">
        <is>
          <t>DV-105[0].Page5[0].List12[0].List[0].Li1[0].List[0].Li1[0].NumericField1[0]</t>
        </is>
      </c>
      <c r="F130" s="5" t="inlineStr">
        <is>
          <t>text</t>
        </is>
      </c>
      <c r="G130" s="5" t="inlineStr"/>
      <c r="H130" s="5" t="inlineStr"/>
      <c r="I130" s="5" t="inlineStr">
        <is>
          <t>251, 138, 275, 154</t>
        </is>
      </c>
      <c r="J130" s="5" t="inlineStr">
        <is>
          <t>question</t>
        </is>
      </c>
      <c r="K130" s="5" t="inlineStr">
        <is>
          <t>K9</t>
        </is>
      </c>
      <c r="L130" s="5">
        <f> K9.feeMe</f>
        <v/>
      </c>
      <c r="M130" s="5" t="inlineStr">
        <is>
          <t>K8 == "Y" and type == "professional"</t>
        </is>
      </c>
      <c r="N130" s="5" t="inlineStr">
        <is>
          <t>Fee split, percent.</t>
        </is>
      </c>
      <c r="O130" s="5" t="inlineStr"/>
    </row>
    <row r="131">
      <c r="A131" s="5" t="n">
        <v>130</v>
      </c>
      <c r="B131" s="5" t="n">
        <v>5</v>
      </c>
      <c r="C131" s="5" t="inlineStr">
        <is>
          <t>12a</t>
        </is>
      </c>
      <c r="D131" s="5" t="inlineStr">
        <is>
          <t>%</t>
        </is>
      </c>
      <c r="E131" s="5" t="inlineStr">
        <is>
          <t>DV-105[0].Page5[0].List12[0].List[0].Li1[0].List[0].Li1[0].NumericField2[0]</t>
        </is>
      </c>
      <c r="F131" s="5" t="inlineStr">
        <is>
          <t>text</t>
        </is>
      </c>
      <c r="G131" s="5" t="inlineStr"/>
      <c r="H131" s="5" t="inlineStr"/>
      <c r="I131" s="5" t="inlineStr">
        <is>
          <t>363, 138, 388, 154</t>
        </is>
      </c>
      <c r="J131" s="5" t="inlineStr">
        <is>
          <t>question</t>
        </is>
      </c>
      <c r="K131" s="5" t="inlineStr">
        <is>
          <t>K9</t>
        </is>
      </c>
      <c r="L131" s="5">
        <f> K9.feeRespondent</f>
        <v/>
      </c>
      <c r="M131" s="5" t="inlineStr">
        <is>
          <t>K8 == "Y" and type == "professional"</t>
        </is>
      </c>
      <c r="N131" s="5" t="inlineStr"/>
      <c r="O131" s="5" t="inlineStr"/>
    </row>
    <row r="132">
      <c r="A132" s="5" t="n">
        <v>131</v>
      </c>
      <c r="B132" s="5" t="n">
        <v>5</v>
      </c>
      <c r="C132" s="5" t="inlineStr">
        <is>
          <t>12a</t>
        </is>
      </c>
      <c r="D132" s="5" t="inlineStr">
        <is>
          <t>Other:</t>
        </is>
      </c>
      <c r="E132" s="5" t="inlineStr">
        <is>
          <t>DV-105[0].Page5[0].List12[0].List[0].Li1[0].List[0].Li1[0].TextField3[0]</t>
        </is>
      </c>
      <c r="F132" s="5" t="inlineStr">
        <is>
          <t>text</t>
        </is>
      </c>
      <c r="G132" s="5" t="inlineStr"/>
      <c r="H132" s="5" t="inlineStr"/>
      <c r="I132" s="5" t="inlineStr">
        <is>
          <t>444, 138, 527, 154</t>
        </is>
      </c>
      <c r="J132" s="5" t="inlineStr">
        <is>
          <t>question</t>
        </is>
      </c>
      <c r="K132" s="5" t="inlineStr">
        <is>
          <t>K9</t>
        </is>
      </c>
      <c r="L132" s="5">
        <f> K9.feeOtherName</f>
        <v/>
      </c>
      <c r="M132" s="5" t="inlineStr">
        <is>
          <t>K8 == "Y" and type == "professional"</t>
        </is>
      </c>
      <c r="N132" s="5" t="inlineStr"/>
      <c r="O132" s="5" t="inlineStr"/>
    </row>
    <row r="133">
      <c r="A133" s="5" t="n">
        <v>132</v>
      </c>
      <c r="B133" s="5" t="n">
        <v>5</v>
      </c>
      <c r="C133" s="5" t="inlineStr">
        <is>
          <t>12a</t>
        </is>
      </c>
      <c r="D133" s="5" t="inlineStr">
        <is>
          <t>%</t>
        </is>
      </c>
      <c r="E133" s="5" t="inlineStr">
        <is>
          <t>DV-105[0].Page5[0].List12[0].List[0].Li1[0].List[0].Li1[0].NumericField3[0]</t>
        </is>
      </c>
      <c r="F133" s="5" t="inlineStr">
        <is>
          <t>text</t>
        </is>
      </c>
      <c r="G133" s="5" t="inlineStr"/>
      <c r="H133" s="5" t="inlineStr"/>
      <c r="I133" s="5" t="inlineStr">
        <is>
          <t>533, 138, 558, 154</t>
        </is>
      </c>
      <c r="J133" s="5" t="inlineStr">
        <is>
          <t>question</t>
        </is>
      </c>
      <c r="K133" s="5" t="inlineStr">
        <is>
          <t>K9</t>
        </is>
      </c>
      <c r="L133" s="5">
        <f> K9.feeOther</f>
        <v/>
      </c>
      <c r="M133" s="5" t="inlineStr">
        <is>
          <t>K8 == "Y" and type == "professional"</t>
        </is>
      </c>
      <c r="N133" s="5" t="inlineStr"/>
      <c r="O133" s="5" t="inlineStr"/>
    </row>
    <row r="134">
      <c r="A134" s="5" t="n">
        <v>133</v>
      </c>
      <c r="B134" s="5" t="n">
        <v>5</v>
      </c>
      <c r="C134" s="5" t="inlineStr">
        <is>
          <t>12a</t>
        </is>
      </c>
      <c r="D134" s="5" t="inlineStr">
        <is>
          <t>Nonprofessional, like a trusted relative or friend</t>
        </is>
      </c>
      <c r="E134" s="5" t="inlineStr">
        <is>
          <t>DV-105[0].Page5[0].List12[0].List[0].Li1[0].List[0].Li2[0].choiceItem12a[0]</t>
        </is>
      </c>
      <c r="F134" s="5" t="inlineStr">
        <is>
          <t>checkbox</t>
        </is>
      </c>
      <c r="G134" s="5" t="inlineStr">
        <is>
          <t>1</t>
        </is>
      </c>
      <c r="H134" s="5" t="inlineStr"/>
      <c r="I134" s="5" t="inlineStr">
        <is>
          <t>101, 163, 110, 172</t>
        </is>
      </c>
      <c r="J134" s="5" t="inlineStr">
        <is>
          <t>question</t>
        </is>
      </c>
      <c r="K134" s="5" t="inlineStr">
        <is>
          <t>K9</t>
        </is>
      </c>
      <c r="L134" s="5" t="inlineStr">
        <is>
          <t>check if K9.type == "trusted person"</t>
        </is>
      </c>
      <c r="M134" s="5" t="inlineStr">
        <is>
          <t>K8 == "Y"</t>
        </is>
      </c>
      <c r="N134" s="5" t="inlineStr"/>
      <c r="O134" s="5" t="inlineStr"/>
    </row>
    <row r="135">
      <c r="A135" s="5" t="n">
        <v>134</v>
      </c>
      <c r="B135" s="5" t="n">
        <v>5</v>
      </c>
      <c r="C135" s="5" t="inlineStr">
        <is>
          <t>12a</t>
        </is>
      </c>
      <c r="D135" s="5" t="inlineStr">
        <is>
          <t>(Name):</t>
        </is>
      </c>
      <c r="E135" s="5" t="inlineStr">
        <is>
          <t>DV-105[0].Page5[0].List12[0].List[0].Li1[0].List[0].Li2[0].t2[0]</t>
        </is>
      </c>
      <c r="F135" s="5" t="inlineStr">
        <is>
          <t>text</t>
        </is>
      </c>
      <c r="G135" s="5" t="inlineStr"/>
      <c r="H135" s="5" t="inlineStr"/>
      <c r="I135" s="5" t="inlineStr">
        <is>
          <t>152, 172, 313, 189</t>
        </is>
      </c>
      <c r="J135" s="5" t="inlineStr">
        <is>
          <t>question</t>
        </is>
      </c>
      <c r="K135" s="5" t="inlineStr">
        <is>
          <t>K9</t>
        </is>
      </c>
      <c r="L135" s="5">
        <f> K9.name</f>
        <v/>
      </c>
      <c r="M135" s="5" t="inlineStr">
        <is>
          <t>K8 == "Y" and type == "trusted person"</t>
        </is>
      </c>
      <c r="N135" s="5" t="inlineStr"/>
      <c r="O135" s="5" t="inlineStr"/>
    </row>
    <row r="136">
      <c r="A136" s="5" t="n">
        <v>135</v>
      </c>
      <c r="B136" s="5" t="n">
        <v>5</v>
      </c>
      <c r="C136" s="5" t="inlineStr">
        <is>
          <t>12a</t>
        </is>
      </c>
      <c r="D136" s="5" t="inlineStr">
        <is>
          <t>Check here if the person has agreed to supervise visits.</t>
        </is>
      </c>
      <c r="E136" s="5" t="inlineStr">
        <is>
          <t>DV-105[0].Page5[0].List12[0].List[0].Li1[0].List[0].Li2[0].CheckBoxRightCaption[0]</t>
        </is>
      </c>
      <c r="F136" s="5" t="inlineStr">
        <is>
          <t>checkbox</t>
        </is>
      </c>
      <c r="G136" s="5" t="inlineStr">
        <is>
          <t>1</t>
        </is>
      </c>
      <c r="H136" s="5" t="inlineStr"/>
      <c r="I136" s="5" t="inlineStr">
        <is>
          <t>315, 177, 324, 186</t>
        </is>
      </c>
      <c r="J136" s="5" t="inlineStr">
        <is>
          <t>question</t>
        </is>
      </c>
      <c r="K136" s="5" t="inlineStr">
        <is>
          <t>K9</t>
        </is>
      </c>
      <c r="L136" s="5" t="inlineStr">
        <is>
          <t>check if K9.agreed</t>
        </is>
      </c>
      <c r="M136" s="5" t="inlineStr">
        <is>
          <t>K8 == "Y" and type == "trusted person"</t>
        </is>
      </c>
      <c r="N136" s="5" t="inlineStr"/>
      <c r="O136" s="5" t="inlineStr"/>
    </row>
    <row r="137">
      <c r="A137" s="5" t="n">
        <v>136</v>
      </c>
      <c r="B137" s="5" t="n">
        <v>5</v>
      </c>
      <c r="C137" s="5" t="inlineStr">
        <is>
          <t>12b</t>
        </is>
      </c>
      <c r="D137" s="5" t="inlineStr">
        <is>
          <t>In person at a safe location</t>
        </is>
      </c>
      <c r="E137" s="5" t="inlineStr">
        <is>
          <t>DV-105[0].Page5[0].List12[0].List[0].Li2[0].CheckBoxRightCaptionItem12b[0]</t>
        </is>
      </c>
      <c r="F137" s="5" t="inlineStr">
        <is>
          <t>checkbox</t>
        </is>
      </c>
      <c r="G137" s="5" t="inlineStr">
        <is>
          <t>1</t>
        </is>
      </c>
      <c r="H137" s="5" t="inlineStr"/>
      <c r="I137" s="5" t="inlineStr">
        <is>
          <t>220, 206, 229, 215</t>
        </is>
      </c>
      <c r="J137" s="5" t="inlineStr">
        <is>
          <t>question</t>
        </is>
      </c>
      <c r="K137" s="5" t="inlineStr">
        <is>
          <t>K10</t>
        </is>
      </c>
      <c r="L137" s="5" t="inlineStr">
        <is>
          <t>check if K10 == "safe place"</t>
        </is>
      </c>
      <c r="M137" s="5" t="inlineStr">
        <is>
          <t>K8 == "Y"</t>
        </is>
      </c>
      <c r="N137" s="5" t="inlineStr"/>
      <c r="O137" s="5" t="inlineStr"/>
    </row>
    <row r="138">
      <c r="A138" s="5" t="n">
        <v>137</v>
      </c>
      <c r="B138" s="5" t="n">
        <v>5</v>
      </c>
      <c r="C138" s="5" t="inlineStr">
        <is>
          <t>12b</t>
        </is>
      </c>
      <c r="D138" s="5" t="inlineStr">
        <is>
          <t>Virtual visit (not in person)</t>
        </is>
      </c>
      <c r="E138" s="5" t="inlineStr">
        <is>
          <t>DV-105[0].Page5[0].List12[0].List[0].Li2[0].CheckBoxRightCaptionItem12b[1]</t>
        </is>
      </c>
      <c r="F138" s="5" t="inlineStr">
        <is>
          <t>checkbox</t>
        </is>
      </c>
      <c r="G138" s="5" t="inlineStr">
        <is>
          <t>21</t>
        </is>
      </c>
      <c r="H138" s="5" t="inlineStr"/>
      <c r="I138" s="5" t="inlineStr">
        <is>
          <t>372, 206, 381, 215</t>
        </is>
      </c>
      <c r="J138" s="5" t="inlineStr">
        <is>
          <t>question</t>
        </is>
      </c>
      <c r="K138" s="5" t="inlineStr">
        <is>
          <t>K10</t>
        </is>
      </c>
      <c r="L138" s="5" t="inlineStr">
        <is>
          <t>check if K10 == "virtual"</t>
        </is>
      </c>
      <c r="M138" s="5" t="inlineStr">
        <is>
          <t>K8 == "Y"</t>
        </is>
      </c>
      <c r="N138" s="5" t="inlineStr"/>
      <c r="O138" s="5" t="inlineStr"/>
    </row>
    <row r="139">
      <c r="A139" s="5" t="n">
        <v>138</v>
      </c>
      <c r="B139" s="5" t="n">
        <v>5</v>
      </c>
      <c r="C139" s="5" t="inlineStr">
        <is>
          <t>12b</t>
        </is>
      </c>
      <c r="D139" s="5" t="inlineStr">
        <is>
          <t>Other (describe):</t>
        </is>
      </c>
      <c r="E139" s="5" t="inlineStr">
        <is>
          <t>DV-105[0].Page5[0].List12[0].List[0].Li2[0].CheckBoxRightCaptionItem12b[2]</t>
        </is>
      </c>
      <c r="F139" s="5" t="inlineStr">
        <is>
          <t>checkbox</t>
        </is>
      </c>
      <c r="G139" s="5" t="inlineStr">
        <is>
          <t>11</t>
        </is>
      </c>
      <c r="H139" s="5" t="inlineStr"/>
      <c r="I139" s="5" t="inlineStr">
        <is>
          <t>78, 221, 87, 230</t>
        </is>
      </c>
      <c r="J139" s="5" t="inlineStr">
        <is>
          <t>question</t>
        </is>
      </c>
      <c r="K139" s="5" t="inlineStr">
        <is>
          <t>K10</t>
        </is>
      </c>
      <c r="L139" s="5" t="inlineStr">
        <is>
          <t>check if K10 == "other"</t>
        </is>
      </c>
      <c r="M139" s="5" t="inlineStr">
        <is>
          <t>K8 == "Y"</t>
        </is>
      </c>
      <c r="N139" s="5" t="inlineStr"/>
      <c r="O139" s="5" t="inlineStr"/>
    </row>
    <row r="140">
      <c r="A140" s="5" t="n">
        <v>139</v>
      </c>
      <c r="B140" s="5" t="n">
        <v>5</v>
      </c>
      <c r="C140" s="5" t="inlineStr">
        <is>
          <t>12b</t>
        </is>
      </c>
      <c r="D140" s="5" t="inlineStr">
        <is>
          <t>list name, if known</t>
        </is>
      </c>
      <c r="E140" s="5" t="inlineStr">
        <is>
          <t>DV-105[0].Page5[0].List12[0].List[0].Li2[0].TextField2[0]</t>
        </is>
      </c>
      <c r="F140" s="5" t="inlineStr">
        <is>
          <t>text</t>
        </is>
      </c>
      <c r="G140" s="5" t="inlineStr"/>
      <c r="H140" s="5" t="inlineStr"/>
      <c r="I140" s="5" t="inlineStr">
        <is>
          <t>170, 222, 570, 234</t>
        </is>
      </c>
      <c r="J140" s="5" t="inlineStr">
        <is>
          <t>question</t>
        </is>
      </c>
      <c r="K140" s="5" t="inlineStr">
        <is>
          <t>K10</t>
        </is>
      </c>
      <c r="L140" s="5">
        <f> K10.otherText</f>
        <v/>
      </c>
      <c r="M140" s="5" t="inlineStr">
        <is>
          <t>K8 == "Y" and K10 == "other"</t>
        </is>
      </c>
      <c r="N140" s="5" t="inlineStr">
        <is>
          <t>Field tooltip says "list name" but it is the 12b "Other (describe)" line.</t>
        </is>
      </c>
      <c r="O140" s="5" t="inlineStr"/>
    </row>
    <row r="141">
      <c r="A141" s="5" t="n">
        <v>140</v>
      </c>
      <c r="B141" s="5" t="n">
        <v>5</v>
      </c>
      <c r="C141" s="5" t="inlineStr">
        <is>
          <t>12c</t>
        </is>
      </c>
      <c r="D141" s="5" t="inlineStr">
        <is>
          <t>Once a week, for (number of hours):</t>
        </is>
      </c>
      <c r="E141" s="5" t="inlineStr">
        <is>
          <t>DV-105[0].Page5[0].List12[0].List[0].Li3[0].CheckBoxRightCaptionItem12c[0]</t>
        </is>
      </c>
      <c r="F141" s="5" t="inlineStr">
        <is>
          <t>checkbox</t>
        </is>
      </c>
      <c r="G141" s="5" t="inlineStr">
        <is>
          <t>1</t>
        </is>
      </c>
      <c r="H141" s="5" t="inlineStr"/>
      <c r="I141" s="5" t="inlineStr">
        <is>
          <t>78, 267, 87, 276</t>
        </is>
      </c>
      <c r="J141" s="5" t="inlineStr">
        <is>
          <t>question</t>
        </is>
      </c>
      <c r="K141" s="5" t="inlineStr">
        <is>
          <t>K11</t>
        </is>
      </c>
      <c r="L141" s="5" t="inlineStr">
        <is>
          <t>check if K11 == "once a week"</t>
        </is>
      </c>
      <c r="M141" s="5" t="inlineStr">
        <is>
          <t>K8 == "Y"</t>
        </is>
      </c>
      <c r="N141" s="5" t="inlineStr"/>
      <c r="O141" s="5" t="inlineStr"/>
    </row>
    <row r="142">
      <c r="A142" s="5" t="n">
        <v>141</v>
      </c>
      <c r="B142" s="5" t="n">
        <v>5</v>
      </c>
      <c r="C142" s="5" t="inlineStr">
        <is>
          <t>12c</t>
        </is>
      </c>
      <c r="D142" s="5" t="inlineStr">
        <is>
          <t>number of hours</t>
        </is>
      </c>
      <c r="E142" s="5" t="inlineStr">
        <is>
          <t>DV-105[0].Page5[0].List12[0].List[0].Li3[0].TextField1[0]</t>
        </is>
      </c>
      <c r="F142" s="5" t="inlineStr">
        <is>
          <t>text</t>
        </is>
      </c>
      <c r="G142" s="5" t="inlineStr"/>
      <c r="H142" s="5" t="inlineStr"/>
      <c r="I142" s="5" t="inlineStr">
        <is>
          <t>259, 267, 349, 279</t>
        </is>
      </c>
      <c r="J142" s="5" t="inlineStr">
        <is>
          <t>question</t>
        </is>
      </c>
      <c r="K142" s="5" t="inlineStr">
        <is>
          <t>K11</t>
        </is>
      </c>
      <c r="L142" s="5">
        <f> K11.hours</f>
        <v/>
      </c>
      <c r="M142" s="5" t="inlineStr">
        <is>
          <t>K11 == "once a week"</t>
        </is>
      </c>
      <c r="N142" s="5" t="inlineStr"/>
      <c r="O142" s="5" t="inlineStr"/>
    </row>
    <row r="143">
      <c r="A143" s="5" t="n">
        <v>142</v>
      </c>
      <c r="B143" s="5" t="n">
        <v>5</v>
      </c>
      <c r="C143" s="5" t="inlineStr">
        <is>
          <t>12c</t>
        </is>
      </c>
      <c r="D143" s="5" t="inlineStr">
        <is>
          <t>Twice a week, for (number of hours):</t>
        </is>
      </c>
      <c r="E143" s="5" t="inlineStr">
        <is>
          <t>DV-105[0].Page5[0].List12[0].List[0].Li3[0].CheckBoxRightCaptionItem12c[1]</t>
        </is>
      </c>
      <c r="F143" s="5" t="inlineStr">
        <is>
          <t>checkbox</t>
        </is>
      </c>
      <c r="G143" s="5" t="inlineStr">
        <is>
          <t>11</t>
        </is>
      </c>
      <c r="H143" s="5" t="inlineStr"/>
      <c r="I143" s="5" t="inlineStr">
        <is>
          <t>78, 281, 87, 290</t>
        </is>
      </c>
      <c r="J143" s="5" t="inlineStr">
        <is>
          <t>question</t>
        </is>
      </c>
      <c r="K143" s="5" t="inlineStr">
        <is>
          <t>K11</t>
        </is>
      </c>
      <c r="L143" s="5" t="inlineStr">
        <is>
          <t>check if K11 == "twice a week"</t>
        </is>
      </c>
      <c r="M143" s="5" t="inlineStr">
        <is>
          <t>K8 == "Y"</t>
        </is>
      </c>
      <c r="N143" s="5" t="inlineStr"/>
      <c r="O143" s="5" t="inlineStr"/>
    </row>
    <row r="144">
      <c r="A144" s="5" t="n">
        <v>143</v>
      </c>
      <c r="B144" s="5" t="n">
        <v>5</v>
      </c>
      <c r="C144" s="5" t="inlineStr">
        <is>
          <t>12c</t>
        </is>
      </c>
      <c r="D144" s="5" t="inlineStr">
        <is>
          <t>each visit.</t>
        </is>
      </c>
      <c r="E144" s="5" t="inlineStr">
        <is>
          <t>DV-105[0].Page5[0].List12[0].List[0].Li3[0].t3[0]</t>
        </is>
      </c>
      <c r="F144" s="5" t="inlineStr">
        <is>
          <t>text</t>
        </is>
      </c>
      <c r="G144" s="5" t="inlineStr"/>
      <c r="H144" s="5" t="inlineStr"/>
      <c r="I144" s="5" t="inlineStr">
        <is>
          <t>265, 281, 357, 293</t>
        </is>
      </c>
      <c r="J144" s="5" t="inlineStr">
        <is>
          <t>question</t>
        </is>
      </c>
      <c r="K144" s="5" t="inlineStr">
        <is>
          <t>K11</t>
        </is>
      </c>
      <c r="L144" s="5">
        <f> K11.hours</f>
        <v/>
      </c>
      <c r="M144" s="5" t="inlineStr">
        <is>
          <t>K11 == "twice a week"</t>
        </is>
      </c>
      <c r="N144" s="5" t="inlineStr"/>
      <c r="O144" s="5" t="inlineStr"/>
    </row>
    <row r="145">
      <c r="A145" s="5" t="n">
        <v>144</v>
      </c>
      <c r="B145" s="5" t="n">
        <v>5</v>
      </c>
      <c r="C145" s="5" t="inlineStr">
        <is>
          <t>12c</t>
        </is>
      </c>
      <c r="D145" s="5" t="inlineStr">
        <is>
          <t>Other (describe):</t>
        </is>
      </c>
      <c r="E145" s="5" t="inlineStr">
        <is>
          <t>DV-105[0].Page5[0].List12[0].List[0].Li3[0].CheckBoxRightCaptionItem12c[2]</t>
        </is>
      </c>
      <c r="F145" s="5" t="inlineStr">
        <is>
          <t>checkbox</t>
        </is>
      </c>
      <c r="G145" s="5" t="inlineStr">
        <is>
          <t>21</t>
        </is>
      </c>
      <c r="H145" s="5" t="inlineStr"/>
      <c r="I145" s="5" t="inlineStr">
        <is>
          <t>78, 296, 87, 305</t>
        </is>
      </c>
      <c r="J145" s="5" t="inlineStr">
        <is>
          <t>question</t>
        </is>
      </c>
      <c r="K145" s="5" t="inlineStr">
        <is>
          <t>K11</t>
        </is>
      </c>
      <c r="L145" s="5" t="inlineStr">
        <is>
          <t>check if K11 == "other"</t>
        </is>
      </c>
      <c r="M145" s="5" t="inlineStr">
        <is>
          <t>K8 == "Y"</t>
        </is>
      </c>
      <c r="N145" s="5" t="inlineStr"/>
      <c r="O145" s="5" t="inlineStr"/>
    </row>
    <row r="146">
      <c r="A146" s="5" t="n">
        <v>145</v>
      </c>
      <c r="B146" s="5" t="n">
        <v>5</v>
      </c>
      <c r="C146" s="5" t="inlineStr">
        <is>
          <t>12c</t>
        </is>
      </c>
      <c r="D146" s="5" t="inlineStr">
        <is>
          <t>describe</t>
        </is>
      </c>
      <c r="E146" s="5" t="inlineStr">
        <is>
          <t>DV-105[0].Page5[0].List12[0].List[0].Li3[0].TextField3[0]</t>
        </is>
      </c>
      <c r="F146" s="5" t="inlineStr">
        <is>
          <t>text</t>
        </is>
      </c>
      <c r="G146" s="5" t="inlineStr"/>
      <c r="H146" s="5" t="inlineStr"/>
      <c r="I146" s="5" t="inlineStr">
        <is>
          <t>170, 296, 572, 308</t>
        </is>
      </c>
      <c r="J146" s="5" t="inlineStr">
        <is>
          <t>question</t>
        </is>
      </c>
      <c r="K146" s="5" t="inlineStr">
        <is>
          <t>K11</t>
        </is>
      </c>
      <c r="L146" s="5">
        <f> K11.otherText</f>
        <v/>
      </c>
      <c r="M146" s="5" t="inlineStr">
        <is>
          <t>K11 == "other"</t>
        </is>
      </c>
      <c r="N146" s="5" t="inlineStr"/>
      <c r="O146" s="5" t="inlineStr"/>
    </row>
    <row r="147">
      <c r="A147" s="5" t="n">
        <v>146</v>
      </c>
      <c r="B147" s="5" t="n">
        <v>5</v>
      </c>
      <c r="C147" s="5" t="inlineStr">
        <is>
          <t>12c</t>
        </is>
      </c>
      <c r="D147" s="5" t="inlineStr">
        <is>
          <t>Check here if you want to use the chart listed below for a schedule.</t>
        </is>
      </c>
      <c r="E147" s="5" t="inlineStr">
        <is>
          <t>DV-105[0].Page5[0].List12[0].List[0].Li3[0].CheckBoxRightCaptionItem12c[3]</t>
        </is>
      </c>
      <c r="F147" s="5" t="inlineStr">
        <is>
          <t>checkbox</t>
        </is>
      </c>
      <c r="G147" s="5" t="inlineStr">
        <is>
          <t>31</t>
        </is>
      </c>
      <c r="H147" s="5" t="inlineStr"/>
      <c r="I147" s="5" t="inlineStr">
        <is>
          <t>78, 311, 87, 320</t>
        </is>
      </c>
      <c r="J147" s="5" t="inlineStr">
        <is>
          <t>question</t>
        </is>
      </c>
      <c r="K147" s="5" t="inlineStr">
        <is>
          <t>K11</t>
        </is>
      </c>
      <c r="L147" s="5" t="inlineStr">
        <is>
          <t>check if K11 == "schedule"</t>
        </is>
      </c>
      <c r="M147" s="5" t="inlineStr">
        <is>
          <t>K8 == "Y"</t>
        </is>
      </c>
      <c r="N147" s="5" t="inlineStr"/>
      <c r="O147" s="5" t="inlineStr"/>
    </row>
    <row r="148">
      <c r="A148" s="5" t="n">
        <v>147</v>
      </c>
      <c r="B148" s="5" t="n">
        <v>5</v>
      </c>
      <c r="C148" s="5" t="inlineStr">
        <is>
          <t>12c chart Mon</t>
        </is>
      </c>
      <c r="D148" s="5" t="inlineStr">
        <is>
          <t>Start:</t>
        </is>
      </c>
      <c r="E148" s="5" t="inlineStr">
        <is>
          <t>DV-105[0].Page5[0].List12[0].List[0].Li3[0].tf1[0]</t>
        </is>
      </c>
      <c r="F148" s="5" t="inlineStr">
        <is>
          <t>text</t>
        </is>
      </c>
      <c r="G148" s="5" t="inlineStr"/>
      <c r="H148" s="5" t="inlineStr"/>
      <c r="I148" s="5" t="inlineStr">
        <is>
          <t>155, 386, 250, 397</t>
        </is>
      </c>
      <c r="J148" s="5" t="inlineStr">
        <is>
          <t>question</t>
        </is>
      </c>
      <c r="K148" s="5" t="inlineStr">
        <is>
          <t>K14</t>
        </is>
      </c>
      <c r="L148" s="5">
        <f> K14.days.Mon.start</f>
        <v/>
      </c>
      <c r="M148" s="5" t="inlineStr">
        <is>
          <t>K8 == "Y" and K11 == "schedule" and K14.days.Mon set</t>
        </is>
      </c>
      <c r="N148" s="5" t="inlineStr">
        <is>
          <t>Rows are Monday to Sunday.</t>
        </is>
      </c>
      <c r="O148" s="5" t="inlineStr"/>
    </row>
    <row r="149">
      <c r="A149" s="5" t="n">
        <v>148</v>
      </c>
      <c r="B149" s="5" t="n">
        <v>5</v>
      </c>
      <c r="C149" s="5" t="inlineStr">
        <is>
          <t>12c chart Mon</t>
        </is>
      </c>
      <c r="D149" s="5" t="inlineStr">
        <is>
          <t>Virtual visitwith person in 2</t>
        </is>
      </c>
      <c r="E149" s="5" t="inlineStr">
        <is>
          <t>DV-105[0].Page5[0].List12[0].List[0].Li3[0].itemc_VirtVist_cb1[0]</t>
        </is>
      </c>
      <c r="F149" s="5" t="inlineStr">
        <is>
          <t>checkbox</t>
        </is>
      </c>
      <c r="G149" s="5" t="inlineStr">
        <is>
          <t>21</t>
        </is>
      </c>
      <c r="H149" s="5" t="inlineStr"/>
      <c r="I149" s="5" t="inlineStr">
        <is>
          <t>279, 393, 288, 402</t>
        </is>
      </c>
      <c r="J149" s="5" t="inlineStr">
        <is>
          <t>question</t>
        </is>
      </c>
      <c r="K149" s="5" t="inlineStr">
        <is>
          <t>K14</t>
        </is>
      </c>
      <c r="L149" s="5" t="inlineStr">
        <is>
          <t>check if K14.days.Mon.virtual</t>
        </is>
      </c>
      <c r="M149" s="5" t="inlineStr">
        <is>
          <t>K8 == "Y" and K11 == "schedule" and K14.days.Mon set</t>
        </is>
      </c>
      <c r="N149" s="5" t="inlineStr"/>
      <c r="O149" s="5" t="inlineStr"/>
    </row>
    <row r="150">
      <c r="A150" s="5" t="n">
        <v>149</v>
      </c>
      <c r="B150" s="5" t="n">
        <v>5</v>
      </c>
      <c r="C150" s="5" t="inlineStr">
        <is>
          <t>12c chart Mon</t>
        </is>
      </c>
      <c r="D150" s="5" t="inlineStr">
        <is>
          <t>Person to bring children to and from visit (or make available for virtual visit)</t>
        </is>
      </c>
      <c r="E150" s="5" t="inlineStr">
        <is>
          <t>DV-105[0].Page5[0].List12[0].List[0].Li3[0].tf3[0]</t>
        </is>
      </c>
      <c r="F150" s="5" t="inlineStr">
        <is>
          <t>text</t>
        </is>
      </c>
      <c r="G150" s="5" t="inlineStr"/>
      <c r="H150" s="5" t="inlineStr"/>
      <c r="I150" s="5" t="inlineStr">
        <is>
          <t>322, 386, 440, 397</t>
        </is>
      </c>
      <c r="J150" s="5" t="inlineStr">
        <is>
          <t>question</t>
        </is>
      </c>
      <c r="K150" s="5" t="inlineStr">
        <is>
          <t>K14</t>
        </is>
      </c>
      <c r="L150" s="5">
        <f> K14.days.Mon.whoBrings [line 1]</f>
        <v/>
      </c>
      <c r="M150" s="5" t="inlineStr">
        <is>
          <t>K8 == "Y" and K11 == "schedule" and K14.days.Mon set</t>
        </is>
      </c>
      <c r="N150" s="5" t="inlineStr"/>
      <c r="O150" s="5" t="inlineStr"/>
    </row>
    <row r="151">
      <c r="A151" s="5" t="n">
        <v>150</v>
      </c>
      <c r="B151" s="5" t="n">
        <v>5</v>
      </c>
      <c r="C151" s="5" t="inlineStr">
        <is>
          <t>12c chart Mon</t>
        </is>
      </c>
      <c r="D151" s="5" t="inlineStr">
        <is>
          <t>Location of drop-off/pick-up</t>
        </is>
      </c>
      <c r="E151" s="5" t="inlineStr">
        <is>
          <t>DV-105[0].Page5[0].List12[0].List[0].Li3[0].dropoff1[0]</t>
        </is>
      </c>
      <c r="F151" s="5" t="inlineStr">
        <is>
          <t>text</t>
        </is>
      </c>
      <c r="G151" s="5" t="inlineStr"/>
      <c r="H151" s="5" t="inlineStr"/>
      <c r="I151" s="5" t="inlineStr">
        <is>
          <t>448, 386, 574, 397</t>
        </is>
      </c>
      <c r="J151" s="5" t="inlineStr">
        <is>
          <t>question</t>
        </is>
      </c>
      <c r="K151" s="5" t="inlineStr">
        <is>
          <t>K14</t>
        </is>
      </c>
      <c r="L151" s="5">
        <f> K14.days.Mon.place [line 1]</f>
        <v/>
      </c>
      <c r="M151" s="5" t="inlineStr">
        <is>
          <t>K8 == "Y" and K11 == "schedule" and K14.days.Mon set</t>
        </is>
      </c>
      <c r="N151" s="5" t="inlineStr"/>
      <c r="O151" s="5" t="inlineStr"/>
    </row>
    <row r="152">
      <c r="A152" s="5" t="n">
        <v>151</v>
      </c>
      <c r="B152" s="5" t="n">
        <v>5</v>
      </c>
      <c r="C152" s="5" t="inlineStr">
        <is>
          <t>12c chart Mon</t>
        </is>
      </c>
      <c r="D152" s="5" t="inlineStr">
        <is>
          <t>End, if applies:</t>
        </is>
      </c>
      <c r="E152" s="5" t="inlineStr">
        <is>
          <t>DV-105[0].Page5[0].List12[0].List[0].Li3[0].tf2[0]</t>
        </is>
      </c>
      <c r="F152" s="5" t="inlineStr">
        <is>
          <t>text</t>
        </is>
      </c>
      <c r="G152" s="5" t="inlineStr"/>
      <c r="H152" s="5" t="inlineStr"/>
      <c r="I152" s="5" t="inlineStr">
        <is>
          <t>197, 402, 250, 413</t>
        </is>
      </c>
      <c r="J152" s="5" t="inlineStr">
        <is>
          <t>question</t>
        </is>
      </c>
      <c r="K152" s="5" t="inlineStr">
        <is>
          <t>K14</t>
        </is>
      </c>
      <c r="L152" s="5">
        <f> K14.days.Mon.end</f>
        <v/>
      </c>
      <c r="M152" s="5" t="inlineStr">
        <is>
          <t>K8 == "Y" and K11 == "schedule" and K14.days.Mon set</t>
        </is>
      </c>
      <c r="N152" s="5" t="inlineStr"/>
      <c r="O152" s="5" t="inlineStr"/>
    </row>
    <row r="153">
      <c r="A153" s="5" t="n">
        <v>152</v>
      </c>
      <c r="B153" s="5" t="n">
        <v>5</v>
      </c>
      <c r="C153" s="5" t="inlineStr">
        <is>
          <t>12c chart Mon</t>
        </is>
      </c>
      <c r="D153" s="5" t="inlineStr">
        <is>
          <t>Person to bring children to and from visit (or make available for virtual visit)</t>
        </is>
      </c>
      <c r="E153" s="5" t="inlineStr">
        <is>
          <t>DV-105[0].Page5[0].List12[0].List[0].Li3[0].tf4[0]</t>
        </is>
      </c>
      <c r="F153" s="5" t="inlineStr">
        <is>
          <t>text</t>
        </is>
      </c>
      <c r="G153" s="5" t="inlineStr"/>
      <c r="H153" s="5" t="inlineStr"/>
      <c r="I153" s="5" t="inlineStr">
        <is>
          <t>322, 402, 441, 413</t>
        </is>
      </c>
      <c r="J153" s="5" t="inlineStr">
        <is>
          <t>question</t>
        </is>
      </c>
      <c r="K153" s="5" t="inlineStr">
        <is>
          <t>K14</t>
        </is>
      </c>
      <c r="L153" s="5">
        <f> K14.days.Mon.whoBrings [line 2]</f>
        <v/>
      </c>
      <c r="M153" s="5" t="inlineStr">
        <is>
          <t>K8 == "Y" and K11 == "schedule" and K14.days.Mon set</t>
        </is>
      </c>
      <c r="N153" s="5" t="inlineStr"/>
      <c r="O153" s="5" t="inlineStr"/>
    </row>
    <row r="154">
      <c r="A154" s="5" t="n">
        <v>153</v>
      </c>
      <c r="B154" s="5" t="n">
        <v>5</v>
      </c>
      <c r="C154" s="5" t="inlineStr">
        <is>
          <t>12c chart Mon</t>
        </is>
      </c>
      <c r="D154" s="5" t="inlineStr">
        <is>
          <t>Location of drop-off/pick-up</t>
        </is>
      </c>
      <c r="E154" s="5" t="inlineStr">
        <is>
          <t>DV-105[0].Page5[0].List12[0].List[0].Li3[0].tf6[0]</t>
        </is>
      </c>
      <c r="F154" s="5" t="inlineStr">
        <is>
          <t>text</t>
        </is>
      </c>
      <c r="G154" s="5" t="inlineStr"/>
      <c r="H154" s="5" t="inlineStr"/>
      <c r="I154" s="5" t="inlineStr">
        <is>
          <t>448, 402, 574, 413</t>
        </is>
      </c>
      <c r="J154" s="5" t="inlineStr">
        <is>
          <t>question</t>
        </is>
      </c>
      <c r="K154" s="5" t="inlineStr">
        <is>
          <t>K14</t>
        </is>
      </c>
      <c r="L154" s="5">
        <f> K14.days.Mon.place [line 2]</f>
        <v/>
      </c>
      <c r="M154" s="5" t="inlineStr">
        <is>
          <t>K8 == "Y" and K11 == "schedule" and K14.days.Mon set</t>
        </is>
      </c>
      <c r="N154" s="5" t="inlineStr"/>
      <c r="O154" s="5" t="inlineStr"/>
    </row>
    <row r="155">
      <c r="A155" s="5" t="n">
        <v>154</v>
      </c>
      <c r="B155" s="5" t="n">
        <v>5</v>
      </c>
      <c r="C155" s="5" t="inlineStr">
        <is>
          <t>12c chart Tue</t>
        </is>
      </c>
      <c r="D155" s="5" t="inlineStr">
        <is>
          <t>Start:</t>
        </is>
      </c>
      <c r="E155" s="5" t="inlineStr">
        <is>
          <t>DV-105[0].Page5[0].List12[0].List[0].Li3[0].tf7[0]</t>
        </is>
      </c>
      <c r="F155" s="5" t="inlineStr">
        <is>
          <t>text</t>
        </is>
      </c>
      <c r="G155" s="5" t="inlineStr"/>
      <c r="H155" s="5" t="inlineStr"/>
      <c r="I155" s="5" t="inlineStr">
        <is>
          <t>155, 423, 250, 434</t>
        </is>
      </c>
      <c r="J155" s="5" t="inlineStr">
        <is>
          <t>question</t>
        </is>
      </c>
      <c r="K155" s="5" t="inlineStr">
        <is>
          <t>K14</t>
        </is>
      </c>
      <c r="L155" s="5">
        <f> K14.days.Tue.start</f>
        <v/>
      </c>
      <c r="M155" s="5" t="inlineStr">
        <is>
          <t>K8 == "Y" and K11 == "schedule" and K14.days.Tue set</t>
        </is>
      </c>
      <c r="N155" s="5" t="inlineStr"/>
      <c r="O155" s="5" t="inlineStr"/>
    </row>
    <row r="156">
      <c r="A156" s="5" t="n">
        <v>155</v>
      </c>
      <c r="B156" s="5" t="n">
        <v>5</v>
      </c>
      <c r="C156" s="5" t="inlineStr">
        <is>
          <t>12c chart Tue</t>
        </is>
      </c>
      <c r="D156" s="5" t="inlineStr">
        <is>
          <t>Virtual visitwith person in 2</t>
        </is>
      </c>
      <c r="E156" s="5" t="inlineStr">
        <is>
          <t>DV-105[0].Page5[0].List12[0].List[0].Li3[0].itemc_VirtVist_cb2[0]</t>
        </is>
      </c>
      <c r="F156" s="5" t="inlineStr">
        <is>
          <t>checkbox</t>
        </is>
      </c>
      <c r="G156" s="5" t="inlineStr">
        <is>
          <t>21</t>
        </is>
      </c>
      <c r="H156" s="5" t="inlineStr"/>
      <c r="I156" s="5" t="inlineStr">
        <is>
          <t>279, 429, 288, 438</t>
        </is>
      </c>
      <c r="J156" s="5" t="inlineStr">
        <is>
          <t>question</t>
        </is>
      </c>
      <c r="K156" s="5" t="inlineStr">
        <is>
          <t>K14</t>
        </is>
      </c>
      <c r="L156" s="5" t="inlineStr">
        <is>
          <t>check if K14.days.Tue.virtual</t>
        </is>
      </c>
      <c r="M156" s="5" t="inlineStr">
        <is>
          <t>K8 == "Y" and K11 == "schedule" and K14.days.Tue set</t>
        </is>
      </c>
      <c r="N156" s="5" t="inlineStr"/>
      <c r="O156" s="5" t="inlineStr"/>
    </row>
    <row r="157">
      <c r="A157" s="5" t="n">
        <v>156</v>
      </c>
      <c r="B157" s="5" t="n">
        <v>5</v>
      </c>
      <c r="C157" s="5" t="inlineStr">
        <is>
          <t>12c chart Tue</t>
        </is>
      </c>
      <c r="D157" s="5" t="inlineStr">
        <is>
          <t>Person to bring children to and from visit (or make available for virtual visit)</t>
        </is>
      </c>
      <c r="E157" s="5" t="inlineStr">
        <is>
          <t>DV-105[0].Page5[0].List12[0].List[0].Li3[0].tf9[0]</t>
        </is>
      </c>
      <c r="F157" s="5" t="inlineStr">
        <is>
          <t>text</t>
        </is>
      </c>
      <c r="G157" s="5" t="inlineStr"/>
      <c r="H157" s="5" t="inlineStr"/>
      <c r="I157" s="5" t="inlineStr">
        <is>
          <t>322, 423, 440, 434</t>
        </is>
      </c>
      <c r="J157" s="5" t="inlineStr">
        <is>
          <t>question</t>
        </is>
      </c>
      <c r="K157" s="5" t="inlineStr">
        <is>
          <t>K14</t>
        </is>
      </c>
      <c r="L157" s="5">
        <f> K14.days.Tue.whoBrings [line 1]</f>
        <v/>
      </c>
      <c r="M157" s="5" t="inlineStr">
        <is>
          <t>K8 == "Y" and K11 == "schedule" and K14.days.Tue set</t>
        </is>
      </c>
      <c r="N157" s="5" t="inlineStr"/>
      <c r="O157" s="5" t="inlineStr"/>
    </row>
    <row r="158">
      <c r="A158" s="5" t="n">
        <v>157</v>
      </c>
      <c r="B158" s="5" t="n">
        <v>5</v>
      </c>
      <c r="C158" s="5" t="inlineStr">
        <is>
          <t>12c chart Tue</t>
        </is>
      </c>
      <c r="D158" s="5" t="inlineStr">
        <is>
          <t>Location of drop-off/pick-up</t>
        </is>
      </c>
      <c r="E158" s="5" t="inlineStr">
        <is>
          <t>DV-105[0].Page5[0].List12[0].List[0].Li3[0].dropoff2[0]</t>
        </is>
      </c>
      <c r="F158" s="5" t="inlineStr">
        <is>
          <t>text</t>
        </is>
      </c>
      <c r="G158" s="5" t="inlineStr"/>
      <c r="H158" s="5" t="inlineStr"/>
      <c r="I158" s="5" t="inlineStr">
        <is>
          <t>448, 423, 574, 434</t>
        </is>
      </c>
      <c r="J158" s="5" t="inlineStr">
        <is>
          <t>question</t>
        </is>
      </c>
      <c r="K158" s="5" t="inlineStr">
        <is>
          <t>K14</t>
        </is>
      </c>
      <c r="L158" s="5">
        <f> K14.days.Tue.place [line 1]</f>
        <v/>
      </c>
      <c r="M158" s="5" t="inlineStr">
        <is>
          <t>K8 == "Y" and K11 == "schedule" and K14.days.Tue set</t>
        </is>
      </c>
      <c r="N158" s="5" t="inlineStr"/>
      <c r="O158" s="5" t="inlineStr"/>
    </row>
    <row r="159">
      <c r="A159" s="5" t="n">
        <v>158</v>
      </c>
      <c r="B159" s="5" t="n">
        <v>5</v>
      </c>
      <c r="C159" s="5" t="inlineStr">
        <is>
          <t>12c chart Tue</t>
        </is>
      </c>
      <c r="D159" s="5" t="inlineStr">
        <is>
          <t>End, if applies:</t>
        </is>
      </c>
      <c r="E159" s="5" t="inlineStr">
        <is>
          <t>DV-105[0].Page5[0].List12[0].List[0].Li3[0].tf8[0]</t>
        </is>
      </c>
      <c r="F159" s="5" t="inlineStr">
        <is>
          <t>text</t>
        </is>
      </c>
      <c r="G159" s="5" t="inlineStr"/>
      <c r="H159" s="5" t="inlineStr"/>
      <c r="I159" s="5" t="inlineStr">
        <is>
          <t>197, 439, 250, 450</t>
        </is>
      </c>
      <c r="J159" s="5" t="inlineStr">
        <is>
          <t>question</t>
        </is>
      </c>
      <c r="K159" s="5" t="inlineStr">
        <is>
          <t>K14</t>
        </is>
      </c>
      <c r="L159" s="5">
        <f> K14.days.Tue.end</f>
        <v/>
      </c>
      <c r="M159" s="5" t="inlineStr">
        <is>
          <t>K8 == "Y" and K11 == "schedule" and K14.days.Tue set</t>
        </is>
      </c>
      <c r="N159" s="5" t="inlineStr"/>
      <c r="O159" s="5" t="inlineStr"/>
    </row>
    <row r="160">
      <c r="A160" s="5" t="n">
        <v>159</v>
      </c>
      <c r="B160" s="5" t="n">
        <v>5</v>
      </c>
      <c r="C160" s="5" t="inlineStr">
        <is>
          <t>12c chart Tue</t>
        </is>
      </c>
      <c r="D160" s="5" t="inlineStr">
        <is>
          <t>Person to bring children to and from visit (or make available for virtual visit)</t>
        </is>
      </c>
      <c r="E160" s="5" t="inlineStr">
        <is>
          <t>DV-105[0].Page5[0].List12[0].List[0].Li3[0].tf10[0]</t>
        </is>
      </c>
      <c r="F160" s="5" t="inlineStr">
        <is>
          <t>text</t>
        </is>
      </c>
      <c r="G160" s="5" t="inlineStr"/>
      <c r="H160" s="5" t="inlineStr"/>
      <c r="I160" s="5" t="inlineStr">
        <is>
          <t>322, 439, 441, 450</t>
        </is>
      </c>
      <c r="J160" s="5" t="inlineStr">
        <is>
          <t>question</t>
        </is>
      </c>
      <c r="K160" s="5" t="inlineStr">
        <is>
          <t>K14</t>
        </is>
      </c>
      <c r="L160" s="5">
        <f> K14.days.Tue.whoBrings [line 2]</f>
        <v/>
      </c>
      <c r="M160" s="5" t="inlineStr">
        <is>
          <t>K8 == "Y" and K11 == "schedule" and K14.days.Tue set</t>
        </is>
      </c>
      <c r="N160" s="5" t="inlineStr"/>
      <c r="O160" s="5" t="inlineStr"/>
    </row>
    <row r="161">
      <c r="A161" s="5" t="n">
        <v>160</v>
      </c>
      <c r="B161" s="5" t="n">
        <v>5</v>
      </c>
      <c r="C161" s="5" t="inlineStr">
        <is>
          <t>12c chart Tue</t>
        </is>
      </c>
      <c r="D161" s="5" t="inlineStr">
        <is>
          <t>Location of drop-off/pick-up</t>
        </is>
      </c>
      <c r="E161" s="5" t="inlineStr">
        <is>
          <t>DV-105[0].Page5[0].List12[0].List[0].Li3[0].tf12[0]</t>
        </is>
      </c>
      <c r="F161" s="5" t="inlineStr">
        <is>
          <t>text</t>
        </is>
      </c>
      <c r="G161" s="5" t="inlineStr"/>
      <c r="H161" s="5" t="inlineStr"/>
      <c r="I161" s="5" t="inlineStr">
        <is>
          <t>448, 439, 574, 450</t>
        </is>
      </c>
      <c r="J161" s="5" t="inlineStr">
        <is>
          <t>question</t>
        </is>
      </c>
      <c r="K161" s="5" t="inlineStr">
        <is>
          <t>K14</t>
        </is>
      </c>
      <c r="L161" s="5">
        <f> K14.days.Tue.place [line 2]</f>
        <v/>
      </c>
      <c r="M161" s="5" t="inlineStr">
        <is>
          <t>K8 == "Y" and K11 == "schedule" and K14.days.Tue set</t>
        </is>
      </c>
      <c r="N161" s="5" t="inlineStr"/>
      <c r="O161" s="5" t="inlineStr"/>
    </row>
    <row r="162">
      <c r="A162" s="5" t="n">
        <v>161</v>
      </c>
      <c r="B162" s="5" t="n">
        <v>5</v>
      </c>
      <c r="C162" s="5" t="inlineStr">
        <is>
          <t>12c chart Wed</t>
        </is>
      </c>
      <c r="D162" s="5" t="inlineStr">
        <is>
          <t>Start:</t>
        </is>
      </c>
      <c r="E162" s="5" t="inlineStr">
        <is>
          <t>DV-105[0].Page5[0].List12[0].List[0].Li3[0].tf13[0]</t>
        </is>
      </c>
      <c r="F162" s="5" t="inlineStr">
        <is>
          <t>text</t>
        </is>
      </c>
      <c r="G162" s="5" t="inlineStr"/>
      <c r="H162" s="5" t="inlineStr"/>
      <c r="I162" s="5" t="inlineStr">
        <is>
          <t>155, 457, 250, 468</t>
        </is>
      </c>
      <c r="J162" s="5" t="inlineStr">
        <is>
          <t>question</t>
        </is>
      </c>
      <c r="K162" s="5" t="inlineStr">
        <is>
          <t>K14</t>
        </is>
      </c>
      <c r="L162" s="5">
        <f> K14.days.Wed.start</f>
        <v/>
      </c>
      <c r="M162" s="5" t="inlineStr">
        <is>
          <t>K8 == "Y" and K11 == "schedule" and K14.days.Wed set</t>
        </is>
      </c>
      <c r="N162" s="5" t="inlineStr"/>
      <c r="O162" s="5" t="inlineStr"/>
    </row>
    <row r="163">
      <c r="A163" s="5" t="n">
        <v>162</v>
      </c>
      <c r="B163" s="5" t="n">
        <v>5</v>
      </c>
      <c r="C163" s="5" t="inlineStr">
        <is>
          <t>12c chart Wed</t>
        </is>
      </c>
      <c r="D163" s="5" t="inlineStr">
        <is>
          <t>Virtual visitwith person in 2</t>
        </is>
      </c>
      <c r="E163" s="5" t="inlineStr">
        <is>
          <t>DV-105[0].Page5[0].List12[0].List[0].Li3[0].itemc_VirtVist_cb3[0]</t>
        </is>
      </c>
      <c r="F163" s="5" t="inlineStr">
        <is>
          <t>checkbox</t>
        </is>
      </c>
      <c r="G163" s="5" t="inlineStr">
        <is>
          <t>21</t>
        </is>
      </c>
      <c r="H163" s="5" t="inlineStr"/>
      <c r="I163" s="5" t="inlineStr">
        <is>
          <t>279, 465, 288, 474</t>
        </is>
      </c>
      <c r="J163" s="5" t="inlineStr">
        <is>
          <t>question</t>
        </is>
      </c>
      <c r="K163" s="5" t="inlineStr">
        <is>
          <t>K14</t>
        </is>
      </c>
      <c r="L163" s="5" t="inlineStr">
        <is>
          <t>check if K14.days.Wed.virtual</t>
        </is>
      </c>
      <c r="M163" s="5" t="inlineStr">
        <is>
          <t>K8 == "Y" and K11 == "schedule" and K14.days.Wed set</t>
        </is>
      </c>
      <c r="N163" s="5" t="inlineStr"/>
      <c r="O163" s="5" t="inlineStr"/>
    </row>
    <row r="164">
      <c r="A164" s="5" t="n">
        <v>163</v>
      </c>
      <c r="B164" s="5" t="n">
        <v>5</v>
      </c>
      <c r="C164" s="5" t="inlineStr">
        <is>
          <t>12c chart Wed</t>
        </is>
      </c>
      <c r="D164" s="5" t="inlineStr">
        <is>
          <t>Person to bring children to and from visit (or make available for virtual visit)</t>
        </is>
      </c>
      <c r="E164" s="5" t="inlineStr">
        <is>
          <t>DV-105[0].Page5[0].List12[0].List[0].Li3[0].tf14[0]</t>
        </is>
      </c>
      <c r="F164" s="5" t="inlineStr">
        <is>
          <t>text</t>
        </is>
      </c>
      <c r="G164" s="5" t="inlineStr"/>
      <c r="H164" s="5" t="inlineStr"/>
      <c r="I164" s="5" t="inlineStr">
        <is>
          <t>322, 457, 440, 468</t>
        </is>
      </c>
      <c r="J164" s="5" t="inlineStr">
        <is>
          <t>question</t>
        </is>
      </c>
      <c r="K164" s="5" t="inlineStr">
        <is>
          <t>K14</t>
        </is>
      </c>
      <c r="L164" s="5">
        <f> K14.days.Wed.whoBrings [line 1]</f>
        <v/>
      </c>
      <c r="M164" s="5" t="inlineStr">
        <is>
          <t>K8 == "Y" and K11 == "schedule" and K14.days.Wed set</t>
        </is>
      </c>
      <c r="N164" s="5" t="inlineStr"/>
      <c r="O164" s="5" t="inlineStr"/>
    </row>
    <row r="165">
      <c r="A165" s="5" t="n">
        <v>164</v>
      </c>
      <c r="B165" s="5" t="n">
        <v>5</v>
      </c>
      <c r="C165" s="5" t="inlineStr">
        <is>
          <t>12c chart Wed</t>
        </is>
      </c>
      <c r="D165" s="5" t="inlineStr">
        <is>
          <t>Location of drop-off/pick-up</t>
        </is>
      </c>
      <c r="E165" s="5" t="inlineStr">
        <is>
          <t>DV-105[0].Page5[0].List12[0].List[0].Li3[0].dropoff3[0]</t>
        </is>
      </c>
      <c r="F165" s="5" t="inlineStr">
        <is>
          <t>text</t>
        </is>
      </c>
      <c r="G165" s="5" t="inlineStr"/>
      <c r="H165" s="5" t="inlineStr"/>
      <c r="I165" s="5" t="inlineStr">
        <is>
          <t>448, 457, 574, 468</t>
        </is>
      </c>
      <c r="J165" s="5" t="inlineStr">
        <is>
          <t>question</t>
        </is>
      </c>
      <c r="K165" s="5" t="inlineStr">
        <is>
          <t>K14</t>
        </is>
      </c>
      <c r="L165" s="5">
        <f> K14.days.Wed.place [line 1]</f>
        <v/>
      </c>
      <c r="M165" s="5" t="inlineStr">
        <is>
          <t>K8 == "Y" and K11 == "schedule" and K14.days.Wed set</t>
        </is>
      </c>
      <c r="N165" s="5" t="inlineStr"/>
      <c r="O165" s="5" t="inlineStr"/>
    </row>
    <row r="166">
      <c r="A166" s="5" t="n">
        <v>165</v>
      </c>
      <c r="B166" s="5" t="n">
        <v>5</v>
      </c>
      <c r="C166" s="5" t="inlineStr">
        <is>
          <t>12c chart Wed</t>
        </is>
      </c>
      <c r="D166" s="5" t="inlineStr">
        <is>
          <t>End, if applies:</t>
        </is>
      </c>
      <c r="E166" s="5" t="inlineStr">
        <is>
          <t>DV-105[0].Page5[0].List12[0].List[0].Li3[0].tf15[0]</t>
        </is>
      </c>
      <c r="F166" s="5" t="inlineStr">
        <is>
          <t>text</t>
        </is>
      </c>
      <c r="G166" s="5" t="inlineStr"/>
      <c r="H166" s="5" t="inlineStr"/>
      <c r="I166" s="5" t="inlineStr">
        <is>
          <t>198, 472, 250, 483</t>
        </is>
      </c>
      <c r="J166" s="5" t="inlineStr">
        <is>
          <t>question</t>
        </is>
      </c>
      <c r="K166" s="5" t="inlineStr">
        <is>
          <t>K14</t>
        </is>
      </c>
      <c r="L166" s="5">
        <f> K14.days.Wed.end</f>
        <v/>
      </c>
      <c r="M166" s="5" t="inlineStr">
        <is>
          <t>K8 == "Y" and K11 == "schedule" and K14.days.Wed set</t>
        </is>
      </c>
      <c r="N166" s="5" t="inlineStr"/>
      <c r="O166" s="5" t="inlineStr"/>
    </row>
    <row r="167">
      <c r="A167" s="5" t="n">
        <v>166</v>
      </c>
      <c r="B167" s="5" t="n">
        <v>5</v>
      </c>
      <c r="C167" s="5" t="inlineStr">
        <is>
          <t>12c chart Wed</t>
        </is>
      </c>
      <c r="D167" s="5" t="inlineStr">
        <is>
          <t>Person to bring children to and from visit (or make available for virtual visit)</t>
        </is>
      </c>
      <c r="E167" s="5" t="inlineStr">
        <is>
          <t>DV-105[0].Page5[0].List12[0].List[0].Li3[0].tf16[0]</t>
        </is>
      </c>
      <c r="F167" s="5" t="inlineStr">
        <is>
          <t>text</t>
        </is>
      </c>
      <c r="G167" s="5" t="inlineStr"/>
      <c r="H167" s="5" t="inlineStr"/>
      <c r="I167" s="5" t="inlineStr">
        <is>
          <t>322, 472, 441, 483</t>
        </is>
      </c>
      <c r="J167" s="5" t="inlineStr">
        <is>
          <t>question</t>
        </is>
      </c>
      <c r="K167" s="5" t="inlineStr">
        <is>
          <t>K14</t>
        </is>
      </c>
      <c r="L167" s="5">
        <f> K14.days.Wed.whoBrings [line 2]</f>
        <v/>
      </c>
      <c r="M167" s="5" t="inlineStr">
        <is>
          <t>K8 == "Y" and K11 == "schedule" and K14.days.Wed set</t>
        </is>
      </c>
      <c r="N167" s="5" t="inlineStr"/>
      <c r="O167" s="5" t="inlineStr"/>
    </row>
    <row r="168">
      <c r="A168" s="5" t="n">
        <v>167</v>
      </c>
      <c r="B168" s="5" t="n">
        <v>5</v>
      </c>
      <c r="C168" s="5" t="inlineStr">
        <is>
          <t>12c chart Wed</t>
        </is>
      </c>
      <c r="D168" s="5" t="inlineStr">
        <is>
          <t>Location of drop-off/pick-up</t>
        </is>
      </c>
      <c r="E168" s="5" t="inlineStr">
        <is>
          <t>DV-105[0].Page5[0].List12[0].List[0].Li3[0].tf18[0]</t>
        </is>
      </c>
      <c r="F168" s="5" t="inlineStr">
        <is>
          <t>text</t>
        </is>
      </c>
      <c r="G168" s="5" t="inlineStr"/>
      <c r="H168" s="5" t="inlineStr"/>
      <c r="I168" s="5" t="inlineStr">
        <is>
          <t>448, 472, 574, 483</t>
        </is>
      </c>
      <c r="J168" s="5" t="inlineStr">
        <is>
          <t>question</t>
        </is>
      </c>
      <c r="K168" s="5" t="inlineStr">
        <is>
          <t>K14</t>
        </is>
      </c>
      <c r="L168" s="5">
        <f> K14.days.Wed.place [line 2]</f>
        <v/>
      </c>
      <c r="M168" s="5" t="inlineStr">
        <is>
          <t>K8 == "Y" and K11 == "schedule" and K14.days.Wed set</t>
        </is>
      </c>
      <c r="N168" s="5" t="inlineStr"/>
      <c r="O168" s="5" t="inlineStr"/>
    </row>
    <row r="169">
      <c r="A169" s="5" t="n">
        <v>168</v>
      </c>
      <c r="B169" s="5" t="n">
        <v>5</v>
      </c>
      <c r="C169" s="5" t="inlineStr">
        <is>
          <t>12c chart Thu</t>
        </is>
      </c>
      <c r="D169" s="5" t="inlineStr">
        <is>
          <t>Start:</t>
        </is>
      </c>
      <c r="E169" s="5" t="inlineStr">
        <is>
          <t>DV-105[0].Page5[0].List12[0].List[0].Li3[0].tf19[0]</t>
        </is>
      </c>
      <c r="F169" s="5" t="inlineStr">
        <is>
          <t>text</t>
        </is>
      </c>
      <c r="G169" s="5" t="inlineStr"/>
      <c r="H169" s="5" t="inlineStr"/>
      <c r="I169" s="5" t="inlineStr">
        <is>
          <t>155, 490, 250, 501</t>
        </is>
      </c>
      <c r="J169" s="5" t="inlineStr">
        <is>
          <t>question</t>
        </is>
      </c>
      <c r="K169" s="5" t="inlineStr">
        <is>
          <t>K14</t>
        </is>
      </c>
      <c r="L169" s="5">
        <f> K14.days.Thu.start</f>
        <v/>
      </c>
      <c r="M169" s="5" t="inlineStr">
        <is>
          <t>K8 == "Y" and K11 == "schedule" and K14.days.Thu set</t>
        </is>
      </c>
      <c r="N169" s="5" t="inlineStr"/>
      <c r="O169" s="5" t="inlineStr"/>
    </row>
    <row r="170">
      <c r="A170" s="5" t="n">
        <v>169</v>
      </c>
      <c r="B170" s="5" t="n">
        <v>5</v>
      </c>
      <c r="C170" s="5" t="inlineStr">
        <is>
          <t>12c chart Thu</t>
        </is>
      </c>
      <c r="D170" s="5" t="inlineStr">
        <is>
          <t>Virtual visitwith person in 2</t>
        </is>
      </c>
      <c r="E170" s="5" t="inlineStr">
        <is>
          <t>DV-105[0].Page5[0].List12[0].List[0].Li3[0].itemc_VirtVist_cb4[0]</t>
        </is>
      </c>
      <c r="F170" s="5" t="inlineStr">
        <is>
          <t>checkbox</t>
        </is>
      </c>
      <c r="G170" s="5" t="inlineStr">
        <is>
          <t>21</t>
        </is>
      </c>
      <c r="H170" s="5" t="inlineStr"/>
      <c r="I170" s="5" t="inlineStr">
        <is>
          <t>279, 495, 288, 504</t>
        </is>
      </c>
      <c r="J170" s="5" t="inlineStr">
        <is>
          <t>question</t>
        </is>
      </c>
      <c r="K170" s="5" t="inlineStr">
        <is>
          <t>K14</t>
        </is>
      </c>
      <c r="L170" s="5" t="inlineStr">
        <is>
          <t>check if K14.days.Thu.virtual</t>
        </is>
      </c>
      <c r="M170" s="5" t="inlineStr">
        <is>
          <t>K8 == "Y" and K11 == "schedule" and K14.days.Thu set</t>
        </is>
      </c>
      <c r="N170" s="5" t="inlineStr"/>
      <c r="O170" s="5" t="inlineStr"/>
    </row>
    <row r="171">
      <c r="A171" s="5" t="n">
        <v>170</v>
      </c>
      <c r="B171" s="5" t="n">
        <v>5</v>
      </c>
      <c r="C171" s="5" t="inlineStr">
        <is>
          <t>12c chart Thu</t>
        </is>
      </c>
      <c r="D171" s="5" t="inlineStr">
        <is>
          <t>Person to bring children to and from visit (or make available for virtual visit)</t>
        </is>
      </c>
      <c r="E171" s="5" t="inlineStr">
        <is>
          <t>DV-105[0].Page5[0].List12[0].List[0].Li3[0].tf20[0]</t>
        </is>
      </c>
      <c r="F171" s="5" t="inlineStr">
        <is>
          <t>text</t>
        </is>
      </c>
      <c r="G171" s="5" t="inlineStr"/>
      <c r="H171" s="5" t="inlineStr"/>
      <c r="I171" s="5" t="inlineStr">
        <is>
          <t>322, 490, 440, 501</t>
        </is>
      </c>
      <c r="J171" s="5" t="inlineStr">
        <is>
          <t>question</t>
        </is>
      </c>
      <c r="K171" s="5" t="inlineStr">
        <is>
          <t>K14</t>
        </is>
      </c>
      <c r="L171" s="5">
        <f> K14.days.Thu.whoBrings [line 1]</f>
        <v/>
      </c>
      <c r="M171" s="5" t="inlineStr">
        <is>
          <t>K8 == "Y" and K11 == "schedule" and K14.days.Thu set</t>
        </is>
      </c>
      <c r="N171" s="5" t="inlineStr"/>
      <c r="O171" s="5" t="inlineStr"/>
    </row>
    <row r="172">
      <c r="A172" s="5" t="n">
        <v>171</v>
      </c>
      <c r="B172" s="5" t="n">
        <v>5</v>
      </c>
      <c r="C172" s="5" t="inlineStr">
        <is>
          <t>12c chart Thu</t>
        </is>
      </c>
      <c r="D172" s="5" t="inlineStr">
        <is>
          <t>Location of drop-off/pick-up</t>
        </is>
      </c>
      <c r="E172" s="5" t="inlineStr">
        <is>
          <t>DV-105[0].Page5[0].List12[0].List[0].Li3[0].dropoff4[0]</t>
        </is>
      </c>
      <c r="F172" s="5" t="inlineStr">
        <is>
          <t>text</t>
        </is>
      </c>
      <c r="G172" s="5" t="inlineStr"/>
      <c r="H172" s="5" t="inlineStr"/>
      <c r="I172" s="5" t="inlineStr">
        <is>
          <t>448, 490, 574, 501</t>
        </is>
      </c>
      <c r="J172" s="5" t="inlineStr">
        <is>
          <t>question</t>
        </is>
      </c>
      <c r="K172" s="5" t="inlineStr">
        <is>
          <t>K14</t>
        </is>
      </c>
      <c r="L172" s="5">
        <f> K14.days.Thu.place [line 1]</f>
        <v/>
      </c>
      <c r="M172" s="5" t="inlineStr">
        <is>
          <t>K8 == "Y" and K11 == "schedule" and K14.days.Thu set</t>
        </is>
      </c>
      <c r="N172" s="5" t="inlineStr"/>
      <c r="O172" s="5" t="inlineStr"/>
    </row>
    <row r="173">
      <c r="A173" s="5" t="n">
        <v>172</v>
      </c>
      <c r="B173" s="5" t="n">
        <v>5</v>
      </c>
      <c r="C173" s="5" t="inlineStr">
        <is>
          <t>12c chart Thu</t>
        </is>
      </c>
      <c r="D173" s="5" t="inlineStr">
        <is>
          <t>End, if applies:</t>
        </is>
      </c>
      <c r="E173" s="5" t="inlineStr">
        <is>
          <t>DV-105[0].Page5[0].List12[0].List[0].Li3[0].tf21[0]</t>
        </is>
      </c>
      <c r="F173" s="5" t="inlineStr">
        <is>
          <t>text</t>
        </is>
      </c>
      <c r="G173" s="5" t="inlineStr"/>
      <c r="H173" s="5" t="inlineStr"/>
      <c r="I173" s="5" t="inlineStr">
        <is>
          <t>197, 505, 250, 516</t>
        </is>
      </c>
      <c r="J173" s="5" t="inlineStr">
        <is>
          <t>question</t>
        </is>
      </c>
      <c r="K173" s="5" t="inlineStr">
        <is>
          <t>K14</t>
        </is>
      </c>
      <c r="L173" s="5">
        <f> K14.days.Thu.end</f>
        <v/>
      </c>
      <c r="M173" s="5" t="inlineStr">
        <is>
          <t>K8 == "Y" and K11 == "schedule" and K14.days.Thu set</t>
        </is>
      </c>
      <c r="N173" s="5" t="inlineStr"/>
      <c r="O173" s="5" t="inlineStr"/>
    </row>
    <row r="174">
      <c r="A174" s="5" t="n">
        <v>173</v>
      </c>
      <c r="B174" s="5" t="n">
        <v>5</v>
      </c>
      <c r="C174" s="5" t="inlineStr">
        <is>
          <t>12c chart Thu</t>
        </is>
      </c>
      <c r="D174" s="5" t="inlineStr">
        <is>
          <t>Person to bring children to and from visit (or make available for virtual visit)</t>
        </is>
      </c>
      <c r="E174" s="5" t="inlineStr">
        <is>
          <t>DV-105[0].Page5[0].List12[0].List[0].Li3[0].tf22[0]</t>
        </is>
      </c>
      <c r="F174" s="5" t="inlineStr">
        <is>
          <t>text</t>
        </is>
      </c>
      <c r="G174" s="5" t="inlineStr"/>
      <c r="H174" s="5" t="inlineStr"/>
      <c r="I174" s="5" t="inlineStr">
        <is>
          <t>322, 505, 441, 516</t>
        </is>
      </c>
      <c r="J174" s="5" t="inlineStr">
        <is>
          <t>question</t>
        </is>
      </c>
      <c r="K174" s="5" t="inlineStr">
        <is>
          <t>K14</t>
        </is>
      </c>
      <c r="L174" s="5">
        <f> K14.days.Thu.whoBrings [line 2]</f>
        <v/>
      </c>
      <c r="M174" s="5" t="inlineStr">
        <is>
          <t>K8 == "Y" and K11 == "schedule" and K14.days.Thu set</t>
        </is>
      </c>
      <c r="N174" s="5" t="inlineStr"/>
      <c r="O174" s="5" t="inlineStr"/>
    </row>
    <row r="175">
      <c r="A175" s="5" t="n">
        <v>174</v>
      </c>
      <c r="B175" s="5" t="n">
        <v>5</v>
      </c>
      <c r="C175" s="5" t="inlineStr">
        <is>
          <t>12c chart Thu</t>
        </is>
      </c>
      <c r="D175" s="5" t="inlineStr">
        <is>
          <t>Location of drop-off/pick-up</t>
        </is>
      </c>
      <c r="E175" s="5" t="inlineStr">
        <is>
          <t>DV-105[0].Page5[0].List12[0].List[0].Li3[0].tf24[0]</t>
        </is>
      </c>
      <c r="F175" s="5" t="inlineStr">
        <is>
          <t>text</t>
        </is>
      </c>
      <c r="G175" s="5" t="inlineStr"/>
      <c r="H175" s="5" t="inlineStr"/>
      <c r="I175" s="5" t="inlineStr">
        <is>
          <t>448, 505, 574, 516</t>
        </is>
      </c>
      <c r="J175" s="5" t="inlineStr">
        <is>
          <t>question</t>
        </is>
      </c>
      <c r="K175" s="5" t="inlineStr">
        <is>
          <t>K14</t>
        </is>
      </c>
      <c r="L175" s="5">
        <f> K14.days.Thu.place [line 2]</f>
        <v/>
      </c>
      <c r="M175" s="5" t="inlineStr">
        <is>
          <t>K8 == "Y" and K11 == "schedule" and K14.days.Thu set</t>
        </is>
      </c>
      <c r="N175" s="5" t="inlineStr"/>
      <c r="O175" s="5" t="inlineStr"/>
    </row>
    <row r="176">
      <c r="A176" s="5" t="n">
        <v>175</v>
      </c>
      <c r="B176" s="5" t="n">
        <v>5</v>
      </c>
      <c r="C176" s="5" t="inlineStr">
        <is>
          <t>12c chart Fri</t>
        </is>
      </c>
      <c r="D176" s="5" t="inlineStr">
        <is>
          <t>Start:</t>
        </is>
      </c>
      <c r="E176" s="5" t="inlineStr">
        <is>
          <t>DV-105[0].Page5[0].List12[0].List[0].Li3[0].tf25[0]</t>
        </is>
      </c>
      <c r="F176" s="5" t="inlineStr">
        <is>
          <t>text</t>
        </is>
      </c>
      <c r="G176" s="5" t="inlineStr"/>
      <c r="H176" s="5" t="inlineStr"/>
      <c r="I176" s="5" t="inlineStr">
        <is>
          <t>155, 523, 250, 534</t>
        </is>
      </c>
      <c r="J176" s="5" t="inlineStr">
        <is>
          <t>question</t>
        </is>
      </c>
      <c r="K176" s="5" t="inlineStr">
        <is>
          <t>K14</t>
        </is>
      </c>
      <c r="L176" s="5">
        <f> K14.days.Fri.start</f>
        <v/>
      </c>
      <c r="M176" s="5" t="inlineStr">
        <is>
          <t>K8 == "Y" and K11 == "schedule" and K14.days.Fri set</t>
        </is>
      </c>
      <c r="N176" s="5" t="inlineStr"/>
      <c r="O176" s="5" t="inlineStr"/>
    </row>
    <row r="177">
      <c r="A177" s="5" t="n">
        <v>176</v>
      </c>
      <c r="B177" s="5" t="n">
        <v>5</v>
      </c>
      <c r="C177" s="5" t="inlineStr">
        <is>
          <t>12c chart Fri</t>
        </is>
      </c>
      <c r="D177" s="5" t="inlineStr">
        <is>
          <t>Virtual visitwith person in 2</t>
        </is>
      </c>
      <c r="E177" s="5" t="inlineStr">
        <is>
          <t>DV-105[0].Page5[0].List12[0].List[0].Li3[0].itemc_VirtVist_cb5[0]</t>
        </is>
      </c>
      <c r="F177" s="5" t="inlineStr">
        <is>
          <t>checkbox</t>
        </is>
      </c>
      <c r="G177" s="5" t="inlineStr">
        <is>
          <t>21</t>
        </is>
      </c>
      <c r="H177" s="5" t="inlineStr"/>
      <c r="I177" s="5" t="inlineStr">
        <is>
          <t>279, 529, 288, 538</t>
        </is>
      </c>
      <c r="J177" s="5" t="inlineStr">
        <is>
          <t>question</t>
        </is>
      </c>
      <c r="K177" s="5" t="inlineStr">
        <is>
          <t>K14</t>
        </is>
      </c>
      <c r="L177" s="5" t="inlineStr">
        <is>
          <t>check if K14.days.Fri.virtual</t>
        </is>
      </c>
      <c r="M177" s="5" t="inlineStr">
        <is>
          <t>K8 == "Y" and K11 == "schedule" and K14.days.Fri set</t>
        </is>
      </c>
      <c r="N177" s="5" t="inlineStr"/>
      <c r="O177" s="5" t="inlineStr"/>
    </row>
    <row r="178">
      <c r="A178" s="5" t="n">
        <v>177</v>
      </c>
      <c r="B178" s="5" t="n">
        <v>5</v>
      </c>
      <c r="C178" s="5" t="inlineStr">
        <is>
          <t>12c chart Fri</t>
        </is>
      </c>
      <c r="D178" s="5" t="inlineStr">
        <is>
          <t>Person to bring children to and from visit (or make available for virtual visit)</t>
        </is>
      </c>
      <c r="E178" s="5" t="inlineStr">
        <is>
          <t>DV-105[0].Page5[0].List12[0].List[0].Li3[0].tf26[0]</t>
        </is>
      </c>
      <c r="F178" s="5" t="inlineStr">
        <is>
          <t>text</t>
        </is>
      </c>
      <c r="G178" s="5" t="inlineStr"/>
      <c r="H178" s="5" t="inlineStr"/>
      <c r="I178" s="5" t="inlineStr">
        <is>
          <t>322, 523, 440, 534</t>
        </is>
      </c>
      <c r="J178" s="5" t="inlineStr">
        <is>
          <t>question</t>
        </is>
      </c>
      <c r="K178" s="5" t="inlineStr">
        <is>
          <t>K14</t>
        </is>
      </c>
      <c r="L178" s="5">
        <f> K14.days.Fri.whoBrings [line 1]</f>
        <v/>
      </c>
      <c r="M178" s="5" t="inlineStr">
        <is>
          <t>K8 == "Y" and K11 == "schedule" and K14.days.Fri set</t>
        </is>
      </c>
      <c r="N178" s="5" t="inlineStr"/>
      <c r="O178" s="5" t="inlineStr"/>
    </row>
    <row r="179">
      <c r="A179" s="5" t="n">
        <v>178</v>
      </c>
      <c r="B179" s="5" t="n">
        <v>5</v>
      </c>
      <c r="C179" s="5" t="inlineStr">
        <is>
          <t>12c chart Fri</t>
        </is>
      </c>
      <c r="D179" s="5" t="inlineStr">
        <is>
          <t>Location of drop-off/pick-up</t>
        </is>
      </c>
      <c r="E179" s="5" t="inlineStr">
        <is>
          <t>DV-105[0].Page5[0].List12[0].List[0].Li3[0].dropoff5[0]</t>
        </is>
      </c>
      <c r="F179" s="5" t="inlineStr">
        <is>
          <t>text</t>
        </is>
      </c>
      <c r="G179" s="5" t="inlineStr"/>
      <c r="H179" s="5" t="inlineStr"/>
      <c r="I179" s="5" t="inlineStr">
        <is>
          <t>448, 523, 574, 534</t>
        </is>
      </c>
      <c r="J179" s="5" t="inlineStr">
        <is>
          <t>question</t>
        </is>
      </c>
      <c r="K179" s="5" t="inlineStr">
        <is>
          <t>K14</t>
        </is>
      </c>
      <c r="L179" s="5">
        <f> K14.days.Fri.place [line 1]</f>
        <v/>
      </c>
      <c r="M179" s="5" t="inlineStr">
        <is>
          <t>K8 == "Y" and K11 == "schedule" and K14.days.Fri set</t>
        </is>
      </c>
      <c r="N179" s="5" t="inlineStr"/>
      <c r="O179" s="5" t="inlineStr"/>
    </row>
    <row r="180">
      <c r="A180" s="5" t="n">
        <v>179</v>
      </c>
      <c r="B180" s="5" t="n">
        <v>5</v>
      </c>
      <c r="C180" s="5" t="inlineStr">
        <is>
          <t>12c chart Fri</t>
        </is>
      </c>
      <c r="D180" s="5" t="inlineStr">
        <is>
          <t>End, if applies:</t>
        </is>
      </c>
      <c r="E180" s="5" t="inlineStr">
        <is>
          <t>DV-105[0].Page5[0].List12[0].List[0].Li3[0].tf27[0]</t>
        </is>
      </c>
      <c r="F180" s="5" t="inlineStr">
        <is>
          <t>text</t>
        </is>
      </c>
      <c r="G180" s="5" t="inlineStr"/>
      <c r="H180" s="5" t="inlineStr"/>
      <c r="I180" s="5" t="inlineStr">
        <is>
          <t>197, 538, 250, 549</t>
        </is>
      </c>
      <c r="J180" s="5" t="inlineStr">
        <is>
          <t>question</t>
        </is>
      </c>
      <c r="K180" s="5" t="inlineStr">
        <is>
          <t>K14</t>
        </is>
      </c>
      <c r="L180" s="5">
        <f> K14.days.Fri.end</f>
        <v/>
      </c>
      <c r="M180" s="5" t="inlineStr">
        <is>
          <t>K8 == "Y" and K11 == "schedule" and K14.days.Fri set</t>
        </is>
      </c>
      <c r="N180" s="5" t="inlineStr"/>
      <c r="O180" s="5" t="inlineStr"/>
    </row>
    <row r="181">
      <c r="A181" s="5" t="n">
        <v>180</v>
      </c>
      <c r="B181" s="5" t="n">
        <v>5</v>
      </c>
      <c r="C181" s="5" t="inlineStr">
        <is>
          <t>12c chart Fri</t>
        </is>
      </c>
      <c r="D181" s="5" t="inlineStr">
        <is>
          <t>Person to bring children to and from visit (or make available for virtual visit)</t>
        </is>
      </c>
      <c r="E181" s="5" t="inlineStr">
        <is>
          <t>DV-105[0].Page5[0].List12[0].List[0].Li3[0].tf28[0]</t>
        </is>
      </c>
      <c r="F181" s="5" t="inlineStr">
        <is>
          <t>text</t>
        </is>
      </c>
      <c r="G181" s="5" t="inlineStr"/>
      <c r="H181" s="5" t="inlineStr"/>
      <c r="I181" s="5" t="inlineStr">
        <is>
          <t>322, 538, 441, 549</t>
        </is>
      </c>
      <c r="J181" s="5" t="inlineStr">
        <is>
          <t>question</t>
        </is>
      </c>
      <c r="K181" s="5" t="inlineStr">
        <is>
          <t>K14</t>
        </is>
      </c>
      <c r="L181" s="5">
        <f> K14.days.Fri.whoBrings [line 2]</f>
        <v/>
      </c>
      <c r="M181" s="5" t="inlineStr">
        <is>
          <t>K8 == "Y" and K11 == "schedule" and K14.days.Fri set</t>
        </is>
      </c>
      <c r="N181" s="5" t="inlineStr"/>
      <c r="O181" s="5" t="inlineStr"/>
    </row>
    <row r="182">
      <c r="A182" s="5" t="n">
        <v>181</v>
      </c>
      <c r="B182" s="5" t="n">
        <v>5</v>
      </c>
      <c r="C182" s="5" t="inlineStr">
        <is>
          <t>12c chart Fri</t>
        </is>
      </c>
      <c r="D182" s="5" t="inlineStr">
        <is>
          <t>Location of drop-off/pick-up</t>
        </is>
      </c>
      <c r="E182" s="5" t="inlineStr">
        <is>
          <t>DV-105[0].Page5[0].List12[0].List[0].Li3[0].tf30[0]</t>
        </is>
      </c>
      <c r="F182" s="5" t="inlineStr">
        <is>
          <t>text</t>
        </is>
      </c>
      <c r="G182" s="5" t="inlineStr"/>
      <c r="H182" s="5" t="inlineStr"/>
      <c r="I182" s="5" t="inlineStr">
        <is>
          <t>448, 538, 574, 549</t>
        </is>
      </c>
      <c r="J182" s="5" t="inlineStr">
        <is>
          <t>question</t>
        </is>
      </c>
      <c r="K182" s="5" t="inlineStr">
        <is>
          <t>K14</t>
        </is>
      </c>
      <c r="L182" s="5">
        <f> K14.days.Fri.place [line 2]</f>
        <v/>
      </c>
      <c r="M182" s="5" t="inlineStr">
        <is>
          <t>K8 == "Y" and K11 == "schedule" and K14.days.Fri set</t>
        </is>
      </c>
      <c r="N182" s="5" t="inlineStr"/>
      <c r="O182" s="5" t="inlineStr"/>
    </row>
    <row r="183">
      <c r="A183" s="5" t="n">
        <v>182</v>
      </c>
      <c r="B183" s="5" t="n">
        <v>5</v>
      </c>
      <c r="C183" s="5" t="inlineStr">
        <is>
          <t>12c chart Sat</t>
        </is>
      </c>
      <c r="D183" s="5" t="inlineStr">
        <is>
          <t>Start:</t>
        </is>
      </c>
      <c r="E183" s="5" t="inlineStr">
        <is>
          <t>DV-105[0].Page5[0].List12[0].List[0].Li3[0].tf31[0]</t>
        </is>
      </c>
      <c r="F183" s="5" t="inlineStr">
        <is>
          <t>text</t>
        </is>
      </c>
      <c r="G183" s="5" t="inlineStr"/>
      <c r="H183" s="5" t="inlineStr"/>
      <c r="I183" s="5" t="inlineStr">
        <is>
          <t>155, 556, 250, 567</t>
        </is>
      </c>
      <c r="J183" s="5" t="inlineStr">
        <is>
          <t>question</t>
        </is>
      </c>
      <c r="K183" s="5" t="inlineStr">
        <is>
          <t>K14</t>
        </is>
      </c>
      <c r="L183" s="5">
        <f> K14.days.Sat.start</f>
        <v/>
      </c>
      <c r="M183" s="5" t="inlineStr">
        <is>
          <t>K8 == "Y" and K11 == "schedule" and K14.days.Sat set</t>
        </is>
      </c>
      <c r="N183" s="5" t="inlineStr"/>
      <c r="O183" s="5" t="inlineStr"/>
    </row>
    <row r="184">
      <c r="A184" s="5" t="n">
        <v>183</v>
      </c>
      <c r="B184" s="5" t="n">
        <v>5</v>
      </c>
      <c r="C184" s="5" t="inlineStr">
        <is>
          <t>12c chart Sat</t>
        </is>
      </c>
      <c r="D184" s="5" t="inlineStr">
        <is>
          <t>Virtual visitwith person in 2</t>
        </is>
      </c>
      <c r="E184" s="5" t="inlineStr">
        <is>
          <t>DV-105[0].Page5[0].List12[0].List[0].Li3[0].itemc_VirtVist_cb6[0]</t>
        </is>
      </c>
      <c r="F184" s="5" t="inlineStr">
        <is>
          <t>checkbox</t>
        </is>
      </c>
      <c r="G184" s="5" t="inlineStr">
        <is>
          <t>21</t>
        </is>
      </c>
      <c r="H184" s="5" t="inlineStr"/>
      <c r="I184" s="5" t="inlineStr">
        <is>
          <t>279, 562, 288, 571</t>
        </is>
      </c>
      <c r="J184" s="5" t="inlineStr">
        <is>
          <t>question</t>
        </is>
      </c>
      <c r="K184" s="5" t="inlineStr">
        <is>
          <t>K14</t>
        </is>
      </c>
      <c r="L184" s="5" t="inlineStr">
        <is>
          <t>check if K14.days.Sat.virtual</t>
        </is>
      </c>
      <c r="M184" s="5" t="inlineStr">
        <is>
          <t>K8 == "Y" and K11 == "schedule" and K14.days.Sat set</t>
        </is>
      </c>
      <c r="N184" s="5" t="inlineStr"/>
      <c r="O184" s="5" t="inlineStr"/>
    </row>
    <row r="185">
      <c r="A185" s="5" t="n">
        <v>184</v>
      </c>
      <c r="B185" s="5" t="n">
        <v>5</v>
      </c>
      <c r="C185" s="5" t="inlineStr">
        <is>
          <t>12c chart Sat</t>
        </is>
      </c>
      <c r="D185" s="5" t="inlineStr">
        <is>
          <t>Person to bring children to and from visit (or make available for virtual visit)</t>
        </is>
      </c>
      <c r="E185" s="5" t="inlineStr">
        <is>
          <t>DV-105[0].Page5[0].List12[0].List[0].Li3[0].tf32[0]</t>
        </is>
      </c>
      <c r="F185" s="5" t="inlineStr">
        <is>
          <t>text</t>
        </is>
      </c>
      <c r="G185" s="5" t="inlineStr"/>
      <c r="H185" s="5" t="inlineStr"/>
      <c r="I185" s="5" t="inlineStr">
        <is>
          <t>322, 556, 440, 567</t>
        </is>
      </c>
      <c r="J185" s="5" t="inlineStr">
        <is>
          <t>question</t>
        </is>
      </c>
      <c r="K185" s="5" t="inlineStr">
        <is>
          <t>K14</t>
        </is>
      </c>
      <c r="L185" s="5">
        <f> K14.days.Sat.whoBrings [line 1]</f>
        <v/>
      </c>
      <c r="M185" s="5" t="inlineStr">
        <is>
          <t>K8 == "Y" and K11 == "schedule" and K14.days.Sat set</t>
        </is>
      </c>
      <c r="N185" s="5" t="inlineStr"/>
      <c r="O185" s="5" t="inlineStr"/>
    </row>
    <row r="186">
      <c r="A186" s="5" t="n">
        <v>185</v>
      </c>
      <c r="B186" s="5" t="n">
        <v>5</v>
      </c>
      <c r="C186" s="5" t="inlineStr">
        <is>
          <t>12c chart Sat</t>
        </is>
      </c>
      <c r="D186" s="5" t="inlineStr">
        <is>
          <t>Location of drop-off/pick-up</t>
        </is>
      </c>
      <c r="E186" s="5" t="inlineStr">
        <is>
          <t>DV-105[0].Page5[0].List12[0].List[0].Li3[0].dropoff6[0]</t>
        </is>
      </c>
      <c r="F186" s="5" t="inlineStr">
        <is>
          <t>text</t>
        </is>
      </c>
      <c r="G186" s="5" t="inlineStr"/>
      <c r="H186" s="5" t="inlineStr"/>
      <c r="I186" s="5" t="inlineStr">
        <is>
          <t>448, 556, 574, 567</t>
        </is>
      </c>
      <c r="J186" s="5" t="inlineStr">
        <is>
          <t>question</t>
        </is>
      </c>
      <c r="K186" s="5" t="inlineStr">
        <is>
          <t>K14</t>
        </is>
      </c>
      <c r="L186" s="5">
        <f> K14.days.Sat.place [line 1]</f>
        <v/>
      </c>
      <c r="M186" s="5" t="inlineStr">
        <is>
          <t>K8 == "Y" and K11 == "schedule" and K14.days.Sat set</t>
        </is>
      </c>
      <c r="N186" s="5" t="inlineStr"/>
      <c r="O186" s="5" t="inlineStr"/>
    </row>
    <row r="187">
      <c r="A187" s="5" t="n">
        <v>186</v>
      </c>
      <c r="B187" s="5" t="n">
        <v>5</v>
      </c>
      <c r="C187" s="5" t="inlineStr">
        <is>
          <t>12c chart Sat</t>
        </is>
      </c>
      <c r="D187" s="5" t="inlineStr">
        <is>
          <t>End, if applies:</t>
        </is>
      </c>
      <c r="E187" s="5" t="inlineStr">
        <is>
          <t>DV-105[0].Page5[0].List12[0].List[0].Li3[0].tf33[0]</t>
        </is>
      </c>
      <c r="F187" s="5" t="inlineStr">
        <is>
          <t>text</t>
        </is>
      </c>
      <c r="G187" s="5" t="inlineStr"/>
      <c r="H187" s="5" t="inlineStr"/>
      <c r="I187" s="5" t="inlineStr">
        <is>
          <t>197, 572, 250, 583</t>
        </is>
      </c>
      <c r="J187" s="5" t="inlineStr">
        <is>
          <t>question</t>
        </is>
      </c>
      <c r="K187" s="5" t="inlineStr">
        <is>
          <t>K14</t>
        </is>
      </c>
      <c r="L187" s="5">
        <f> K14.days.Sat.end</f>
        <v/>
      </c>
      <c r="M187" s="5" t="inlineStr">
        <is>
          <t>K8 == "Y" and K11 == "schedule" and K14.days.Sat set</t>
        </is>
      </c>
      <c r="N187" s="5" t="inlineStr"/>
      <c r="O187" s="5" t="inlineStr"/>
    </row>
    <row r="188">
      <c r="A188" s="5" t="n">
        <v>187</v>
      </c>
      <c r="B188" s="5" t="n">
        <v>5</v>
      </c>
      <c r="C188" s="5" t="inlineStr">
        <is>
          <t>12c chart Sat</t>
        </is>
      </c>
      <c r="D188" s="5" t="inlineStr">
        <is>
          <t>Person to bring children to and from visit (or make available for virtual visit)</t>
        </is>
      </c>
      <c r="E188" s="5" t="inlineStr">
        <is>
          <t>DV-105[0].Page5[0].List12[0].List[0].Li3[0].tf34[0]</t>
        </is>
      </c>
      <c r="F188" s="5" t="inlineStr">
        <is>
          <t>text</t>
        </is>
      </c>
      <c r="G188" s="5" t="inlineStr"/>
      <c r="H188" s="5" t="inlineStr"/>
      <c r="I188" s="5" t="inlineStr">
        <is>
          <t>322, 572, 441, 583</t>
        </is>
      </c>
      <c r="J188" s="5" t="inlineStr">
        <is>
          <t>question</t>
        </is>
      </c>
      <c r="K188" s="5" t="inlineStr">
        <is>
          <t>K14</t>
        </is>
      </c>
      <c r="L188" s="5">
        <f> K14.days.Sat.whoBrings [line 2]</f>
        <v/>
      </c>
      <c r="M188" s="5" t="inlineStr">
        <is>
          <t>K8 == "Y" and K11 == "schedule" and K14.days.Sat set</t>
        </is>
      </c>
      <c r="N188" s="5" t="inlineStr"/>
      <c r="O188" s="5" t="inlineStr"/>
    </row>
    <row r="189">
      <c r="A189" s="5" t="n">
        <v>188</v>
      </c>
      <c r="B189" s="5" t="n">
        <v>5</v>
      </c>
      <c r="C189" s="5" t="inlineStr">
        <is>
          <t>12c chart Sat</t>
        </is>
      </c>
      <c r="D189" s="5" t="inlineStr">
        <is>
          <t>Location of drop-off/pick-up</t>
        </is>
      </c>
      <c r="E189" s="5" t="inlineStr">
        <is>
          <t>DV-105[0].Page5[0].List12[0].List[0].Li3[0].tf36[0]</t>
        </is>
      </c>
      <c r="F189" s="5" t="inlineStr">
        <is>
          <t>text</t>
        </is>
      </c>
      <c r="G189" s="5" t="inlineStr"/>
      <c r="H189" s="5" t="inlineStr"/>
      <c r="I189" s="5" t="inlineStr">
        <is>
          <t>448, 572, 574, 583</t>
        </is>
      </c>
      <c r="J189" s="5" t="inlineStr">
        <is>
          <t>question</t>
        </is>
      </c>
      <c r="K189" s="5" t="inlineStr">
        <is>
          <t>K14</t>
        </is>
      </c>
      <c r="L189" s="5">
        <f> K14.days.Sat.place [line 2]</f>
        <v/>
      </c>
      <c r="M189" s="5" t="inlineStr">
        <is>
          <t>K8 == "Y" and K11 == "schedule" and K14.days.Sat set</t>
        </is>
      </c>
      <c r="N189" s="5" t="inlineStr"/>
      <c r="O189" s="5" t="inlineStr"/>
    </row>
    <row r="190">
      <c r="A190" s="5" t="n">
        <v>189</v>
      </c>
      <c r="B190" s="5" t="n">
        <v>5</v>
      </c>
      <c r="C190" s="5" t="inlineStr">
        <is>
          <t>12c chart Sun</t>
        </is>
      </c>
      <c r="D190" s="5" t="inlineStr">
        <is>
          <t>Start:</t>
        </is>
      </c>
      <c r="E190" s="5" t="inlineStr">
        <is>
          <t>DV-105[0].Page5[0].List12[0].List[0].Li3[0].tf37[0]</t>
        </is>
      </c>
      <c r="F190" s="5" t="inlineStr">
        <is>
          <t>text</t>
        </is>
      </c>
      <c r="G190" s="5" t="inlineStr"/>
      <c r="H190" s="5" t="inlineStr"/>
      <c r="I190" s="5" t="inlineStr">
        <is>
          <t>155, 589, 250, 600</t>
        </is>
      </c>
      <c r="J190" s="5" t="inlineStr">
        <is>
          <t>question</t>
        </is>
      </c>
      <c r="K190" s="5" t="inlineStr">
        <is>
          <t>K14</t>
        </is>
      </c>
      <c r="L190" s="5">
        <f> K14.days.Sun.start</f>
        <v/>
      </c>
      <c r="M190" s="5" t="inlineStr">
        <is>
          <t>K8 == "Y" and K11 == "schedule" and K14.days.Sun set</t>
        </is>
      </c>
      <c r="N190" s="5" t="inlineStr"/>
      <c r="O190" s="5" t="inlineStr"/>
    </row>
    <row r="191">
      <c r="A191" s="5" t="n">
        <v>190</v>
      </c>
      <c r="B191" s="5" t="n">
        <v>5</v>
      </c>
      <c r="C191" s="5" t="inlineStr">
        <is>
          <t>12c chart Sun</t>
        </is>
      </c>
      <c r="D191" s="5" t="inlineStr">
        <is>
          <t>Virtual visitwith person in 2</t>
        </is>
      </c>
      <c r="E191" s="5" t="inlineStr">
        <is>
          <t>DV-105[0].Page5[0].List12[0].List[0].Li3[0].itemc_VirtVist_cb7[0]</t>
        </is>
      </c>
      <c r="F191" s="5" t="inlineStr">
        <is>
          <t>checkbox</t>
        </is>
      </c>
      <c r="G191" s="5" t="inlineStr">
        <is>
          <t>21</t>
        </is>
      </c>
      <c r="H191" s="5" t="inlineStr"/>
      <c r="I191" s="5" t="inlineStr">
        <is>
          <t>279, 597, 288, 606</t>
        </is>
      </c>
      <c r="J191" s="5" t="inlineStr">
        <is>
          <t>question</t>
        </is>
      </c>
      <c r="K191" s="5" t="inlineStr">
        <is>
          <t>K14</t>
        </is>
      </c>
      <c r="L191" s="5" t="inlineStr">
        <is>
          <t>check if K14.days.Sun.virtual</t>
        </is>
      </c>
      <c r="M191" s="5" t="inlineStr">
        <is>
          <t>K8 == "Y" and K11 == "schedule" and K14.days.Sun set</t>
        </is>
      </c>
      <c r="N191" s="5" t="inlineStr"/>
      <c r="O191" s="5" t="inlineStr"/>
    </row>
    <row r="192">
      <c r="A192" s="5" t="n">
        <v>191</v>
      </c>
      <c r="B192" s="5" t="n">
        <v>5</v>
      </c>
      <c r="C192" s="5" t="inlineStr">
        <is>
          <t>12c chart Sun</t>
        </is>
      </c>
      <c r="D192" s="5" t="inlineStr">
        <is>
          <t>Person to bring children to and from visit (or make available for virtual visit)</t>
        </is>
      </c>
      <c r="E192" s="5" t="inlineStr">
        <is>
          <t>DV-105[0].Page5[0].List12[0].List[0].Li3[0].tf38[0]</t>
        </is>
      </c>
      <c r="F192" s="5" t="inlineStr">
        <is>
          <t>text</t>
        </is>
      </c>
      <c r="G192" s="5" t="inlineStr"/>
      <c r="H192" s="5" t="inlineStr"/>
      <c r="I192" s="5" t="inlineStr">
        <is>
          <t>322, 589, 440, 600</t>
        </is>
      </c>
      <c r="J192" s="5" t="inlineStr">
        <is>
          <t>question</t>
        </is>
      </c>
      <c r="K192" s="5" t="inlineStr">
        <is>
          <t>K14</t>
        </is>
      </c>
      <c r="L192" s="5">
        <f> K14.days.Sun.whoBrings [line 1]</f>
        <v/>
      </c>
      <c r="M192" s="5" t="inlineStr">
        <is>
          <t>K8 == "Y" and K11 == "schedule" and K14.days.Sun set</t>
        </is>
      </c>
      <c r="N192" s="5" t="inlineStr"/>
      <c r="O192" s="5" t="inlineStr"/>
    </row>
    <row r="193">
      <c r="A193" s="5" t="n">
        <v>192</v>
      </c>
      <c r="B193" s="5" t="n">
        <v>5</v>
      </c>
      <c r="C193" s="5" t="inlineStr">
        <is>
          <t>12c chart Sun</t>
        </is>
      </c>
      <c r="D193" s="5" t="inlineStr">
        <is>
          <t>Location of drop-off/pick-up</t>
        </is>
      </c>
      <c r="E193" s="5" t="inlineStr">
        <is>
          <t>DV-105[0].Page5[0].List12[0].List[0].Li3[0].dropoff7[0]</t>
        </is>
      </c>
      <c r="F193" s="5" t="inlineStr">
        <is>
          <t>text</t>
        </is>
      </c>
      <c r="G193" s="5" t="inlineStr"/>
      <c r="H193" s="5" t="inlineStr"/>
      <c r="I193" s="5" t="inlineStr">
        <is>
          <t>448, 589, 574, 600</t>
        </is>
      </c>
      <c r="J193" s="5" t="inlineStr">
        <is>
          <t>question</t>
        </is>
      </c>
      <c r="K193" s="5" t="inlineStr">
        <is>
          <t>K14</t>
        </is>
      </c>
      <c r="L193" s="5">
        <f> K14.days.Sun.place [line 1]</f>
        <v/>
      </c>
      <c r="M193" s="5" t="inlineStr">
        <is>
          <t>K8 == "Y" and K11 == "schedule" and K14.days.Sun set</t>
        </is>
      </c>
      <c r="N193" s="5" t="inlineStr"/>
      <c r="O193" s="5" t="inlineStr"/>
    </row>
    <row r="194">
      <c r="A194" s="5" t="n">
        <v>193</v>
      </c>
      <c r="B194" s="5" t="n">
        <v>5</v>
      </c>
      <c r="C194" s="5" t="inlineStr">
        <is>
          <t>12c chart Sun</t>
        </is>
      </c>
      <c r="D194" s="5" t="inlineStr">
        <is>
          <t>End, if applies:</t>
        </is>
      </c>
      <c r="E194" s="5" t="inlineStr">
        <is>
          <t>DV-105[0].Page5[0].List12[0].List[0].Li3[0].tf39[0]</t>
        </is>
      </c>
      <c r="F194" s="5" t="inlineStr">
        <is>
          <t>text</t>
        </is>
      </c>
      <c r="G194" s="5" t="inlineStr"/>
      <c r="H194" s="5" t="inlineStr"/>
      <c r="I194" s="5" t="inlineStr">
        <is>
          <t>197, 605, 250, 616</t>
        </is>
      </c>
      <c r="J194" s="5" t="inlineStr">
        <is>
          <t>question</t>
        </is>
      </c>
      <c r="K194" s="5" t="inlineStr">
        <is>
          <t>K14</t>
        </is>
      </c>
      <c r="L194" s="5">
        <f> K14.days.Sun.end</f>
        <v/>
      </c>
      <c r="M194" s="5" t="inlineStr">
        <is>
          <t>K8 == "Y" and K11 == "schedule" and K14.days.Sun set</t>
        </is>
      </c>
      <c r="N194" s="5" t="inlineStr"/>
      <c r="O194" s="5" t="inlineStr"/>
    </row>
    <row r="195">
      <c r="A195" s="5" t="n">
        <v>194</v>
      </c>
      <c r="B195" s="5" t="n">
        <v>5</v>
      </c>
      <c r="C195" s="5" t="inlineStr">
        <is>
          <t>12c chart Sun</t>
        </is>
      </c>
      <c r="D195" s="5" t="inlineStr">
        <is>
          <t>Person to bring children to and from visit (or make available for virtual visit)</t>
        </is>
      </c>
      <c r="E195" s="5" t="inlineStr">
        <is>
          <t>DV-105[0].Page5[0].List12[0].List[0].Li3[0].tf41[0]</t>
        </is>
      </c>
      <c r="F195" s="5" t="inlineStr">
        <is>
          <t>text</t>
        </is>
      </c>
      <c r="G195" s="5" t="inlineStr"/>
      <c r="H195" s="5" t="inlineStr"/>
      <c r="I195" s="5" t="inlineStr">
        <is>
          <t>322, 605, 441, 616</t>
        </is>
      </c>
      <c r="J195" s="5" t="inlineStr">
        <is>
          <t>question</t>
        </is>
      </c>
      <c r="K195" s="5" t="inlineStr">
        <is>
          <t>K14</t>
        </is>
      </c>
      <c r="L195" s="5">
        <f> K14.days.Sun.whoBrings [line 2]</f>
        <v/>
      </c>
      <c r="M195" s="5" t="inlineStr">
        <is>
          <t>K8 == "Y" and K11 == "schedule" and K14.days.Sun set</t>
        </is>
      </c>
      <c r="N195" s="5" t="inlineStr"/>
      <c r="O195" s="5" t="inlineStr"/>
    </row>
    <row r="196">
      <c r="A196" s="5" t="n">
        <v>195</v>
      </c>
      <c r="B196" s="5" t="n">
        <v>5</v>
      </c>
      <c r="C196" s="5" t="inlineStr">
        <is>
          <t>12c chart Sun</t>
        </is>
      </c>
      <c r="D196" s="5" t="inlineStr">
        <is>
          <t>Location of drop-off/pick-up</t>
        </is>
      </c>
      <c r="E196" s="5" t="inlineStr">
        <is>
          <t>DV-105[0].Page5[0].List12[0].List[0].Li3[0].tf42[0]</t>
        </is>
      </c>
      <c r="F196" s="5" t="inlineStr">
        <is>
          <t>text</t>
        </is>
      </c>
      <c r="G196" s="5" t="inlineStr"/>
      <c r="H196" s="5" t="inlineStr"/>
      <c r="I196" s="5" t="inlineStr">
        <is>
          <t>448, 605, 574, 616</t>
        </is>
      </c>
      <c r="J196" s="5" t="inlineStr">
        <is>
          <t>question</t>
        </is>
      </c>
      <c r="K196" s="5" t="inlineStr">
        <is>
          <t>K14</t>
        </is>
      </c>
      <c r="L196" s="5">
        <f> K14.days.Sun.place [line 2]</f>
        <v/>
      </c>
      <c r="M196" s="5" t="inlineStr">
        <is>
          <t>K8 == "Y" and K11 == "schedule" and K14.days.Sun set</t>
        </is>
      </c>
      <c r="N196" s="5" t="inlineStr"/>
      <c r="O196" s="5" t="inlineStr"/>
    </row>
    <row r="197">
      <c r="A197" s="5" t="n">
        <v>196</v>
      </c>
      <c r="B197" s="5" t="n">
        <v>5</v>
      </c>
      <c r="C197" s="5" t="inlineStr">
        <is>
          <t>12c chart repeat</t>
        </is>
      </c>
      <c r="D197" s="5" t="inlineStr">
        <is>
          <t>Every week</t>
        </is>
      </c>
      <c r="E197" s="5" t="inlineStr">
        <is>
          <t>DV-105[0].Page5[0].List12[0].List[0].Li3[0].CheckBoxRightCaption12b[0]</t>
        </is>
      </c>
      <c r="F197" s="5" t="inlineStr">
        <is>
          <t>checkbox</t>
        </is>
      </c>
      <c r="G197" s="5" t="inlineStr">
        <is>
          <t>1</t>
        </is>
      </c>
      <c r="H197" s="5" t="inlineStr"/>
      <c r="I197" s="5" t="inlineStr">
        <is>
          <t>69, 636, 78, 645</t>
        </is>
      </c>
      <c r="J197" s="5" t="inlineStr">
        <is>
          <t>question</t>
        </is>
      </c>
      <c r="K197" s="5" t="inlineStr">
        <is>
          <t>K14</t>
        </is>
      </c>
      <c r="L197" s="5" t="inlineStr">
        <is>
          <t>check if K14.repeat == "every week"</t>
        </is>
      </c>
      <c r="M197" s="5" t="inlineStr">
        <is>
          <t>K8 == "Y" and K11 == "schedule"</t>
        </is>
      </c>
      <c r="N197" s="5" t="inlineStr"/>
      <c r="O197" s="5" t="inlineStr"/>
    </row>
    <row r="198">
      <c r="A198" s="5" t="n">
        <v>197</v>
      </c>
      <c r="B198" s="5" t="n">
        <v>5</v>
      </c>
      <c r="C198" s="5" t="inlineStr">
        <is>
          <t>12c chart repeat</t>
        </is>
      </c>
      <c r="D198" s="5" t="inlineStr">
        <is>
          <t>Every other week</t>
        </is>
      </c>
      <c r="E198" s="5" t="inlineStr">
        <is>
          <t>DV-105[0].Page5[0].List12[0].List[0].Li3[0].CheckBoxRightCaption12b[1]</t>
        </is>
      </c>
      <c r="F198" s="5" t="inlineStr">
        <is>
          <t>checkbox</t>
        </is>
      </c>
      <c r="G198" s="5" t="inlineStr">
        <is>
          <t>11</t>
        </is>
      </c>
      <c r="H198" s="5" t="inlineStr"/>
      <c r="I198" s="5" t="inlineStr">
        <is>
          <t>163, 636, 172, 645</t>
        </is>
      </c>
      <c r="J198" s="5" t="inlineStr">
        <is>
          <t>question</t>
        </is>
      </c>
      <c r="K198" s="5" t="inlineStr">
        <is>
          <t>K14</t>
        </is>
      </c>
      <c r="L198" s="5" t="inlineStr">
        <is>
          <t>check if K14.repeat == "every other week"</t>
        </is>
      </c>
      <c r="M198" s="5" t="inlineStr">
        <is>
          <t>K8 == "Y" and K11 == "schedule"</t>
        </is>
      </c>
      <c r="N198" s="5" t="inlineStr"/>
      <c r="O198" s="5" t="inlineStr"/>
    </row>
    <row r="199">
      <c r="A199" s="5" t="n">
        <v>198</v>
      </c>
      <c r="B199" s="5" t="n">
        <v>5</v>
      </c>
      <c r="C199" s="5" t="inlineStr">
        <is>
          <t>12c chart repeat</t>
        </is>
      </c>
      <c r="D199" s="5" t="inlineStr">
        <is>
          <t>Other</t>
        </is>
      </c>
      <c r="E199" s="5" t="inlineStr">
        <is>
          <t>DV-105[0].Page5[0].List12[0].List[0].Li3[0].CheckBoxRightCaption12b[2]</t>
        </is>
      </c>
      <c r="F199" s="5" t="inlineStr">
        <is>
          <t>checkbox</t>
        </is>
      </c>
      <c r="G199" s="5" t="inlineStr">
        <is>
          <t>21</t>
        </is>
      </c>
      <c r="H199" s="5" t="inlineStr"/>
      <c r="I199" s="5" t="inlineStr">
        <is>
          <t>286, 637, 295, 646</t>
        </is>
      </c>
      <c r="J199" s="5" t="inlineStr">
        <is>
          <t>question</t>
        </is>
      </c>
      <c r="K199" s="5" t="inlineStr">
        <is>
          <t>K14</t>
        </is>
      </c>
      <c r="L199" s="5" t="inlineStr">
        <is>
          <t>check if K14.repeat == "other"</t>
        </is>
      </c>
      <c r="M199" s="5" t="inlineStr">
        <is>
          <t>K8 == "Y" and K11 == "schedule"</t>
        </is>
      </c>
      <c r="N199" s="5" t="inlineStr"/>
      <c r="O199" s="5" t="inlineStr"/>
    </row>
    <row r="200">
      <c r="A200" s="5" t="n">
        <v>199</v>
      </c>
      <c r="B200" s="5" t="n">
        <v>5</v>
      </c>
      <c r="C200" s="5" t="inlineStr">
        <is>
          <t>12c chart repeat</t>
        </is>
      </c>
      <c r="D200" s="5" t="inlineStr">
        <is>
          <t>Other</t>
        </is>
      </c>
      <c r="E200" s="5" t="inlineStr">
        <is>
          <t>DV-105[0].Page5[0].List12[0].List[0].Li3[0].othertf[0]</t>
        </is>
      </c>
      <c r="F200" s="5" t="inlineStr">
        <is>
          <t>text</t>
        </is>
      </c>
      <c r="G200" s="5" t="inlineStr"/>
      <c r="H200" s="5" t="inlineStr"/>
      <c r="I200" s="5" t="inlineStr">
        <is>
          <t>332, 636, 570, 649</t>
        </is>
      </c>
      <c r="J200" s="5" t="inlineStr">
        <is>
          <t>question</t>
        </is>
      </c>
      <c r="K200" s="5" t="inlineStr">
        <is>
          <t>K14</t>
        </is>
      </c>
      <c r="L200" s="5">
        <f> K14.repeatOther</f>
        <v/>
      </c>
      <c r="M200" s="5" t="inlineStr">
        <is>
          <t>K8 == "Y" and K11 == "schedule" and repeat == "other"</t>
        </is>
      </c>
      <c r="N200" s="5" t="inlineStr"/>
      <c r="O200" s="5" t="inlineStr"/>
    </row>
    <row r="201">
      <c r="A201" s="5" t="n">
        <v>200</v>
      </c>
      <c r="B201" s="5" t="n">
        <v>5</v>
      </c>
      <c r="C201" s="5" t="inlineStr">
        <is>
          <t>12c chart start</t>
        </is>
      </c>
      <c r="D201" s="5" t="inlineStr">
        <is>
          <t>Start date for visits (month, day, year):</t>
        </is>
      </c>
      <c r="E201" s="5" t="inlineStr">
        <is>
          <t>DV-105[0].Page5[0].List12[0].List[0].Li3[0].TextField2[0]</t>
        </is>
      </c>
      <c r="F201" s="5" t="inlineStr">
        <is>
          <t>text</t>
        </is>
      </c>
      <c r="G201" s="5" t="inlineStr"/>
      <c r="H201" s="5" t="inlineStr"/>
      <c r="I201" s="5" t="inlineStr">
        <is>
          <t>254, 654, 570, 670</t>
        </is>
      </c>
      <c r="J201" s="5" t="inlineStr">
        <is>
          <t>question</t>
        </is>
      </c>
      <c r="K201" s="5" t="inlineStr">
        <is>
          <t>K14</t>
        </is>
      </c>
      <c r="L201" s="5">
        <f> fmtDate(K14.startDate)</f>
        <v/>
      </c>
      <c r="M201" s="5" t="inlineStr">
        <is>
          <t>K8 == "Y" and K11 == "schedule"</t>
        </is>
      </c>
      <c r="N201" s="5" t="inlineStr"/>
      <c r="O201" s="5" t="inlineStr"/>
    </row>
    <row r="202">
      <c r="A202" s="7" t="n">
        <v>201</v>
      </c>
      <c r="B202" s="7" t="n">
        <v>6</v>
      </c>
      <c r="C202" s="7" t="inlineStr">
        <is>
          <t>—</t>
        </is>
      </c>
      <c r="D202" s="7" t="inlineStr">
        <is>
          <t>Print</t>
        </is>
      </c>
      <c r="E202" s="7" t="inlineStr">
        <is>
          <t>DV-105[0].#pageSet[0].LastPage[0].#area[0].Print[0]</t>
        </is>
      </c>
      <c r="F202" s="7" t="inlineStr">
        <is>
          <t>button</t>
        </is>
      </c>
      <c r="G202" s="7" t="inlineStr"/>
      <c r="H202" s="7" t="inlineStr"/>
      <c r="I202" s="7" t="inlineStr">
        <is>
          <t>258, 759, 339, 776</t>
        </is>
      </c>
      <c r="J202" s="7" t="inlineStr">
        <is>
          <t>ignore (UI button)</t>
        </is>
      </c>
      <c r="K202" s="7" t="inlineStr"/>
      <c r="L202" s="7" t="inlineStr"/>
      <c r="M202" s="7" t="inlineStr"/>
      <c r="N202" s="7" t="inlineStr">
        <is>
          <t>Print/Save/Clear button. Do not fill.</t>
        </is>
      </c>
      <c r="O202" s="7" t="inlineStr"/>
    </row>
    <row r="203">
      <c r="A203" s="7" t="n">
        <v>202</v>
      </c>
      <c r="B203" s="7" t="n">
        <v>6</v>
      </c>
      <c r="C203" s="7" t="inlineStr">
        <is>
          <t>—</t>
        </is>
      </c>
      <c r="D203" s="7" t="inlineStr">
        <is>
          <t>Save</t>
        </is>
      </c>
      <c r="E203" s="7" t="inlineStr">
        <is>
          <t>DV-105[0].#pageSet[0].LastPage[0].#area[0].Save[0]</t>
        </is>
      </c>
      <c r="F203" s="7" t="inlineStr">
        <is>
          <t>button</t>
        </is>
      </c>
      <c r="G203" s="7" t="inlineStr"/>
      <c r="H203" s="7" t="inlineStr"/>
      <c r="I203" s="7" t="inlineStr">
        <is>
          <t>345, 759, 426, 776</t>
        </is>
      </c>
      <c r="J203" s="7" t="inlineStr">
        <is>
          <t>ignore (UI button)</t>
        </is>
      </c>
      <c r="K203" s="7" t="inlineStr"/>
      <c r="L203" s="7" t="inlineStr"/>
      <c r="M203" s="7" t="inlineStr"/>
      <c r="N203" s="7" t="inlineStr">
        <is>
          <t>Print/Save/Clear button. Do not fill.</t>
        </is>
      </c>
      <c r="O203" s="7" t="inlineStr"/>
    </row>
    <row r="204">
      <c r="A204" s="7" t="n">
        <v>203</v>
      </c>
      <c r="B204" s="7" t="n">
        <v>6</v>
      </c>
      <c r="C204" s="7" t="inlineStr">
        <is>
          <t>—</t>
        </is>
      </c>
      <c r="D204" s="7" t="inlineStr">
        <is>
          <t>Clear</t>
        </is>
      </c>
      <c r="E204" s="7" t="inlineStr">
        <is>
          <t>DV-105[0].#pageSet[0].LastPage[0].#area[0].Reset[0]</t>
        </is>
      </c>
      <c r="F204" s="7" t="inlineStr">
        <is>
          <t>button</t>
        </is>
      </c>
      <c r="G204" s="7" t="inlineStr"/>
      <c r="H204" s="7" t="inlineStr"/>
      <c r="I204" s="7" t="inlineStr">
        <is>
          <t>495, 759, 576, 776</t>
        </is>
      </c>
      <c r="J204" s="7" t="inlineStr">
        <is>
          <t>ignore (UI button)</t>
        </is>
      </c>
      <c r="K204" s="7" t="inlineStr"/>
      <c r="L204" s="7" t="inlineStr"/>
      <c r="M204" s="7" t="inlineStr"/>
      <c r="N204" s="7" t="inlineStr">
        <is>
          <t>Print/Save/Clear button. Do not fill.</t>
        </is>
      </c>
      <c r="O204" s="7" t="inlineStr"/>
    </row>
    <row r="205">
      <c r="A205" s="5" t="n">
        <v>204</v>
      </c>
      <c r="B205" s="5" t="n">
        <v>6</v>
      </c>
      <c r="C205" s="5" t="inlineStr">
        <is>
          <t>Caption</t>
        </is>
      </c>
      <c r="D205" s="5" t="inlineStr">
        <is>
          <t>Case Number:</t>
        </is>
      </c>
      <c r="E205" s="5" t="inlineStr">
        <is>
          <t>DV-105[0].Page6[0].Caption[0].PxCaption[0].CaseNumber[0]</t>
        </is>
      </c>
      <c r="F205" s="5" t="inlineStr">
        <is>
          <t>text</t>
        </is>
      </c>
      <c r="G205" s="5" t="inlineStr"/>
      <c r="H205" s="5" t="inlineStr"/>
      <c r="I205" s="5" t="inlineStr">
        <is>
          <t>399, 50, 572, 62</t>
        </is>
      </c>
      <c r="J205" s="5" t="inlineStr">
        <is>
          <t>question</t>
        </is>
      </c>
      <c r="K205" s="5" t="inlineStr">
        <is>
          <t>S3,S4</t>
        </is>
      </c>
      <c r="L205" s="5">
        <f> S4</f>
        <v/>
      </c>
      <c r="M205" s="5" t="inlineStr">
        <is>
          <t>S3 == "update"; otherwise blank for clerk</t>
        </is>
      </c>
      <c r="N205" s="5" t="inlineStr"/>
      <c r="O205" s="5" t="inlineStr"/>
    </row>
    <row r="206">
      <c r="A206" s="5" t="n">
        <v>205</v>
      </c>
      <c r="B206" s="5" t="n">
        <v>6</v>
      </c>
      <c r="C206" s="5" t="inlineStr">
        <is>
          <t>13a</t>
        </is>
      </c>
      <c r="D206" s="5" t="inlineStr">
        <is>
          <t>No</t>
        </is>
      </c>
      <c r="E206" s="5" t="inlineStr">
        <is>
          <t>DV-105[0].Page6[0].List13[0].List[0].Li1[0].ChoiceItem13aNoYes[0]</t>
        </is>
      </c>
      <c r="F206" s="5" t="inlineStr">
        <is>
          <t>checkbox</t>
        </is>
      </c>
      <c r="G206" s="5" t="inlineStr">
        <is>
          <t>1</t>
        </is>
      </c>
      <c r="H206" s="5" t="inlineStr"/>
      <c r="I206" s="5" t="inlineStr">
        <is>
          <t>78, 142, 87, 151</t>
        </is>
      </c>
      <c r="J206" s="5" t="inlineStr">
        <is>
          <t>question</t>
        </is>
      </c>
      <c r="K206" s="5" t="inlineStr">
        <is>
          <t>K12</t>
        </is>
      </c>
      <c r="L206" s="5" t="inlineStr">
        <is>
          <t>check if K12 == "N"</t>
        </is>
      </c>
      <c r="M206" s="5" t="inlineStr">
        <is>
          <t>K8 == "N"</t>
        </is>
      </c>
      <c r="N206" s="5" t="inlineStr"/>
      <c r="O206" s="5" t="inlineStr"/>
    </row>
    <row r="207">
      <c r="A207" s="5" t="n">
        <v>206</v>
      </c>
      <c r="B207" s="5" t="n">
        <v>6</v>
      </c>
      <c r="C207" s="5" t="inlineStr">
        <is>
          <t>13a</t>
        </is>
      </c>
      <c r="D207" s="5" t="inlineStr">
        <is>
          <t>Yes (If yes, do you want a professional or nonprofessional to supervise? Check 1 or 2.)</t>
        </is>
      </c>
      <c r="E207" s="5" t="inlineStr">
        <is>
          <t>DV-105[0].Page6[0].List13[0].List[0].Li1[0].ChoiceItem13aNoYes[1]</t>
        </is>
      </c>
      <c r="F207" s="5" t="inlineStr">
        <is>
          <t>checkbox</t>
        </is>
      </c>
      <c r="G207" s="5" t="inlineStr">
        <is>
          <t>2</t>
        </is>
      </c>
      <c r="H207" s="5" t="inlineStr"/>
      <c r="I207" s="5" t="inlineStr">
        <is>
          <t>117, 143, 126, 152</t>
        </is>
      </c>
      <c r="J207" s="5" t="inlineStr">
        <is>
          <t>question</t>
        </is>
      </c>
      <c r="K207" s="5" t="inlineStr">
        <is>
          <t>K12</t>
        </is>
      </c>
      <c r="L207" s="5" t="inlineStr">
        <is>
          <t>check if K12 == "Y"</t>
        </is>
      </c>
      <c r="M207" s="5" t="inlineStr">
        <is>
          <t>K8 == "N"</t>
        </is>
      </c>
      <c r="N207" s="5" t="inlineStr">
        <is>
          <t>Export value 2.</t>
        </is>
      </c>
      <c r="O207" s="5" t="inlineStr"/>
    </row>
    <row r="208">
      <c r="A208" s="5" t="n">
        <v>207</v>
      </c>
      <c r="B208" s="5" t="n">
        <v>6</v>
      </c>
      <c r="C208" s="5" t="inlineStr">
        <is>
          <t>13a</t>
        </is>
      </c>
      <c r="D208" s="5" t="inlineStr">
        <is>
          <t>Professional (list name, if known):</t>
        </is>
      </c>
      <c r="E208" s="5" t="inlineStr">
        <is>
          <t>DV-105[0].Page6[0].List13[0].List[0].Li1[0].List[0].Li1[0].ChoiceItem13aSupervExch[0]</t>
        </is>
      </c>
      <c r="F208" s="5" t="inlineStr">
        <is>
          <t>checkbox</t>
        </is>
      </c>
      <c r="G208" s="5" t="inlineStr">
        <is>
          <t>11</t>
        </is>
      </c>
      <c r="H208" s="5" t="inlineStr"/>
      <c r="I208" s="5" t="inlineStr">
        <is>
          <t>101, 164, 110, 173</t>
        </is>
      </c>
      <c r="J208" s="5" t="inlineStr">
        <is>
          <t>question</t>
        </is>
      </c>
      <c r="K208" s="5" t="inlineStr">
        <is>
          <t>K12</t>
        </is>
      </c>
      <c r="L208" s="5" t="inlineStr">
        <is>
          <t>check if K12.type == "professional"</t>
        </is>
      </c>
      <c r="M208" s="5" t="inlineStr">
        <is>
          <t>K12 == "Y"</t>
        </is>
      </c>
      <c r="N208" s="5" t="inlineStr"/>
      <c r="O208" s="5" t="inlineStr"/>
    </row>
    <row r="209">
      <c r="A209" s="5" t="n">
        <v>208</v>
      </c>
      <c r="B209" s="5" t="n">
        <v>6</v>
      </c>
      <c r="C209" s="5" t="inlineStr">
        <is>
          <t>13a</t>
        </is>
      </c>
      <c r="D209" s="5" t="inlineStr">
        <is>
          <t>list name, if known</t>
        </is>
      </c>
      <c r="E209" s="5" t="inlineStr">
        <is>
          <t>DV-105[0].Page6[0].List13[0].List[0].Li1[0].List[0].Li1[0].TextField2[0]</t>
        </is>
      </c>
      <c r="F209" s="5" t="inlineStr">
        <is>
          <t>text</t>
        </is>
      </c>
      <c r="G209" s="5" t="inlineStr"/>
      <c r="H209" s="5" t="inlineStr"/>
      <c r="I209" s="5" t="inlineStr">
        <is>
          <t>270, 161, 541, 176</t>
        </is>
      </c>
      <c r="J209" s="5" t="inlineStr">
        <is>
          <t>question</t>
        </is>
      </c>
      <c r="K209" s="5" t="inlineStr">
        <is>
          <t>K12</t>
        </is>
      </c>
      <c r="L209" s="5">
        <f> K12.name</f>
        <v/>
      </c>
      <c r="M209" s="5" t="inlineStr">
        <is>
          <t>K12 == "Y" and type == "professional"</t>
        </is>
      </c>
      <c r="N209" s="5" t="inlineStr"/>
      <c r="O209" s="5" t="inlineStr"/>
    </row>
    <row r="210">
      <c r="A210" s="5" t="n">
        <v>209</v>
      </c>
      <c r="B210" s="5" t="n">
        <v>6</v>
      </c>
      <c r="C210" s="5" t="inlineStr">
        <is>
          <t>13a</t>
        </is>
      </c>
      <c r="D210" s="5" t="inlineStr">
        <is>
          <t>%</t>
        </is>
      </c>
      <c r="E210" s="5" t="inlineStr">
        <is>
          <t>DV-105[0].Page6[0].List13[0].List[0].Li1[0].List[0].Li1[0].NumericField1[0]</t>
        </is>
      </c>
      <c r="F210" s="5" t="inlineStr">
        <is>
          <t>text</t>
        </is>
      </c>
      <c r="G210" s="5" t="inlineStr"/>
      <c r="H210" s="5" t="inlineStr"/>
      <c r="I210" s="5" t="inlineStr">
        <is>
          <t>235, 180, 260, 195</t>
        </is>
      </c>
      <c r="J210" s="5" t="inlineStr">
        <is>
          <t>question</t>
        </is>
      </c>
      <c r="K210" s="5" t="inlineStr">
        <is>
          <t>K12</t>
        </is>
      </c>
      <c r="L210" s="5">
        <f> K12.feeMe</f>
        <v/>
      </c>
      <c r="M210" s="5" t="inlineStr">
        <is>
          <t>K12 == "Y" and type == "professional"</t>
        </is>
      </c>
      <c r="N210" s="5" t="inlineStr">
        <is>
          <t>Fee split, percent.</t>
        </is>
      </c>
      <c r="O210" s="5" t="inlineStr"/>
    </row>
    <row r="211">
      <c r="A211" s="5" t="n">
        <v>210</v>
      </c>
      <c r="B211" s="5" t="n">
        <v>6</v>
      </c>
      <c r="C211" s="5" t="inlineStr">
        <is>
          <t>13a</t>
        </is>
      </c>
      <c r="D211" s="5" t="inlineStr">
        <is>
          <t>%</t>
        </is>
      </c>
      <c r="E211" s="5" t="inlineStr">
        <is>
          <t>DV-105[0].Page6[0].List13[0].List[0].Li1[0].List[0].Li1[0].NumericField2[0]</t>
        </is>
      </c>
      <c r="F211" s="5" t="inlineStr">
        <is>
          <t>text</t>
        </is>
      </c>
      <c r="G211" s="5" t="inlineStr"/>
      <c r="H211" s="5" t="inlineStr"/>
      <c r="I211" s="5" t="inlineStr">
        <is>
          <t>349, 180, 374, 195</t>
        </is>
      </c>
      <c r="J211" s="5" t="inlineStr">
        <is>
          <t>question</t>
        </is>
      </c>
      <c r="K211" s="5" t="inlineStr">
        <is>
          <t>K12</t>
        </is>
      </c>
      <c r="L211" s="5">
        <f> K12.feeRespondent</f>
        <v/>
      </c>
      <c r="M211" s="5" t="inlineStr">
        <is>
          <t>K12 == "Y" and type == "professional"</t>
        </is>
      </c>
      <c r="N211" s="5" t="inlineStr"/>
      <c r="O211" s="5" t="inlineStr"/>
    </row>
    <row r="212">
      <c r="A212" s="5" t="n">
        <v>211</v>
      </c>
      <c r="B212" s="5" t="n">
        <v>6</v>
      </c>
      <c r="C212" s="5" t="inlineStr">
        <is>
          <t>13a</t>
        </is>
      </c>
      <c r="D212" s="5" t="inlineStr">
        <is>
          <t>Other:</t>
        </is>
      </c>
      <c r="E212" s="5" t="inlineStr">
        <is>
          <t>DV-105[0].Page6[0].List13[0].List[0].Li1[0].List[0].Li1[0].TextField3[0]</t>
        </is>
      </c>
      <c r="F212" s="5" t="inlineStr">
        <is>
          <t>text</t>
        </is>
      </c>
      <c r="G212" s="5" t="inlineStr"/>
      <c r="H212" s="5" t="inlineStr"/>
      <c r="I212" s="5" t="inlineStr">
        <is>
          <t>431, 180, 497, 195</t>
        </is>
      </c>
      <c r="J212" s="5" t="inlineStr">
        <is>
          <t>question</t>
        </is>
      </c>
      <c r="K212" s="5" t="inlineStr">
        <is>
          <t>K12</t>
        </is>
      </c>
      <c r="L212" s="5">
        <f> K12.feeOtherName</f>
        <v/>
      </c>
      <c r="M212" s="5" t="inlineStr">
        <is>
          <t>K12 == "Y" and type == "professional"</t>
        </is>
      </c>
      <c r="N212" s="5" t="inlineStr"/>
      <c r="O212" s="5" t="inlineStr"/>
    </row>
    <row r="213">
      <c r="A213" s="5" t="n">
        <v>212</v>
      </c>
      <c r="B213" s="5" t="n">
        <v>6</v>
      </c>
      <c r="C213" s="5" t="inlineStr">
        <is>
          <t>13a</t>
        </is>
      </c>
      <c r="D213" s="5" t="inlineStr">
        <is>
          <t>%</t>
        </is>
      </c>
      <c r="E213" s="5" t="inlineStr">
        <is>
          <t>DV-105[0].Page6[0].List13[0].List[0].Li1[0].List[0].Li1[0].NumericField3[0]</t>
        </is>
      </c>
      <c r="F213" s="5" t="inlineStr">
        <is>
          <t>text</t>
        </is>
      </c>
      <c r="G213" s="5" t="inlineStr"/>
      <c r="H213" s="5" t="inlineStr"/>
      <c r="I213" s="5" t="inlineStr">
        <is>
          <t>503, 180, 524, 195</t>
        </is>
      </c>
      <c r="J213" s="5" t="inlineStr">
        <is>
          <t>question</t>
        </is>
      </c>
      <c r="K213" s="5" t="inlineStr">
        <is>
          <t>K12</t>
        </is>
      </c>
      <c r="L213" s="5">
        <f> K12.feeOther</f>
        <v/>
      </c>
      <c r="M213" s="5" t="inlineStr">
        <is>
          <t>K12 == "Y" and type == "professional"</t>
        </is>
      </c>
      <c r="N213" s="5" t="inlineStr"/>
      <c r="O213" s="5" t="inlineStr"/>
    </row>
    <row r="214">
      <c r="A214" s="5" t="n">
        <v>213</v>
      </c>
      <c r="B214" s="5" t="n">
        <v>6</v>
      </c>
      <c r="C214" s="5" t="inlineStr">
        <is>
          <t>13a</t>
        </is>
      </c>
      <c r="D214" s="5" t="inlineStr">
        <is>
          <t>Nonprofessional, like a trusted relative or friend</t>
        </is>
      </c>
      <c r="E214" s="5" t="inlineStr">
        <is>
          <t>DV-105[0].Page6[0].List13[0].List[0].Li1[0].List[0].Li2[0].ChoiceItem13aSupervExch[0]</t>
        </is>
      </c>
      <c r="F214" s="5" t="inlineStr">
        <is>
          <t>checkbox</t>
        </is>
      </c>
      <c r="G214" s="5" t="inlineStr">
        <is>
          <t>1</t>
        </is>
      </c>
      <c r="H214" s="5" t="inlineStr"/>
      <c r="I214" s="5" t="inlineStr">
        <is>
          <t>101, 203, 110, 212</t>
        </is>
      </c>
      <c r="J214" s="5" t="inlineStr">
        <is>
          <t>question</t>
        </is>
      </c>
      <c r="K214" s="5" t="inlineStr">
        <is>
          <t>K12</t>
        </is>
      </c>
      <c r="L214" s="5" t="inlineStr">
        <is>
          <t>check if K12.type == "trusted person"</t>
        </is>
      </c>
      <c r="M214" s="5" t="inlineStr">
        <is>
          <t>K12 == "Y"</t>
        </is>
      </c>
      <c r="N214" s="5" t="inlineStr"/>
      <c r="O214" s="5" t="inlineStr"/>
    </row>
    <row r="215">
      <c r="A215" s="5" t="n">
        <v>214</v>
      </c>
      <c r="B215" s="5" t="n">
        <v>6</v>
      </c>
      <c r="C215" s="5" t="inlineStr">
        <is>
          <t>13a</t>
        </is>
      </c>
      <c r="D215" s="5" t="inlineStr">
        <is>
          <t>(Name):</t>
        </is>
      </c>
      <c r="E215" s="5" t="inlineStr">
        <is>
          <t>DV-105[0].Page6[0].List13[0].List[0].Li1[0].List[0].Li2[0].t2[0]</t>
        </is>
      </c>
      <c r="F215" s="5" t="inlineStr">
        <is>
          <t>text</t>
        </is>
      </c>
      <c r="G215" s="5" t="inlineStr"/>
      <c r="H215" s="5" t="inlineStr"/>
      <c r="I215" s="5" t="inlineStr">
        <is>
          <t>136, 216, 280, 231</t>
        </is>
      </c>
      <c r="J215" s="5" t="inlineStr">
        <is>
          <t>question</t>
        </is>
      </c>
      <c r="K215" s="5" t="inlineStr">
        <is>
          <t>K12</t>
        </is>
      </c>
      <c r="L215" s="5">
        <f> K12.name</f>
        <v/>
      </c>
      <c r="M215" s="5" t="inlineStr">
        <is>
          <t>K12 == "Y" and type == "trusted person"</t>
        </is>
      </c>
      <c r="N215" s="5" t="inlineStr"/>
      <c r="O215" s="5" t="inlineStr"/>
    </row>
    <row r="216">
      <c r="A216" s="5" t="n">
        <v>215</v>
      </c>
      <c r="B216" s="5" t="n">
        <v>6</v>
      </c>
      <c r="C216" s="5" t="inlineStr">
        <is>
          <t>13a</t>
        </is>
      </c>
      <c r="D216" s="5" t="inlineStr">
        <is>
          <t>Check here if the person has agreed to supervise exchanges.</t>
        </is>
      </c>
      <c r="E216" s="5" t="inlineStr">
        <is>
          <t>DV-105[0].Page6[0].List13[0].List[0].Li1[0].List[0].Li2[0].CheckBoxRightCaption[0]</t>
        </is>
      </c>
      <c r="F216" s="5" t="inlineStr">
        <is>
          <t>checkbox</t>
        </is>
      </c>
      <c r="G216" s="5" t="inlineStr">
        <is>
          <t>1</t>
        </is>
      </c>
      <c r="H216" s="5" t="inlineStr"/>
      <c r="I216" s="5" t="inlineStr">
        <is>
          <t>284, 219, 293, 228</t>
        </is>
      </c>
      <c r="J216" s="5" t="inlineStr">
        <is>
          <t>question</t>
        </is>
      </c>
      <c r="K216" s="5" t="inlineStr">
        <is>
          <t>K12</t>
        </is>
      </c>
      <c r="L216" s="5" t="inlineStr">
        <is>
          <t>check if K12.agreed</t>
        </is>
      </c>
      <c r="M216" s="5" t="inlineStr">
        <is>
          <t>K12 == "Y" and type == "trusted person"</t>
        </is>
      </c>
      <c r="N216" s="5" t="inlineStr"/>
      <c r="O216" s="5" t="inlineStr"/>
    </row>
    <row r="217">
      <c r="A217" s="5" t="n">
        <v>216</v>
      </c>
      <c r="B217" s="5" t="n">
        <v>6</v>
      </c>
      <c r="C217" s="5" t="inlineStr">
        <is>
          <t>13b(1)</t>
        </is>
      </c>
      <c r="D217" s="5" t="inlineStr">
        <is>
          <t>In person at a safe location</t>
        </is>
      </c>
      <c r="E217" s="5" t="inlineStr">
        <is>
          <t>DV-105[0].Page6[0].List13[0].List[0].Li2[0].List[0].Li1[0].Item13b1[0]</t>
        </is>
      </c>
      <c r="F217" s="5" t="inlineStr">
        <is>
          <t>checkbox</t>
        </is>
      </c>
      <c r="G217" s="5" t="inlineStr">
        <is>
          <t>21</t>
        </is>
      </c>
      <c r="H217" s="5" t="inlineStr"/>
      <c r="I217" s="5" t="inlineStr">
        <is>
          <t>239, 272, 248, 281</t>
        </is>
      </c>
      <c r="J217" s="5" t="inlineStr">
        <is>
          <t>question</t>
        </is>
      </c>
      <c r="K217" s="5" t="inlineStr">
        <is>
          <t>K10</t>
        </is>
      </c>
      <c r="L217" s="5" t="inlineStr">
        <is>
          <t>check if K10 == "safe place"</t>
        </is>
      </c>
      <c r="M217" s="5" t="inlineStr">
        <is>
          <t>K8 == "N"</t>
        </is>
      </c>
      <c r="N217" s="5" t="inlineStr">
        <is>
          <t>Exports: in person 21, virtual 1, other 11.</t>
        </is>
      </c>
      <c r="O217" s="5" t="inlineStr"/>
    </row>
    <row r="218">
      <c r="A218" s="5" t="n">
        <v>217</v>
      </c>
      <c r="B218" s="5" t="n">
        <v>6</v>
      </c>
      <c r="C218" s="5" t="inlineStr">
        <is>
          <t>13b(1)</t>
        </is>
      </c>
      <c r="D218" s="5" t="inlineStr">
        <is>
          <t>Virtual visit (not in person)</t>
        </is>
      </c>
      <c r="E218" s="5" t="inlineStr">
        <is>
          <t>DV-105[0].Page6[0].List13[0].List[0].Li2[0].List[0].Li1[0].Item13b1[1]</t>
        </is>
      </c>
      <c r="F218" s="5" t="inlineStr">
        <is>
          <t>checkbox</t>
        </is>
      </c>
      <c r="G218" s="5" t="inlineStr">
        <is>
          <t>1</t>
        </is>
      </c>
      <c r="H218" s="5" t="inlineStr"/>
      <c r="I218" s="5" t="inlineStr">
        <is>
          <t>392, 272, 401, 281</t>
        </is>
      </c>
      <c r="J218" s="5" t="inlineStr">
        <is>
          <t>question</t>
        </is>
      </c>
      <c r="K218" s="5" t="inlineStr">
        <is>
          <t>K10</t>
        </is>
      </c>
      <c r="L218" s="5" t="inlineStr">
        <is>
          <t>check if K10 == "virtual"</t>
        </is>
      </c>
      <c r="M218" s="5" t="inlineStr">
        <is>
          <t>K8 == "N"</t>
        </is>
      </c>
      <c r="N218" s="5" t="inlineStr"/>
      <c r="O218" s="5" t="inlineStr"/>
    </row>
    <row r="219">
      <c r="A219" s="5" t="n">
        <v>218</v>
      </c>
      <c r="B219" s="5" t="n">
        <v>6</v>
      </c>
      <c r="C219" s="5" t="inlineStr">
        <is>
          <t>13b(1)</t>
        </is>
      </c>
      <c r="D219" s="5" t="inlineStr">
        <is>
          <t>Other (describe):</t>
        </is>
      </c>
      <c r="E219" s="5" t="inlineStr">
        <is>
          <t>DV-105[0].Page6[0].List13[0].List[0].Li2[0].List[0].Li1[0].Item13b1[2]</t>
        </is>
      </c>
      <c r="F219" s="5" t="inlineStr">
        <is>
          <t>checkbox</t>
        </is>
      </c>
      <c r="G219" s="5" t="inlineStr">
        <is>
          <t>11</t>
        </is>
      </c>
      <c r="H219" s="5" t="inlineStr"/>
      <c r="I219" s="5" t="inlineStr">
        <is>
          <t>98, 286, 107, 295</t>
        </is>
      </c>
      <c r="J219" s="5" t="inlineStr">
        <is>
          <t>question</t>
        </is>
      </c>
      <c r="K219" s="5" t="inlineStr">
        <is>
          <t>K10</t>
        </is>
      </c>
      <c r="L219" s="5" t="inlineStr">
        <is>
          <t>check if K10 == "other"</t>
        </is>
      </c>
      <c r="M219" s="5" t="inlineStr">
        <is>
          <t>K8 == "N"</t>
        </is>
      </c>
      <c r="N219" s="5" t="inlineStr"/>
      <c r="O219" s="5" t="inlineStr"/>
    </row>
    <row r="220">
      <c r="A220" s="5" t="n">
        <v>219</v>
      </c>
      <c r="B220" s="5" t="n">
        <v>6</v>
      </c>
      <c r="C220" s="5" t="inlineStr">
        <is>
          <t>13b(1)</t>
        </is>
      </c>
      <c r="D220" s="5" t="inlineStr">
        <is>
          <t>list name, if known</t>
        </is>
      </c>
      <c r="E220" s="5" t="inlineStr">
        <is>
          <t>DV-105[0].Page6[0].List13[0].List[0].Li2[0].List[0].Li1[0].TextField2[0]</t>
        </is>
      </c>
      <c r="F220" s="5" t="inlineStr">
        <is>
          <t>text</t>
        </is>
      </c>
      <c r="G220" s="5" t="inlineStr"/>
      <c r="H220" s="5" t="inlineStr"/>
      <c r="I220" s="5" t="inlineStr">
        <is>
          <t>189, 286, 574, 301</t>
        </is>
      </c>
      <c r="J220" s="5" t="inlineStr">
        <is>
          <t>question</t>
        </is>
      </c>
      <c r="K220" s="5" t="inlineStr">
        <is>
          <t>K10</t>
        </is>
      </c>
      <c r="L220" s="5">
        <f> K10.otherText</f>
        <v/>
      </c>
      <c r="M220" s="5" t="inlineStr">
        <is>
          <t>K8 == "N" and K10 == "other"</t>
        </is>
      </c>
      <c r="N220" s="5" t="inlineStr"/>
      <c r="O220" s="5" t="inlineStr"/>
    </row>
    <row r="221">
      <c r="A221" s="5" t="n">
        <v>220</v>
      </c>
      <c r="B221" s="5" t="n">
        <v>6</v>
      </c>
      <c r="C221" s="5" t="inlineStr">
        <is>
          <t>13b(2)</t>
        </is>
      </c>
      <c r="D221" s="5" t="inlineStr">
        <is>
          <t>Give details including when visits will happen, how often the visits should be, and who will be responsible for transporting the children. (Use the lines or chart below):</t>
        </is>
      </c>
      <c r="E221" s="5" t="inlineStr">
        <is>
          <t>DV-105[0].Page6[0].List13[0].List[0].Li2[0].List[0].Li2[0].TextField1[0]</t>
        </is>
      </c>
      <c r="F221" s="5" t="inlineStr">
        <is>
          <t>text</t>
        </is>
      </c>
      <c r="G221" s="5" t="inlineStr"/>
      <c r="H221" s="5" t="inlineStr"/>
      <c r="I221" s="5" t="inlineStr">
        <is>
          <t>98, 333, 575, 361</t>
        </is>
      </c>
      <c r="J221" s="5" t="inlineStr">
        <is>
          <t>question</t>
        </is>
      </c>
      <c r="K221" s="5" t="inlineStr">
        <is>
          <t>K13</t>
        </is>
      </c>
      <c r="L221" s="5">
        <f> K13</f>
        <v/>
      </c>
      <c r="M221" s="5" t="inlineStr">
        <is>
          <t>K8 == "N"</t>
        </is>
      </c>
      <c r="N221" s="5" t="inlineStr"/>
      <c r="O221" s="5" t="inlineStr"/>
    </row>
    <row r="222">
      <c r="A222" s="5" t="n">
        <v>221</v>
      </c>
      <c r="B222" s="5" t="n">
        <v>6</v>
      </c>
      <c r="C222" s="5" t="inlineStr">
        <is>
          <t>13b(2) chart Mon</t>
        </is>
      </c>
      <c r="D222" s="5" t="inlineStr">
        <is>
          <t>Start:</t>
        </is>
      </c>
      <c r="E222" s="5" t="inlineStr">
        <is>
          <t>DV-105[0].Page6[0].List13[0].List[0].Li2[0].List[0].Li2[0].tf1[0]</t>
        </is>
      </c>
      <c r="F222" s="5" t="inlineStr">
        <is>
          <t>text</t>
        </is>
      </c>
      <c r="G222" s="5" t="inlineStr"/>
      <c r="H222" s="5" t="inlineStr"/>
      <c r="I222" s="5" t="inlineStr">
        <is>
          <t>155, 412, 250, 423</t>
        </is>
      </c>
      <c r="J222" s="5" t="inlineStr">
        <is>
          <t>question</t>
        </is>
      </c>
      <c r="K222" s="5" t="inlineStr">
        <is>
          <t>K14</t>
        </is>
      </c>
      <c r="L222" s="5">
        <f> K14.days.Mon.start</f>
        <v/>
      </c>
      <c r="M222" s="5" t="inlineStr">
        <is>
          <t>K8 == "N" and K14 set and K14.days.Mon set</t>
        </is>
      </c>
      <c r="N222" s="5" t="inlineStr">
        <is>
          <t>Rows are Monday to Sunday.</t>
        </is>
      </c>
      <c r="O222" s="5" t="inlineStr"/>
    </row>
    <row r="223">
      <c r="A223" s="5" t="n">
        <v>222</v>
      </c>
      <c r="B223" s="5" t="n">
        <v>6</v>
      </c>
      <c r="C223" s="5" t="inlineStr">
        <is>
          <t>13b(2) chart Mon</t>
        </is>
      </c>
      <c r="D223" s="5" t="inlineStr">
        <is>
          <t>Virtual visitwith person in 2</t>
        </is>
      </c>
      <c r="E223" s="5" t="inlineStr">
        <is>
          <t>DV-105[0].Page6[0].List13[0].List[0].Li2[0].List[0].Li2[0].item13b2_VirtVist_cb1[0]</t>
        </is>
      </c>
      <c r="F223" s="5" t="inlineStr">
        <is>
          <t>checkbox</t>
        </is>
      </c>
      <c r="G223" s="5" t="inlineStr">
        <is>
          <t>21</t>
        </is>
      </c>
      <c r="H223" s="5" t="inlineStr"/>
      <c r="I223" s="5" t="inlineStr">
        <is>
          <t>279, 419, 288, 428</t>
        </is>
      </c>
      <c r="J223" s="5" t="inlineStr">
        <is>
          <t>question</t>
        </is>
      </c>
      <c r="K223" s="5" t="inlineStr">
        <is>
          <t>K14</t>
        </is>
      </c>
      <c r="L223" s="5" t="inlineStr">
        <is>
          <t>check if K14.days.Mon.virtual</t>
        </is>
      </c>
      <c r="M223" s="5" t="inlineStr">
        <is>
          <t>K8 == "N" and K14 set and K14.days.Mon set</t>
        </is>
      </c>
      <c r="N223" s="5" t="inlineStr"/>
      <c r="O223" s="5" t="inlineStr"/>
    </row>
    <row r="224">
      <c r="A224" s="5" t="n">
        <v>223</v>
      </c>
      <c r="B224" s="5" t="n">
        <v>6</v>
      </c>
      <c r="C224" s="5" t="inlineStr">
        <is>
          <t>13b(2) chart Mon</t>
        </is>
      </c>
      <c r="D224" s="5" t="inlineStr">
        <is>
          <t>Person to bring children to and from visit (or make available for virtual visit)</t>
        </is>
      </c>
      <c r="E224" s="5" t="inlineStr">
        <is>
          <t>DV-105[0].Page6[0].List13[0].List[0].Li2[0].List[0].Li2[0].tf2[0]</t>
        </is>
      </c>
      <c r="F224" s="5" t="inlineStr">
        <is>
          <t>text</t>
        </is>
      </c>
      <c r="G224" s="5" t="inlineStr"/>
      <c r="H224" s="5" t="inlineStr"/>
      <c r="I224" s="5" t="inlineStr">
        <is>
          <t>322, 412, 440, 423</t>
        </is>
      </c>
      <c r="J224" s="5" t="inlineStr">
        <is>
          <t>question</t>
        </is>
      </c>
      <c r="K224" s="5" t="inlineStr">
        <is>
          <t>K14</t>
        </is>
      </c>
      <c r="L224" s="5">
        <f> K14.days.Mon.whoBrings [line 1]</f>
        <v/>
      </c>
      <c r="M224" s="5" t="inlineStr">
        <is>
          <t>K8 == "N" and K14 set and K14.days.Mon set</t>
        </is>
      </c>
      <c r="N224" s="5" t="inlineStr"/>
      <c r="O224" s="5" t="inlineStr"/>
    </row>
    <row r="225">
      <c r="A225" s="5" t="n">
        <v>224</v>
      </c>
      <c r="B225" s="5" t="n">
        <v>6</v>
      </c>
      <c r="C225" s="5" t="inlineStr">
        <is>
          <t>13b(2) chart Mon</t>
        </is>
      </c>
      <c r="D225" s="5" t="inlineStr">
        <is>
          <t>Location of drop-off/pick-up</t>
        </is>
      </c>
      <c r="E225" s="5" t="inlineStr">
        <is>
          <t>DV-105[0].Page6[0].List13[0].List[0].Li2[0].List[0].Li2[0].dropoff1[0]</t>
        </is>
      </c>
      <c r="F225" s="5" t="inlineStr">
        <is>
          <t>text</t>
        </is>
      </c>
      <c r="G225" s="5" t="inlineStr"/>
      <c r="H225" s="5" t="inlineStr"/>
      <c r="I225" s="5" t="inlineStr">
        <is>
          <t>448, 412, 574, 423</t>
        </is>
      </c>
      <c r="J225" s="5" t="inlineStr">
        <is>
          <t>question</t>
        </is>
      </c>
      <c r="K225" s="5" t="inlineStr">
        <is>
          <t>K14</t>
        </is>
      </c>
      <c r="L225" s="5">
        <f> K14.days.Mon.place [line 1]</f>
        <v/>
      </c>
      <c r="M225" s="5" t="inlineStr">
        <is>
          <t>K8 == "N" and K14 set and K14.days.Mon set</t>
        </is>
      </c>
      <c r="N225" s="5" t="inlineStr"/>
      <c r="O225" s="5" t="inlineStr"/>
    </row>
    <row r="226">
      <c r="A226" s="5" t="n">
        <v>225</v>
      </c>
      <c r="B226" s="5" t="n">
        <v>6</v>
      </c>
      <c r="C226" s="5" t="inlineStr">
        <is>
          <t>13b(2) chart Mon</t>
        </is>
      </c>
      <c r="D226" s="5" t="inlineStr">
        <is>
          <t>End, if applies:</t>
        </is>
      </c>
      <c r="E226" s="5" t="inlineStr">
        <is>
          <t>DV-105[0].Page6[0].List13[0].List[0].Li2[0].List[0].Li2[0].tf3[0]</t>
        </is>
      </c>
      <c r="F226" s="5" t="inlineStr">
        <is>
          <t>text</t>
        </is>
      </c>
      <c r="G226" s="5" t="inlineStr"/>
      <c r="H226" s="5" t="inlineStr"/>
      <c r="I226" s="5" t="inlineStr">
        <is>
          <t>197, 428, 250, 439</t>
        </is>
      </c>
      <c r="J226" s="5" t="inlineStr">
        <is>
          <t>question</t>
        </is>
      </c>
      <c r="K226" s="5" t="inlineStr">
        <is>
          <t>K14</t>
        </is>
      </c>
      <c r="L226" s="5">
        <f> K14.days.Mon.end</f>
        <v/>
      </c>
      <c r="M226" s="5" t="inlineStr">
        <is>
          <t>K8 == "N" and K14 set and K14.days.Mon set</t>
        </is>
      </c>
      <c r="N226" s="5" t="inlineStr"/>
      <c r="O226" s="5" t="inlineStr"/>
    </row>
    <row r="227">
      <c r="A227" s="5" t="n">
        <v>226</v>
      </c>
      <c r="B227" s="5" t="n">
        <v>6</v>
      </c>
      <c r="C227" s="5" t="inlineStr">
        <is>
          <t>13b(2) chart Mon</t>
        </is>
      </c>
      <c r="D227" s="5" t="inlineStr">
        <is>
          <t>Person to bring children to and from visit (or make available for virtual visit)</t>
        </is>
      </c>
      <c r="E227" s="5" t="inlineStr">
        <is>
          <t>DV-105[0].Page6[0].List13[0].List[0].Li2[0].List[0].Li2[0].tf4[0]</t>
        </is>
      </c>
      <c r="F227" s="5" t="inlineStr">
        <is>
          <t>text</t>
        </is>
      </c>
      <c r="G227" s="5" t="inlineStr"/>
      <c r="H227" s="5" t="inlineStr"/>
      <c r="I227" s="5" t="inlineStr">
        <is>
          <t>322, 428, 441, 439</t>
        </is>
      </c>
      <c r="J227" s="5" t="inlineStr">
        <is>
          <t>question</t>
        </is>
      </c>
      <c r="K227" s="5" t="inlineStr">
        <is>
          <t>K14</t>
        </is>
      </c>
      <c r="L227" s="5">
        <f> K14.days.Mon.whoBrings [line 2]</f>
        <v/>
      </c>
      <c r="M227" s="5" t="inlineStr">
        <is>
          <t>K8 == "N" and K14 set and K14.days.Mon set</t>
        </is>
      </c>
      <c r="N227" s="5" t="inlineStr"/>
      <c r="O227" s="5" t="inlineStr"/>
    </row>
    <row r="228">
      <c r="A228" s="5" t="n">
        <v>227</v>
      </c>
      <c r="B228" s="5" t="n">
        <v>6</v>
      </c>
      <c r="C228" s="5" t="inlineStr">
        <is>
          <t>13b(2) chart Mon</t>
        </is>
      </c>
      <c r="D228" s="5" t="inlineStr">
        <is>
          <t>Location of drop-off/pick-up</t>
        </is>
      </c>
      <c r="E228" s="5" t="inlineStr">
        <is>
          <t>DV-105[0].Page6[0].List13[0].List[0].Li2[0].List[0].Li2[0].tf6[0]</t>
        </is>
      </c>
      <c r="F228" s="5" t="inlineStr">
        <is>
          <t>text</t>
        </is>
      </c>
      <c r="G228" s="5" t="inlineStr"/>
      <c r="H228" s="5" t="inlineStr"/>
      <c r="I228" s="5" t="inlineStr">
        <is>
          <t>448, 428, 574, 439</t>
        </is>
      </c>
      <c r="J228" s="5" t="inlineStr">
        <is>
          <t>question</t>
        </is>
      </c>
      <c r="K228" s="5" t="inlineStr">
        <is>
          <t>K14</t>
        </is>
      </c>
      <c r="L228" s="5">
        <f> K14.days.Mon.place [line 2]</f>
        <v/>
      </c>
      <c r="M228" s="5" t="inlineStr">
        <is>
          <t>K8 == "N" and K14 set and K14.days.Mon set</t>
        </is>
      </c>
      <c r="N228" s="5" t="inlineStr"/>
      <c r="O228" s="5" t="inlineStr"/>
    </row>
    <row r="229">
      <c r="A229" s="5" t="n">
        <v>228</v>
      </c>
      <c r="B229" s="5" t="n">
        <v>6</v>
      </c>
      <c r="C229" s="5" t="inlineStr">
        <is>
          <t>13b(2) chart Tue</t>
        </is>
      </c>
      <c r="D229" s="5" t="inlineStr">
        <is>
          <t>Start:</t>
        </is>
      </c>
      <c r="E229" s="5" t="inlineStr">
        <is>
          <t>DV-105[0].Page6[0].List13[0].List[0].Li2[0].List[0].Li2[0].tf7[0]</t>
        </is>
      </c>
      <c r="F229" s="5" t="inlineStr">
        <is>
          <t>text</t>
        </is>
      </c>
      <c r="G229" s="5" t="inlineStr"/>
      <c r="H229" s="5" t="inlineStr"/>
      <c r="I229" s="5" t="inlineStr">
        <is>
          <t>155, 449, 250, 460</t>
        </is>
      </c>
      <c r="J229" s="5" t="inlineStr">
        <is>
          <t>question</t>
        </is>
      </c>
      <c r="K229" s="5" t="inlineStr">
        <is>
          <t>K14</t>
        </is>
      </c>
      <c r="L229" s="5">
        <f> K14.days.Tue.start</f>
        <v/>
      </c>
      <c r="M229" s="5" t="inlineStr">
        <is>
          <t>K8 == "N" and K14 set and K14.days.Tue set</t>
        </is>
      </c>
      <c r="N229" s="5" t="inlineStr"/>
      <c r="O229" s="5" t="inlineStr"/>
    </row>
    <row r="230">
      <c r="A230" s="5" t="n">
        <v>229</v>
      </c>
      <c r="B230" s="5" t="n">
        <v>6</v>
      </c>
      <c r="C230" s="5" t="inlineStr">
        <is>
          <t>13b(2) chart Tue</t>
        </is>
      </c>
      <c r="D230" s="5" t="inlineStr">
        <is>
          <t>Virtual visitwith person in 2</t>
        </is>
      </c>
      <c r="E230" s="5" t="inlineStr">
        <is>
          <t>DV-105[0].Page6[0].List13[0].List[0].Li2[0].List[0].Li2[0].item13b2_VirtVist_cb2[0]</t>
        </is>
      </c>
      <c r="F230" s="5" t="inlineStr">
        <is>
          <t>checkbox</t>
        </is>
      </c>
      <c r="G230" s="5" t="inlineStr">
        <is>
          <t>21</t>
        </is>
      </c>
      <c r="H230" s="5" t="inlineStr"/>
      <c r="I230" s="5" t="inlineStr">
        <is>
          <t>279, 455, 288, 464</t>
        </is>
      </c>
      <c r="J230" s="5" t="inlineStr">
        <is>
          <t>question</t>
        </is>
      </c>
      <c r="K230" s="5" t="inlineStr">
        <is>
          <t>K14</t>
        </is>
      </c>
      <c r="L230" s="5" t="inlineStr">
        <is>
          <t>check if K14.days.Tue.virtual</t>
        </is>
      </c>
      <c r="M230" s="5" t="inlineStr">
        <is>
          <t>K8 == "N" and K14 set and K14.days.Tue set</t>
        </is>
      </c>
      <c r="N230" s="5" t="inlineStr"/>
      <c r="O230" s="5" t="inlineStr"/>
    </row>
    <row r="231">
      <c r="A231" s="5" t="n">
        <v>230</v>
      </c>
      <c r="B231" s="5" t="n">
        <v>6</v>
      </c>
      <c r="C231" s="5" t="inlineStr">
        <is>
          <t>13b(2) chart Tue</t>
        </is>
      </c>
      <c r="D231" s="5" t="inlineStr">
        <is>
          <t>Person to bring children to and from visit (or make available for virtual visit)</t>
        </is>
      </c>
      <c r="E231" s="5" t="inlineStr">
        <is>
          <t>DV-105[0].Page6[0].List13[0].List[0].Li2[0].List[0].Li2[0].tf8[0]</t>
        </is>
      </c>
      <c r="F231" s="5" t="inlineStr">
        <is>
          <t>text</t>
        </is>
      </c>
      <c r="G231" s="5" t="inlineStr"/>
      <c r="H231" s="5" t="inlineStr"/>
      <c r="I231" s="5" t="inlineStr">
        <is>
          <t>322, 449, 440, 460</t>
        </is>
      </c>
      <c r="J231" s="5" t="inlineStr">
        <is>
          <t>question</t>
        </is>
      </c>
      <c r="K231" s="5" t="inlineStr">
        <is>
          <t>K14</t>
        </is>
      </c>
      <c r="L231" s="5">
        <f> K14.days.Tue.whoBrings [line 1]</f>
        <v/>
      </c>
      <c r="M231" s="5" t="inlineStr">
        <is>
          <t>K8 == "N" and K14 set and K14.days.Tue set</t>
        </is>
      </c>
      <c r="N231" s="5" t="inlineStr"/>
      <c r="O231" s="5" t="inlineStr"/>
    </row>
    <row r="232">
      <c r="A232" s="5" t="n">
        <v>231</v>
      </c>
      <c r="B232" s="5" t="n">
        <v>6</v>
      </c>
      <c r="C232" s="5" t="inlineStr">
        <is>
          <t>13b(2) chart Tue</t>
        </is>
      </c>
      <c r="D232" s="5" t="inlineStr">
        <is>
          <t>Location of drop-off/pick-up</t>
        </is>
      </c>
      <c r="E232" s="5" t="inlineStr">
        <is>
          <t>DV-105[0].Page6[0].List13[0].List[0].Li2[0].List[0].Li2[0].dropoff2[0]</t>
        </is>
      </c>
      <c r="F232" s="5" t="inlineStr">
        <is>
          <t>text</t>
        </is>
      </c>
      <c r="G232" s="5" t="inlineStr"/>
      <c r="H232" s="5" t="inlineStr"/>
      <c r="I232" s="5" t="inlineStr">
        <is>
          <t>448, 449, 574, 460</t>
        </is>
      </c>
      <c r="J232" s="5" t="inlineStr">
        <is>
          <t>question</t>
        </is>
      </c>
      <c r="K232" s="5" t="inlineStr">
        <is>
          <t>K14</t>
        </is>
      </c>
      <c r="L232" s="5">
        <f> K14.days.Tue.place [line 1]</f>
        <v/>
      </c>
      <c r="M232" s="5" t="inlineStr">
        <is>
          <t>K8 == "N" and K14 set and K14.days.Tue set</t>
        </is>
      </c>
      <c r="N232" s="5" t="inlineStr"/>
      <c r="O232" s="5" t="inlineStr"/>
    </row>
    <row r="233">
      <c r="A233" s="5" t="n">
        <v>232</v>
      </c>
      <c r="B233" s="5" t="n">
        <v>6</v>
      </c>
      <c r="C233" s="5" t="inlineStr">
        <is>
          <t>13b(2) chart Tue</t>
        </is>
      </c>
      <c r="D233" s="5" t="inlineStr">
        <is>
          <t>End, if applies:</t>
        </is>
      </c>
      <c r="E233" s="5" t="inlineStr">
        <is>
          <t>DV-105[0].Page6[0].List13[0].List[0].Li2[0].List[0].Li2[0].tf9[0]</t>
        </is>
      </c>
      <c r="F233" s="5" t="inlineStr">
        <is>
          <t>text</t>
        </is>
      </c>
      <c r="G233" s="5" t="inlineStr"/>
      <c r="H233" s="5" t="inlineStr"/>
      <c r="I233" s="5" t="inlineStr">
        <is>
          <t>197, 465, 250, 476</t>
        </is>
      </c>
      <c r="J233" s="5" t="inlineStr">
        <is>
          <t>question</t>
        </is>
      </c>
      <c r="K233" s="5" t="inlineStr">
        <is>
          <t>K14</t>
        </is>
      </c>
      <c r="L233" s="5">
        <f> K14.days.Tue.end</f>
        <v/>
      </c>
      <c r="M233" s="5" t="inlineStr">
        <is>
          <t>K8 == "N" and K14 set and K14.days.Tue set</t>
        </is>
      </c>
      <c r="N233" s="5" t="inlineStr"/>
      <c r="O233" s="5" t="inlineStr"/>
    </row>
    <row r="234">
      <c r="A234" s="5" t="n">
        <v>233</v>
      </c>
      <c r="B234" s="5" t="n">
        <v>6</v>
      </c>
      <c r="C234" s="5" t="inlineStr">
        <is>
          <t>13b(2) chart Tue</t>
        </is>
      </c>
      <c r="D234" s="5" t="inlineStr">
        <is>
          <t>Person to bring children to and from visit (or make available for virtual visit)</t>
        </is>
      </c>
      <c r="E234" s="5" t="inlineStr">
        <is>
          <t>DV-105[0].Page6[0].List13[0].List[0].Li2[0].List[0].Li2[0].tf10[0]</t>
        </is>
      </c>
      <c r="F234" s="5" t="inlineStr">
        <is>
          <t>text</t>
        </is>
      </c>
      <c r="G234" s="5" t="inlineStr"/>
      <c r="H234" s="5" t="inlineStr"/>
      <c r="I234" s="5" t="inlineStr">
        <is>
          <t>322, 465, 441, 476</t>
        </is>
      </c>
      <c r="J234" s="5" t="inlineStr">
        <is>
          <t>question</t>
        </is>
      </c>
      <c r="K234" s="5" t="inlineStr">
        <is>
          <t>K14</t>
        </is>
      </c>
      <c r="L234" s="5">
        <f> K14.days.Tue.whoBrings [line 2]</f>
        <v/>
      </c>
      <c r="M234" s="5" t="inlineStr">
        <is>
          <t>K8 == "N" and K14 set and K14.days.Tue set</t>
        </is>
      </c>
      <c r="N234" s="5" t="inlineStr"/>
      <c r="O234" s="5" t="inlineStr"/>
    </row>
    <row r="235">
      <c r="A235" s="5" t="n">
        <v>234</v>
      </c>
      <c r="B235" s="5" t="n">
        <v>6</v>
      </c>
      <c r="C235" s="5" t="inlineStr">
        <is>
          <t>13b(2) chart Tue</t>
        </is>
      </c>
      <c r="D235" s="5" t="inlineStr">
        <is>
          <t>Location of drop-off/pick-up</t>
        </is>
      </c>
      <c r="E235" s="5" t="inlineStr">
        <is>
          <t>DV-105[0].Page6[0].List13[0].List[0].Li2[0].List[0].Li2[0].tf12[0]</t>
        </is>
      </c>
      <c r="F235" s="5" t="inlineStr">
        <is>
          <t>text</t>
        </is>
      </c>
      <c r="G235" s="5" t="inlineStr"/>
      <c r="H235" s="5" t="inlineStr"/>
      <c r="I235" s="5" t="inlineStr">
        <is>
          <t>448, 465, 574, 476</t>
        </is>
      </c>
      <c r="J235" s="5" t="inlineStr">
        <is>
          <t>question</t>
        </is>
      </c>
      <c r="K235" s="5" t="inlineStr">
        <is>
          <t>K14</t>
        </is>
      </c>
      <c r="L235" s="5">
        <f> K14.days.Tue.place [line 2]</f>
        <v/>
      </c>
      <c r="M235" s="5" t="inlineStr">
        <is>
          <t>K8 == "N" and K14 set and K14.days.Tue set</t>
        </is>
      </c>
      <c r="N235" s="5" t="inlineStr"/>
      <c r="O235" s="5" t="inlineStr"/>
    </row>
    <row r="236">
      <c r="A236" s="5" t="n">
        <v>235</v>
      </c>
      <c r="B236" s="5" t="n">
        <v>6</v>
      </c>
      <c r="C236" s="5" t="inlineStr">
        <is>
          <t>13b(2) chart Wed</t>
        </is>
      </c>
      <c r="D236" s="5" t="inlineStr">
        <is>
          <t>Start:</t>
        </is>
      </c>
      <c r="E236" s="5" t="inlineStr">
        <is>
          <t>DV-105[0].Page6[0].List13[0].List[0].Li2[0].List[0].Li2[0].tf13[0]</t>
        </is>
      </c>
      <c r="F236" s="5" t="inlineStr">
        <is>
          <t>text</t>
        </is>
      </c>
      <c r="G236" s="5" t="inlineStr"/>
      <c r="H236" s="5" t="inlineStr"/>
      <c r="I236" s="5" t="inlineStr">
        <is>
          <t>155, 483, 250, 494</t>
        </is>
      </c>
      <c r="J236" s="5" t="inlineStr">
        <is>
          <t>question</t>
        </is>
      </c>
      <c r="K236" s="5" t="inlineStr">
        <is>
          <t>K14</t>
        </is>
      </c>
      <c r="L236" s="5">
        <f> K14.days.Wed.start</f>
        <v/>
      </c>
      <c r="M236" s="5" t="inlineStr">
        <is>
          <t>K8 == "N" and K14 set and K14.days.Wed set</t>
        </is>
      </c>
      <c r="N236" s="5" t="inlineStr"/>
      <c r="O236" s="5" t="inlineStr"/>
    </row>
    <row r="237">
      <c r="A237" s="5" t="n">
        <v>236</v>
      </c>
      <c r="B237" s="5" t="n">
        <v>6</v>
      </c>
      <c r="C237" s="5" t="inlineStr">
        <is>
          <t>13b(2) chart Wed</t>
        </is>
      </c>
      <c r="D237" s="5" t="inlineStr">
        <is>
          <t>Virtual visitwith person in 2</t>
        </is>
      </c>
      <c r="E237" s="5" t="inlineStr">
        <is>
          <t>DV-105[0].Page6[0].List13[0].List[0].Li2[0].List[0].Li2[0].item13b2_VirtVist_cb3[0]</t>
        </is>
      </c>
      <c r="F237" s="5" t="inlineStr">
        <is>
          <t>checkbox</t>
        </is>
      </c>
      <c r="G237" s="5" t="inlineStr">
        <is>
          <t>21</t>
        </is>
      </c>
      <c r="H237" s="5" t="inlineStr"/>
      <c r="I237" s="5" t="inlineStr">
        <is>
          <t>279, 491, 288, 500</t>
        </is>
      </c>
      <c r="J237" s="5" t="inlineStr">
        <is>
          <t>question</t>
        </is>
      </c>
      <c r="K237" s="5" t="inlineStr">
        <is>
          <t>K14</t>
        </is>
      </c>
      <c r="L237" s="5" t="inlineStr">
        <is>
          <t>check if K14.days.Wed.virtual</t>
        </is>
      </c>
      <c r="M237" s="5" t="inlineStr">
        <is>
          <t>K8 == "N" and K14 set and K14.days.Wed set</t>
        </is>
      </c>
      <c r="N237" s="5" t="inlineStr"/>
      <c r="O237" s="5" t="inlineStr"/>
    </row>
    <row r="238">
      <c r="A238" s="5" t="n">
        <v>237</v>
      </c>
      <c r="B238" s="5" t="n">
        <v>6</v>
      </c>
      <c r="C238" s="5" t="inlineStr">
        <is>
          <t>13b(2) chart Wed</t>
        </is>
      </c>
      <c r="D238" s="5" t="inlineStr">
        <is>
          <t>Person to bring children to and from visit (or make available for virtual visit)</t>
        </is>
      </c>
      <c r="E238" s="5" t="inlineStr">
        <is>
          <t>DV-105[0].Page6[0].List13[0].List[0].Li2[0].List[0].Li2[0].tf14[0]</t>
        </is>
      </c>
      <c r="F238" s="5" t="inlineStr">
        <is>
          <t>text</t>
        </is>
      </c>
      <c r="G238" s="5" t="inlineStr"/>
      <c r="H238" s="5" t="inlineStr"/>
      <c r="I238" s="5" t="inlineStr">
        <is>
          <t>322, 483, 440, 494</t>
        </is>
      </c>
      <c r="J238" s="5" t="inlineStr">
        <is>
          <t>question</t>
        </is>
      </c>
      <c r="K238" s="5" t="inlineStr">
        <is>
          <t>K14</t>
        </is>
      </c>
      <c r="L238" s="5">
        <f> K14.days.Wed.whoBrings [line 1]</f>
        <v/>
      </c>
      <c r="M238" s="5" t="inlineStr">
        <is>
          <t>K8 == "N" and K14 set and K14.days.Wed set</t>
        </is>
      </c>
      <c r="N238" s="5" t="inlineStr"/>
      <c r="O238" s="5" t="inlineStr"/>
    </row>
    <row r="239">
      <c r="A239" s="5" t="n">
        <v>238</v>
      </c>
      <c r="B239" s="5" t="n">
        <v>6</v>
      </c>
      <c r="C239" s="5" t="inlineStr">
        <is>
          <t>13b(2) chart Wed</t>
        </is>
      </c>
      <c r="D239" s="5" t="inlineStr">
        <is>
          <t>Location of drop-off/pick-up</t>
        </is>
      </c>
      <c r="E239" s="5" t="inlineStr">
        <is>
          <t>DV-105[0].Page6[0].List13[0].List[0].Li2[0].List[0].Li2[0].dropoff3[0]</t>
        </is>
      </c>
      <c r="F239" s="5" t="inlineStr">
        <is>
          <t>text</t>
        </is>
      </c>
      <c r="G239" s="5" t="inlineStr"/>
      <c r="H239" s="5" t="inlineStr"/>
      <c r="I239" s="5" t="inlineStr">
        <is>
          <t>448, 483, 574, 494</t>
        </is>
      </c>
      <c r="J239" s="5" t="inlineStr">
        <is>
          <t>question</t>
        </is>
      </c>
      <c r="K239" s="5" t="inlineStr">
        <is>
          <t>K14</t>
        </is>
      </c>
      <c r="L239" s="5">
        <f> K14.days.Wed.place [line 1]</f>
        <v/>
      </c>
      <c r="M239" s="5" t="inlineStr">
        <is>
          <t>K8 == "N" and K14 set and K14.days.Wed set</t>
        </is>
      </c>
      <c r="N239" s="5" t="inlineStr"/>
      <c r="O239" s="5" t="inlineStr"/>
    </row>
    <row r="240">
      <c r="A240" s="5" t="n">
        <v>239</v>
      </c>
      <c r="B240" s="5" t="n">
        <v>6</v>
      </c>
      <c r="C240" s="5" t="inlineStr">
        <is>
          <t>13b(2) chart Wed</t>
        </is>
      </c>
      <c r="D240" s="5" t="inlineStr">
        <is>
          <t>End, if applies:</t>
        </is>
      </c>
      <c r="E240" s="5" t="inlineStr">
        <is>
          <t>DV-105[0].Page6[0].List13[0].List[0].Li2[0].List[0].Li2[0].tf15[0]</t>
        </is>
      </c>
      <c r="F240" s="5" t="inlineStr">
        <is>
          <t>text</t>
        </is>
      </c>
      <c r="G240" s="5" t="inlineStr"/>
      <c r="H240" s="5" t="inlineStr"/>
      <c r="I240" s="5" t="inlineStr">
        <is>
          <t>197, 498, 250, 509</t>
        </is>
      </c>
      <c r="J240" s="5" t="inlineStr">
        <is>
          <t>question</t>
        </is>
      </c>
      <c r="K240" s="5" t="inlineStr">
        <is>
          <t>K14</t>
        </is>
      </c>
      <c r="L240" s="5">
        <f> K14.days.Wed.end</f>
        <v/>
      </c>
      <c r="M240" s="5" t="inlineStr">
        <is>
          <t>K8 == "N" and K14 set and K14.days.Wed set</t>
        </is>
      </c>
      <c r="N240" s="5" t="inlineStr"/>
      <c r="O240" s="5" t="inlineStr"/>
    </row>
    <row r="241">
      <c r="A241" s="5" t="n">
        <v>240</v>
      </c>
      <c r="B241" s="5" t="n">
        <v>6</v>
      </c>
      <c r="C241" s="5" t="inlineStr">
        <is>
          <t>13b(2) chart Wed</t>
        </is>
      </c>
      <c r="D241" s="5" t="inlineStr">
        <is>
          <t>Person to bring children to and from visit (or make available for virtual visit)</t>
        </is>
      </c>
      <c r="E241" s="5" t="inlineStr">
        <is>
          <t>DV-105[0].Page6[0].List13[0].List[0].Li2[0].List[0].Li2[0].tf16[0]</t>
        </is>
      </c>
      <c r="F241" s="5" t="inlineStr">
        <is>
          <t>text</t>
        </is>
      </c>
      <c r="G241" s="5" t="inlineStr"/>
      <c r="H241" s="5" t="inlineStr"/>
      <c r="I241" s="5" t="inlineStr">
        <is>
          <t>322, 498, 441, 509</t>
        </is>
      </c>
      <c r="J241" s="5" t="inlineStr">
        <is>
          <t>question</t>
        </is>
      </c>
      <c r="K241" s="5" t="inlineStr">
        <is>
          <t>K14</t>
        </is>
      </c>
      <c r="L241" s="5">
        <f> K14.days.Wed.whoBrings [line 2]</f>
        <v/>
      </c>
      <c r="M241" s="5" t="inlineStr">
        <is>
          <t>K8 == "N" and K14 set and K14.days.Wed set</t>
        </is>
      </c>
      <c r="N241" s="5" t="inlineStr"/>
      <c r="O241" s="5" t="inlineStr"/>
    </row>
    <row r="242">
      <c r="A242" s="5" t="n">
        <v>241</v>
      </c>
      <c r="B242" s="5" t="n">
        <v>6</v>
      </c>
      <c r="C242" s="5" t="inlineStr">
        <is>
          <t>13b(2) chart Wed</t>
        </is>
      </c>
      <c r="D242" s="5" t="inlineStr">
        <is>
          <t>Location of drop-off/pick-up</t>
        </is>
      </c>
      <c r="E242" s="5" t="inlineStr">
        <is>
          <t>DV-105[0].Page6[0].List13[0].List[0].Li2[0].List[0].Li2[0].tf18[0]</t>
        </is>
      </c>
      <c r="F242" s="5" t="inlineStr">
        <is>
          <t>text</t>
        </is>
      </c>
      <c r="G242" s="5" t="inlineStr"/>
      <c r="H242" s="5" t="inlineStr"/>
      <c r="I242" s="5" t="inlineStr">
        <is>
          <t>448, 498, 574, 509</t>
        </is>
      </c>
      <c r="J242" s="5" t="inlineStr">
        <is>
          <t>question</t>
        </is>
      </c>
      <c r="K242" s="5" t="inlineStr">
        <is>
          <t>K14</t>
        </is>
      </c>
      <c r="L242" s="5">
        <f> K14.days.Wed.place [line 2]</f>
        <v/>
      </c>
      <c r="M242" s="5" t="inlineStr">
        <is>
          <t>K8 == "N" and K14 set and K14.days.Wed set</t>
        </is>
      </c>
      <c r="N242" s="5" t="inlineStr"/>
      <c r="O242" s="5" t="inlineStr"/>
    </row>
    <row r="243">
      <c r="A243" s="5" t="n">
        <v>242</v>
      </c>
      <c r="B243" s="5" t="n">
        <v>6</v>
      </c>
      <c r="C243" s="5" t="inlineStr">
        <is>
          <t>13b(2) chart Thu</t>
        </is>
      </c>
      <c r="D243" s="5" t="inlineStr">
        <is>
          <t>Start:</t>
        </is>
      </c>
      <c r="E243" s="5" t="inlineStr">
        <is>
          <t>DV-105[0].Page6[0].List13[0].List[0].Li2[0].List[0].Li2[0].tf19[0]</t>
        </is>
      </c>
      <c r="F243" s="5" t="inlineStr">
        <is>
          <t>text</t>
        </is>
      </c>
      <c r="G243" s="5" t="inlineStr"/>
      <c r="H243" s="5" t="inlineStr"/>
      <c r="I243" s="5" t="inlineStr">
        <is>
          <t>155, 516, 250, 527</t>
        </is>
      </c>
      <c r="J243" s="5" t="inlineStr">
        <is>
          <t>question</t>
        </is>
      </c>
      <c r="K243" s="5" t="inlineStr">
        <is>
          <t>K14</t>
        </is>
      </c>
      <c r="L243" s="5">
        <f> K14.days.Thu.start</f>
        <v/>
      </c>
      <c r="M243" s="5" t="inlineStr">
        <is>
          <t>K8 == "N" and K14 set and K14.days.Thu set</t>
        </is>
      </c>
      <c r="N243" s="5" t="inlineStr"/>
      <c r="O243" s="5" t="inlineStr"/>
    </row>
    <row r="244">
      <c r="A244" s="5" t="n">
        <v>243</v>
      </c>
      <c r="B244" s="5" t="n">
        <v>6</v>
      </c>
      <c r="C244" s="5" t="inlineStr">
        <is>
          <t>13b(2) chart Thu</t>
        </is>
      </c>
      <c r="D244" s="5" t="inlineStr">
        <is>
          <t>Virtual visitwith person in 2</t>
        </is>
      </c>
      <c r="E244" s="5" t="inlineStr">
        <is>
          <t>DV-105[0].Page6[0].List13[0].List[0].Li2[0].List[0].Li2[0].item13b2_VirtVist_cb4[0]</t>
        </is>
      </c>
      <c r="F244" s="5" t="inlineStr">
        <is>
          <t>checkbox</t>
        </is>
      </c>
      <c r="G244" s="5" t="inlineStr">
        <is>
          <t>21</t>
        </is>
      </c>
      <c r="H244" s="5" t="inlineStr"/>
      <c r="I244" s="5" t="inlineStr">
        <is>
          <t>279, 521, 288, 530</t>
        </is>
      </c>
      <c r="J244" s="5" t="inlineStr">
        <is>
          <t>question</t>
        </is>
      </c>
      <c r="K244" s="5" t="inlineStr">
        <is>
          <t>K14</t>
        </is>
      </c>
      <c r="L244" s="5" t="inlineStr">
        <is>
          <t>check if K14.days.Thu.virtual</t>
        </is>
      </c>
      <c r="M244" s="5" t="inlineStr">
        <is>
          <t>K8 == "N" and K14 set and K14.days.Thu set</t>
        </is>
      </c>
      <c r="N244" s="5" t="inlineStr"/>
      <c r="O244" s="5" t="inlineStr"/>
    </row>
    <row r="245">
      <c r="A245" s="5" t="n">
        <v>244</v>
      </c>
      <c r="B245" s="5" t="n">
        <v>6</v>
      </c>
      <c r="C245" s="5" t="inlineStr">
        <is>
          <t>13b(2) chart Thu</t>
        </is>
      </c>
      <c r="D245" s="5" t="inlineStr">
        <is>
          <t>Person to bring children to and from visit (or make available for virtual visit)</t>
        </is>
      </c>
      <c r="E245" s="5" t="inlineStr">
        <is>
          <t>DV-105[0].Page6[0].List13[0].List[0].Li2[0].List[0].Li2[0].tf20[0]</t>
        </is>
      </c>
      <c r="F245" s="5" t="inlineStr">
        <is>
          <t>text</t>
        </is>
      </c>
      <c r="G245" s="5" t="inlineStr"/>
      <c r="H245" s="5" t="inlineStr"/>
      <c r="I245" s="5" t="inlineStr">
        <is>
          <t>322, 516, 440, 527</t>
        </is>
      </c>
      <c r="J245" s="5" t="inlineStr">
        <is>
          <t>question</t>
        </is>
      </c>
      <c r="K245" s="5" t="inlineStr">
        <is>
          <t>K14</t>
        </is>
      </c>
      <c r="L245" s="5">
        <f> K14.days.Thu.whoBrings [line 1]</f>
        <v/>
      </c>
      <c r="M245" s="5" t="inlineStr">
        <is>
          <t>K8 == "N" and K14 set and K14.days.Thu set</t>
        </is>
      </c>
      <c r="N245" s="5" t="inlineStr"/>
      <c r="O245" s="5" t="inlineStr"/>
    </row>
    <row r="246">
      <c r="A246" s="5" t="n">
        <v>245</v>
      </c>
      <c r="B246" s="5" t="n">
        <v>6</v>
      </c>
      <c r="C246" s="5" t="inlineStr">
        <is>
          <t>13b(2) chart Thu</t>
        </is>
      </c>
      <c r="D246" s="5" t="inlineStr">
        <is>
          <t>Location of drop-off/pick-up</t>
        </is>
      </c>
      <c r="E246" s="5" t="inlineStr">
        <is>
          <t>DV-105[0].Page6[0].List13[0].List[0].Li2[0].List[0].Li2[0].dropoff4[0]</t>
        </is>
      </c>
      <c r="F246" s="5" t="inlineStr">
        <is>
          <t>text</t>
        </is>
      </c>
      <c r="G246" s="5" t="inlineStr"/>
      <c r="H246" s="5" t="inlineStr"/>
      <c r="I246" s="5" t="inlineStr">
        <is>
          <t>448, 516, 574, 527</t>
        </is>
      </c>
      <c r="J246" s="5" t="inlineStr">
        <is>
          <t>question</t>
        </is>
      </c>
      <c r="K246" s="5" t="inlineStr">
        <is>
          <t>K14</t>
        </is>
      </c>
      <c r="L246" s="5">
        <f> K14.days.Thu.place [line 1]</f>
        <v/>
      </c>
      <c r="M246" s="5" t="inlineStr">
        <is>
          <t>K8 == "N" and K14 set and K14.days.Thu set</t>
        </is>
      </c>
      <c r="N246" s="5" t="inlineStr"/>
      <c r="O246" s="5" t="inlineStr"/>
    </row>
    <row r="247">
      <c r="A247" s="5" t="n">
        <v>246</v>
      </c>
      <c r="B247" s="5" t="n">
        <v>6</v>
      </c>
      <c r="C247" s="5" t="inlineStr">
        <is>
          <t>13b(2) chart Thu</t>
        </is>
      </c>
      <c r="D247" s="5" t="inlineStr">
        <is>
          <t>End, if applies:</t>
        </is>
      </c>
      <c r="E247" s="5" t="inlineStr">
        <is>
          <t>DV-105[0].Page6[0].List13[0].List[0].Li2[0].List[0].Li2[0].tf21[0]</t>
        </is>
      </c>
      <c r="F247" s="5" t="inlineStr">
        <is>
          <t>text</t>
        </is>
      </c>
      <c r="G247" s="5" t="inlineStr"/>
      <c r="H247" s="5" t="inlineStr"/>
      <c r="I247" s="5" t="inlineStr">
        <is>
          <t>197, 531, 250, 542</t>
        </is>
      </c>
      <c r="J247" s="5" t="inlineStr">
        <is>
          <t>question</t>
        </is>
      </c>
      <c r="K247" s="5" t="inlineStr">
        <is>
          <t>K14</t>
        </is>
      </c>
      <c r="L247" s="5">
        <f> K14.days.Thu.end</f>
        <v/>
      </c>
      <c r="M247" s="5" t="inlineStr">
        <is>
          <t>K8 == "N" and K14 set and K14.days.Thu set</t>
        </is>
      </c>
      <c r="N247" s="5" t="inlineStr"/>
      <c r="O247" s="5" t="inlineStr"/>
    </row>
    <row r="248">
      <c r="A248" s="5" t="n">
        <v>247</v>
      </c>
      <c r="B248" s="5" t="n">
        <v>6</v>
      </c>
      <c r="C248" s="5" t="inlineStr">
        <is>
          <t>13b(2) chart Thu</t>
        </is>
      </c>
      <c r="D248" s="5" t="inlineStr">
        <is>
          <t>Person to bring children to and from visit (or make available for virtual visit)</t>
        </is>
      </c>
      <c r="E248" s="5" t="inlineStr">
        <is>
          <t>DV-105[0].Page6[0].List13[0].List[0].Li2[0].List[0].Li2[0].tf22[0]</t>
        </is>
      </c>
      <c r="F248" s="5" t="inlineStr">
        <is>
          <t>text</t>
        </is>
      </c>
      <c r="G248" s="5" t="inlineStr"/>
      <c r="H248" s="5" t="inlineStr"/>
      <c r="I248" s="5" t="inlineStr">
        <is>
          <t>322, 531, 441, 542</t>
        </is>
      </c>
      <c r="J248" s="5" t="inlineStr">
        <is>
          <t>question</t>
        </is>
      </c>
      <c r="K248" s="5" t="inlineStr">
        <is>
          <t>K14</t>
        </is>
      </c>
      <c r="L248" s="5">
        <f> K14.days.Thu.whoBrings [line 2]</f>
        <v/>
      </c>
      <c r="M248" s="5" t="inlineStr">
        <is>
          <t>K8 == "N" and K14 set and K14.days.Thu set</t>
        </is>
      </c>
      <c r="N248" s="5" t="inlineStr"/>
      <c r="O248" s="5" t="inlineStr"/>
    </row>
    <row r="249">
      <c r="A249" s="5" t="n">
        <v>248</v>
      </c>
      <c r="B249" s="5" t="n">
        <v>6</v>
      </c>
      <c r="C249" s="5" t="inlineStr">
        <is>
          <t>13b(2) chart Thu</t>
        </is>
      </c>
      <c r="D249" s="5" t="inlineStr">
        <is>
          <t>Location of drop-off/pick-up</t>
        </is>
      </c>
      <c r="E249" s="5" t="inlineStr">
        <is>
          <t>DV-105[0].Page6[0].List13[0].List[0].Li2[0].List[0].Li2[0].tf24[0]</t>
        </is>
      </c>
      <c r="F249" s="5" t="inlineStr">
        <is>
          <t>text</t>
        </is>
      </c>
      <c r="G249" s="5" t="inlineStr"/>
      <c r="H249" s="5" t="inlineStr"/>
      <c r="I249" s="5" t="inlineStr">
        <is>
          <t>448, 531, 574, 542</t>
        </is>
      </c>
      <c r="J249" s="5" t="inlineStr">
        <is>
          <t>question</t>
        </is>
      </c>
      <c r="K249" s="5" t="inlineStr">
        <is>
          <t>K14</t>
        </is>
      </c>
      <c r="L249" s="5">
        <f> K14.days.Thu.place [line 2]</f>
        <v/>
      </c>
      <c r="M249" s="5" t="inlineStr">
        <is>
          <t>K8 == "N" and K14 set and K14.days.Thu set</t>
        </is>
      </c>
      <c r="N249" s="5" t="inlineStr"/>
      <c r="O249" s="5" t="inlineStr"/>
    </row>
    <row r="250">
      <c r="A250" s="5" t="n">
        <v>249</v>
      </c>
      <c r="B250" s="5" t="n">
        <v>6</v>
      </c>
      <c r="C250" s="5" t="inlineStr">
        <is>
          <t>13b(2) chart Fri</t>
        </is>
      </c>
      <c r="D250" s="5" t="inlineStr">
        <is>
          <t>Start:</t>
        </is>
      </c>
      <c r="E250" s="5" t="inlineStr">
        <is>
          <t>DV-105[0].Page6[0].List13[0].List[0].Li2[0].List[0].Li2[0].tf25[0]</t>
        </is>
      </c>
      <c r="F250" s="5" t="inlineStr">
        <is>
          <t>text</t>
        </is>
      </c>
      <c r="G250" s="5" t="inlineStr"/>
      <c r="H250" s="5" t="inlineStr"/>
      <c r="I250" s="5" t="inlineStr">
        <is>
          <t>155, 549, 250, 560</t>
        </is>
      </c>
      <c r="J250" s="5" t="inlineStr">
        <is>
          <t>question</t>
        </is>
      </c>
      <c r="K250" s="5" t="inlineStr">
        <is>
          <t>K14</t>
        </is>
      </c>
      <c r="L250" s="5">
        <f> K14.days.Fri.start</f>
        <v/>
      </c>
      <c r="M250" s="5" t="inlineStr">
        <is>
          <t>K8 == "N" and K14 set and K14.days.Fri set</t>
        </is>
      </c>
      <c r="N250" s="5" t="inlineStr"/>
      <c r="O250" s="5" t="inlineStr"/>
    </row>
    <row r="251">
      <c r="A251" s="5" t="n">
        <v>250</v>
      </c>
      <c r="B251" s="5" t="n">
        <v>6</v>
      </c>
      <c r="C251" s="5" t="inlineStr">
        <is>
          <t>13b(2) chart Fri</t>
        </is>
      </c>
      <c r="D251" s="5" t="inlineStr">
        <is>
          <t>Virtual visitwith person in 2</t>
        </is>
      </c>
      <c r="E251" s="5" t="inlineStr">
        <is>
          <t>DV-105[0].Page6[0].List13[0].List[0].Li2[0].List[0].Li2[0].item13b2_VirtVist_cb5[0]</t>
        </is>
      </c>
      <c r="F251" s="5" t="inlineStr">
        <is>
          <t>checkbox</t>
        </is>
      </c>
      <c r="G251" s="5" t="inlineStr">
        <is>
          <t>21</t>
        </is>
      </c>
      <c r="H251" s="5" t="inlineStr"/>
      <c r="I251" s="5" t="inlineStr">
        <is>
          <t>279, 556, 288, 565</t>
        </is>
      </c>
      <c r="J251" s="5" t="inlineStr">
        <is>
          <t>question</t>
        </is>
      </c>
      <c r="K251" s="5" t="inlineStr">
        <is>
          <t>K14</t>
        </is>
      </c>
      <c r="L251" s="5" t="inlineStr">
        <is>
          <t>check if K14.days.Fri.virtual</t>
        </is>
      </c>
      <c r="M251" s="5" t="inlineStr">
        <is>
          <t>K8 == "N" and K14 set and K14.days.Fri set</t>
        </is>
      </c>
      <c r="N251" s="5" t="inlineStr"/>
      <c r="O251" s="5" t="inlineStr"/>
    </row>
    <row r="252">
      <c r="A252" s="5" t="n">
        <v>251</v>
      </c>
      <c r="B252" s="5" t="n">
        <v>6</v>
      </c>
      <c r="C252" s="5" t="inlineStr">
        <is>
          <t>13b(2) chart Fri</t>
        </is>
      </c>
      <c r="D252" s="5" t="inlineStr">
        <is>
          <t>Person to bring children to and from visit (or make available for virtual visit)</t>
        </is>
      </c>
      <c r="E252" s="5" t="inlineStr">
        <is>
          <t>DV-105[0].Page6[0].List13[0].List[0].Li2[0].List[0].Li2[0].tf26[0]</t>
        </is>
      </c>
      <c r="F252" s="5" t="inlineStr">
        <is>
          <t>text</t>
        </is>
      </c>
      <c r="G252" s="5" t="inlineStr"/>
      <c r="H252" s="5" t="inlineStr"/>
      <c r="I252" s="5" t="inlineStr">
        <is>
          <t>322, 549, 440, 560</t>
        </is>
      </c>
      <c r="J252" s="5" t="inlineStr">
        <is>
          <t>question</t>
        </is>
      </c>
      <c r="K252" s="5" t="inlineStr">
        <is>
          <t>K14</t>
        </is>
      </c>
      <c r="L252" s="5">
        <f> K14.days.Fri.whoBrings [line 1]</f>
        <v/>
      </c>
      <c r="M252" s="5" t="inlineStr">
        <is>
          <t>K8 == "N" and K14 set and K14.days.Fri set</t>
        </is>
      </c>
      <c r="N252" s="5" t="inlineStr"/>
      <c r="O252" s="5" t="inlineStr"/>
    </row>
    <row r="253">
      <c r="A253" s="5" t="n">
        <v>252</v>
      </c>
      <c r="B253" s="5" t="n">
        <v>6</v>
      </c>
      <c r="C253" s="5" t="inlineStr">
        <is>
          <t>13b(2) chart Fri</t>
        </is>
      </c>
      <c r="D253" s="5" t="inlineStr">
        <is>
          <t>Location of drop-off/pick-up</t>
        </is>
      </c>
      <c r="E253" s="5" t="inlineStr">
        <is>
          <t>DV-105[0].Page6[0].List13[0].List[0].Li2[0].List[0].Li2[0].dropoff5[0]</t>
        </is>
      </c>
      <c r="F253" s="5" t="inlineStr">
        <is>
          <t>text</t>
        </is>
      </c>
      <c r="G253" s="5" t="inlineStr"/>
      <c r="H253" s="5" t="inlineStr"/>
      <c r="I253" s="5" t="inlineStr">
        <is>
          <t>448, 549, 574, 560</t>
        </is>
      </c>
      <c r="J253" s="5" t="inlineStr">
        <is>
          <t>question</t>
        </is>
      </c>
      <c r="K253" s="5" t="inlineStr">
        <is>
          <t>K14</t>
        </is>
      </c>
      <c r="L253" s="5">
        <f> K14.days.Fri.place [line 1]</f>
        <v/>
      </c>
      <c r="M253" s="5" t="inlineStr">
        <is>
          <t>K8 == "N" and K14 set and K14.days.Fri set</t>
        </is>
      </c>
      <c r="N253" s="5" t="inlineStr"/>
      <c r="O253" s="5" t="inlineStr"/>
    </row>
    <row r="254">
      <c r="A254" s="5" t="n">
        <v>253</v>
      </c>
      <c r="B254" s="5" t="n">
        <v>6</v>
      </c>
      <c r="C254" s="5" t="inlineStr">
        <is>
          <t>13b(2) chart Fri</t>
        </is>
      </c>
      <c r="D254" s="5" t="inlineStr">
        <is>
          <t>End, if applies:</t>
        </is>
      </c>
      <c r="E254" s="5" t="inlineStr">
        <is>
          <t>DV-105[0].Page6[0].List13[0].List[0].Li2[0].List[0].Li2[0].tf27[0]</t>
        </is>
      </c>
      <c r="F254" s="5" t="inlineStr">
        <is>
          <t>text</t>
        </is>
      </c>
      <c r="G254" s="5" t="inlineStr"/>
      <c r="H254" s="5" t="inlineStr"/>
      <c r="I254" s="5" t="inlineStr">
        <is>
          <t>197, 564, 250, 575</t>
        </is>
      </c>
      <c r="J254" s="5" t="inlineStr">
        <is>
          <t>question</t>
        </is>
      </c>
      <c r="K254" s="5" t="inlineStr">
        <is>
          <t>K14</t>
        </is>
      </c>
      <c r="L254" s="5">
        <f> K14.days.Fri.end</f>
        <v/>
      </c>
      <c r="M254" s="5" t="inlineStr">
        <is>
          <t>K8 == "N" and K14 set and K14.days.Fri set</t>
        </is>
      </c>
      <c r="N254" s="5" t="inlineStr"/>
      <c r="O254" s="5" t="inlineStr"/>
    </row>
    <row r="255">
      <c r="A255" s="5" t="n">
        <v>254</v>
      </c>
      <c r="B255" s="5" t="n">
        <v>6</v>
      </c>
      <c r="C255" s="5" t="inlineStr">
        <is>
          <t>13b(2) chart Fri</t>
        </is>
      </c>
      <c r="D255" s="5" t="inlineStr">
        <is>
          <t>Person to bring children to and from visit (or make available for virtual visit)</t>
        </is>
      </c>
      <c r="E255" s="5" t="inlineStr">
        <is>
          <t>DV-105[0].Page6[0].List13[0].List[0].Li2[0].List[0].Li2[0].tf28[0]</t>
        </is>
      </c>
      <c r="F255" s="5" t="inlineStr">
        <is>
          <t>text</t>
        </is>
      </c>
      <c r="G255" s="5" t="inlineStr"/>
      <c r="H255" s="5" t="inlineStr"/>
      <c r="I255" s="5" t="inlineStr">
        <is>
          <t>322, 564, 441, 575</t>
        </is>
      </c>
      <c r="J255" s="5" t="inlineStr">
        <is>
          <t>question</t>
        </is>
      </c>
      <c r="K255" s="5" t="inlineStr">
        <is>
          <t>K14</t>
        </is>
      </c>
      <c r="L255" s="5">
        <f> K14.days.Fri.whoBrings [line 2]</f>
        <v/>
      </c>
      <c r="M255" s="5" t="inlineStr">
        <is>
          <t>K8 == "N" and K14 set and K14.days.Fri set</t>
        </is>
      </c>
      <c r="N255" s="5" t="inlineStr"/>
      <c r="O255" s="5" t="inlineStr"/>
    </row>
    <row r="256">
      <c r="A256" s="5" t="n">
        <v>255</v>
      </c>
      <c r="B256" s="5" t="n">
        <v>6</v>
      </c>
      <c r="C256" s="5" t="inlineStr">
        <is>
          <t>13b(2) chart Fri</t>
        </is>
      </c>
      <c r="D256" s="5" t="inlineStr">
        <is>
          <t>Location of drop-off/pick-up</t>
        </is>
      </c>
      <c r="E256" s="5" t="inlineStr">
        <is>
          <t>DV-105[0].Page6[0].List13[0].List[0].Li2[0].List[0].Li2[0].tf30[0]</t>
        </is>
      </c>
      <c r="F256" s="5" t="inlineStr">
        <is>
          <t>text</t>
        </is>
      </c>
      <c r="G256" s="5" t="inlineStr"/>
      <c r="H256" s="5" t="inlineStr"/>
      <c r="I256" s="5" t="inlineStr">
        <is>
          <t>448, 564, 574, 575</t>
        </is>
      </c>
      <c r="J256" s="5" t="inlineStr">
        <is>
          <t>question</t>
        </is>
      </c>
      <c r="K256" s="5" t="inlineStr">
        <is>
          <t>K14</t>
        </is>
      </c>
      <c r="L256" s="5">
        <f> K14.days.Fri.place [line 2]</f>
        <v/>
      </c>
      <c r="M256" s="5" t="inlineStr">
        <is>
          <t>K8 == "N" and K14 set and K14.days.Fri set</t>
        </is>
      </c>
      <c r="N256" s="5" t="inlineStr"/>
      <c r="O256" s="5" t="inlineStr"/>
    </row>
    <row r="257">
      <c r="A257" s="5" t="n">
        <v>256</v>
      </c>
      <c r="B257" s="5" t="n">
        <v>6</v>
      </c>
      <c r="C257" s="5" t="inlineStr">
        <is>
          <t>13b(2) chart Sat</t>
        </is>
      </c>
      <c r="D257" s="5" t="inlineStr">
        <is>
          <t>Start:</t>
        </is>
      </c>
      <c r="E257" s="5" t="inlineStr">
        <is>
          <t>DV-105[0].Page6[0].List13[0].List[0].Li2[0].List[0].Li2[0].tf31[0]</t>
        </is>
      </c>
      <c r="F257" s="5" t="inlineStr">
        <is>
          <t>text</t>
        </is>
      </c>
      <c r="G257" s="5" t="inlineStr"/>
      <c r="H257" s="5" t="inlineStr"/>
      <c r="I257" s="5" t="inlineStr">
        <is>
          <t>155, 582, 250, 593</t>
        </is>
      </c>
      <c r="J257" s="5" t="inlineStr">
        <is>
          <t>question</t>
        </is>
      </c>
      <c r="K257" s="5" t="inlineStr">
        <is>
          <t>K14</t>
        </is>
      </c>
      <c r="L257" s="5">
        <f> K14.days.Sat.start</f>
        <v/>
      </c>
      <c r="M257" s="5" t="inlineStr">
        <is>
          <t>K8 == "N" and K14 set and K14.days.Sat set</t>
        </is>
      </c>
      <c r="N257" s="5" t="inlineStr"/>
      <c r="O257" s="5" t="inlineStr"/>
    </row>
    <row r="258">
      <c r="A258" s="5" t="n">
        <v>257</v>
      </c>
      <c r="B258" s="5" t="n">
        <v>6</v>
      </c>
      <c r="C258" s="5" t="inlineStr">
        <is>
          <t>13b(2) chart Sat</t>
        </is>
      </c>
      <c r="D258" s="5" t="inlineStr">
        <is>
          <t>Virtual visitwith person in 2</t>
        </is>
      </c>
      <c r="E258" s="5" t="inlineStr">
        <is>
          <t>DV-105[0].Page6[0].List13[0].List[0].Li2[0].List[0].Li2[0].item13b2_VirtVist_cb6[0]</t>
        </is>
      </c>
      <c r="F258" s="5" t="inlineStr">
        <is>
          <t>checkbox</t>
        </is>
      </c>
      <c r="G258" s="5" t="inlineStr">
        <is>
          <t>21</t>
        </is>
      </c>
      <c r="H258" s="5" t="inlineStr"/>
      <c r="I258" s="5" t="inlineStr">
        <is>
          <t>279, 589, 288, 598</t>
        </is>
      </c>
      <c r="J258" s="5" t="inlineStr">
        <is>
          <t>question</t>
        </is>
      </c>
      <c r="K258" s="5" t="inlineStr">
        <is>
          <t>K14</t>
        </is>
      </c>
      <c r="L258" s="5" t="inlineStr">
        <is>
          <t>check if K14.days.Sat.virtual</t>
        </is>
      </c>
      <c r="M258" s="5" t="inlineStr">
        <is>
          <t>K8 == "N" and K14 set and K14.days.Sat set</t>
        </is>
      </c>
      <c r="N258" s="5" t="inlineStr"/>
      <c r="O258" s="5" t="inlineStr"/>
    </row>
    <row r="259">
      <c r="A259" s="5" t="n">
        <v>258</v>
      </c>
      <c r="B259" s="5" t="n">
        <v>6</v>
      </c>
      <c r="C259" s="5" t="inlineStr">
        <is>
          <t>13b(2) chart Sat</t>
        </is>
      </c>
      <c r="D259" s="5" t="inlineStr">
        <is>
          <t>Person to bring children to and from visit (or make available for virtual visit)</t>
        </is>
      </c>
      <c r="E259" s="5" t="inlineStr">
        <is>
          <t>DV-105[0].Page6[0].List13[0].List[0].Li2[0].List[0].Li2[0].tf32[0]</t>
        </is>
      </c>
      <c r="F259" s="5" t="inlineStr">
        <is>
          <t>text</t>
        </is>
      </c>
      <c r="G259" s="5" t="inlineStr"/>
      <c r="H259" s="5" t="inlineStr"/>
      <c r="I259" s="5" t="inlineStr">
        <is>
          <t>322, 582, 440, 593</t>
        </is>
      </c>
      <c r="J259" s="5" t="inlineStr">
        <is>
          <t>question</t>
        </is>
      </c>
      <c r="K259" s="5" t="inlineStr">
        <is>
          <t>K14</t>
        </is>
      </c>
      <c r="L259" s="5">
        <f> K14.days.Sat.whoBrings [line 1]</f>
        <v/>
      </c>
      <c r="M259" s="5" t="inlineStr">
        <is>
          <t>K8 == "N" and K14 set and K14.days.Sat set</t>
        </is>
      </c>
      <c r="N259" s="5" t="inlineStr"/>
      <c r="O259" s="5" t="inlineStr"/>
    </row>
    <row r="260">
      <c r="A260" s="5" t="n">
        <v>259</v>
      </c>
      <c r="B260" s="5" t="n">
        <v>6</v>
      </c>
      <c r="C260" s="5" t="inlineStr">
        <is>
          <t>13b(2) chart Sat</t>
        </is>
      </c>
      <c r="D260" s="5" t="inlineStr">
        <is>
          <t>Location of drop-off/pick-up</t>
        </is>
      </c>
      <c r="E260" s="5" t="inlineStr">
        <is>
          <t>DV-105[0].Page6[0].List13[0].List[0].Li2[0].List[0].Li2[0].dropoff6[0]</t>
        </is>
      </c>
      <c r="F260" s="5" t="inlineStr">
        <is>
          <t>text</t>
        </is>
      </c>
      <c r="G260" s="5" t="inlineStr"/>
      <c r="H260" s="5" t="inlineStr"/>
      <c r="I260" s="5" t="inlineStr">
        <is>
          <t>448, 582, 574, 593</t>
        </is>
      </c>
      <c r="J260" s="5" t="inlineStr">
        <is>
          <t>question</t>
        </is>
      </c>
      <c r="K260" s="5" t="inlineStr">
        <is>
          <t>K14</t>
        </is>
      </c>
      <c r="L260" s="5">
        <f> K14.days.Sat.place [line 1]</f>
        <v/>
      </c>
      <c r="M260" s="5" t="inlineStr">
        <is>
          <t>K8 == "N" and K14 set and K14.days.Sat set</t>
        </is>
      </c>
      <c r="N260" s="5" t="inlineStr"/>
      <c r="O260" s="5" t="inlineStr"/>
    </row>
    <row r="261">
      <c r="A261" s="5" t="n">
        <v>260</v>
      </c>
      <c r="B261" s="5" t="n">
        <v>6</v>
      </c>
      <c r="C261" s="5" t="inlineStr">
        <is>
          <t>13b(2) chart Sat</t>
        </is>
      </c>
      <c r="D261" s="5" t="inlineStr">
        <is>
          <t>End, if applies:</t>
        </is>
      </c>
      <c r="E261" s="5" t="inlineStr">
        <is>
          <t>DV-105[0].Page6[0].List13[0].List[0].Li2[0].List[0].Li2[0].tf33[0]</t>
        </is>
      </c>
      <c r="F261" s="5" t="inlineStr">
        <is>
          <t>text</t>
        </is>
      </c>
      <c r="G261" s="5" t="inlineStr"/>
      <c r="H261" s="5" t="inlineStr"/>
      <c r="I261" s="5" t="inlineStr">
        <is>
          <t>197, 598, 250, 609</t>
        </is>
      </c>
      <c r="J261" s="5" t="inlineStr">
        <is>
          <t>question</t>
        </is>
      </c>
      <c r="K261" s="5" t="inlineStr">
        <is>
          <t>K14</t>
        </is>
      </c>
      <c r="L261" s="5">
        <f> K14.days.Sat.end</f>
        <v/>
      </c>
      <c r="M261" s="5" t="inlineStr">
        <is>
          <t>K8 == "N" and K14 set and K14.days.Sat set</t>
        </is>
      </c>
      <c r="N261" s="5" t="inlineStr"/>
      <c r="O261" s="5" t="inlineStr"/>
    </row>
    <row r="262">
      <c r="A262" s="5" t="n">
        <v>261</v>
      </c>
      <c r="B262" s="5" t="n">
        <v>6</v>
      </c>
      <c r="C262" s="5" t="inlineStr">
        <is>
          <t>13b(2) chart Sat</t>
        </is>
      </c>
      <c r="D262" s="5" t="inlineStr">
        <is>
          <t>Person to bring children to and from visit (or make available for virtual visit)</t>
        </is>
      </c>
      <c r="E262" s="5" t="inlineStr">
        <is>
          <t>DV-105[0].Page6[0].List13[0].List[0].Li2[0].List[0].Li2[0].tf34[0]</t>
        </is>
      </c>
      <c r="F262" s="5" t="inlineStr">
        <is>
          <t>text</t>
        </is>
      </c>
      <c r="G262" s="5" t="inlineStr"/>
      <c r="H262" s="5" t="inlineStr"/>
      <c r="I262" s="5" t="inlineStr">
        <is>
          <t>322, 598, 441, 609</t>
        </is>
      </c>
      <c r="J262" s="5" t="inlineStr">
        <is>
          <t>question</t>
        </is>
      </c>
      <c r="K262" s="5" t="inlineStr">
        <is>
          <t>K14</t>
        </is>
      </c>
      <c r="L262" s="5">
        <f> K14.days.Sat.whoBrings [line 2]</f>
        <v/>
      </c>
      <c r="M262" s="5" t="inlineStr">
        <is>
          <t>K8 == "N" and K14 set and K14.days.Sat set</t>
        </is>
      </c>
      <c r="N262" s="5" t="inlineStr"/>
      <c r="O262" s="5" t="inlineStr"/>
    </row>
    <row r="263">
      <c r="A263" s="5" t="n">
        <v>262</v>
      </c>
      <c r="B263" s="5" t="n">
        <v>6</v>
      </c>
      <c r="C263" s="5" t="inlineStr">
        <is>
          <t>13b(2) chart Sat</t>
        </is>
      </c>
      <c r="D263" s="5" t="inlineStr">
        <is>
          <t>Location of drop-off/pick-up</t>
        </is>
      </c>
      <c r="E263" s="5" t="inlineStr">
        <is>
          <t>DV-105[0].Page6[0].List13[0].List[0].Li2[0].List[0].Li2[0].tf36[0]</t>
        </is>
      </c>
      <c r="F263" s="5" t="inlineStr">
        <is>
          <t>text</t>
        </is>
      </c>
      <c r="G263" s="5" t="inlineStr"/>
      <c r="H263" s="5" t="inlineStr"/>
      <c r="I263" s="5" t="inlineStr">
        <is>
          <t>448, 598, 574, 609</t>
        </is>
      </c>
      <c r="J263" s="5" t="inlineStr">
        <is>
          <t>question</t>
        </is>
      </c>
      <c r="K263" s="5" t="inlineStr">
        <is>
          <t>K14</t>
        </is>
      </c>
      <c r="L263" s="5">
        <f> K14.days.Sat.place [line 2]</f>
        <v/>
      </c>
      <c r="M263" s="5" t="inlineStr">
        <is>
          <t>K8 == "N" and K14 set and K14.days.Sat set</t>
        </is>
      </c>
      <c r="N263" s="5" t="inlineStr"/>
      <c r="O263" s="5" t="inlineStr"/>
    </row>
    <row r="264">
      <c r="A264" s="5" t="n">
        <v>263</v>
      </c>
      <c r="B264" s="5" t="n">
        <v>6</v>
      </c>
      <c r="C264" s="5" t="inlineStr">
        <is>
          <t>13b(2) chart Sun</t>
        </is>
      </c>
      <c r="D264" s="5" t="inlineStr">
        <is>
          <t>Start:</t>
        </is>
      </c>
      <c r="E264" s="5" t="inlineStr">
        <is>
          <t>DV-105[0].Page6[0].List13[0].List[0].Li2[0].List[0].Li2[0].tf38[0]</t>
        </is>
      </c>
      <c r="F264" s="5" t="inlineStr">
        <is>
          <t>text</t>
        </is>
      </c>
      <c r="G264" s="5" t="inlineStr"/>
      <c r="H264" s="5" t="inlineStr"/>
      <c r="I264" s="5" t="inlineStr">
        <is>
          <t>155, 615, 250, 626</t>
        </is>
      </c>
      <c r="J264" s="5" t="inlineStr">
        <is>
          <t>question</t>
        </is>
      </c>
      <c r="K264" s="5" t="inlineStr">
        <is>
          <t>K14</t>
        </is>
      </c>
      <c r="L264" s="5">
        <f> K14.days.Sun.start</f>
        <v/>
      </c>
      <c r="M264" s="5" t="inlineStr">
        <is>
          <t>K8 == "N" and K14 set and K14.days.Sun set</t>
        </is>
      </c>
      <c r="N264" s="5" t="inlineStr"/>
      <c r="O264" s="5" t="inlineStr"/>
    </row>
    <row r="265">
      <c r="A265" s="5" t="n">
        <v>264</v>
      </c>
      <c r="B265" s="5" t="n">
        <v>6</v>
      </c>
      <c r="C265" s="5" t="inlineStr">
        <is>
          <t>13b(2) chart Sun</t>
        </is>
      </c>
      <c r="D265" s="5" t="inlineStr">
        <is>
          <t>Virtual visitwith person in 2</t>
        </is>
      </c>
      <c r="E265" s="5" t="inlineStr">
        <is>
          <t>DV-105[0].Page6[0].List13[0].List[0].Li2[0].List[0].Li2[0].item13b2_VirtVist_cb7[0]</t>
        </is>
      </c>
      <c r="F265" s="5" t="inlineStr">
        <is>
          <t>checkbox</t>
        </is>
      </c>
      <c r="G265" s="5" t="inlineStr">
        <is>
          <t>21</t>
        </is>
      </c>
      <c r="H265" s="5" t="inlineStr"/>
      <c r="I265" s="5" t="inlineStr">
        <is>
          <t>279, 623, 288, 632</t>
        </is>
      </c>
      <c r="J265" s="5" t="inlineStr">
        <is>
          <t>question</t>
        </is>
      </c>
      <c r="K265" s="5" t="inlineStr">
        <is>
          <t>K14</t>
        </is>
      </c>
      <c r="L265" s="5" t="inlineStr">
        <is>
          <t>check if K14.days.Sun.virtual</t>
        </is>
      </c>
      <c r="M265" s="5" t="inlineStr">
        <is>
          <t>K8 == "N" and K14 set and K14.days.Sun set</t>
        </is>
      </c>
      <c r="N265" s="5" t="inlineStr"/>
      <c r="O265" s="5" t="inlineStr"/>
    </row>
    <row r="266">
      <c r="A266" s="5" t="n">
        <v>265</v>
      </c>
      <c r="B266" s="5" t="n">
        <v>6</v>
      </c>
      <c r="C266" s="5" t="inlineStr">
        <is>
          <t>13b(2) chart Sun</t>
        </is>
      </c>
      <c r="D266" s="5" t="inlineStr">
        <is>
          <t>Person to bring children to and from visit (or make available for virtual visit)</t>
        </is>
      </c>
      <c r="E266" s="5" t="inlineStr">
        <is>
          <t>DV-105[0].Page6[0].List13[0].List[0].Li2[0].List[0].Li2[0].tf39[0]</t>
        </is>
      </c>
      <c r="F266" s="5" t="inlineStr">
        <is>
          <t>text</t>
        </is>
      </c>
      <c r="G266" s="5" t="inlineStr"/>
      <c r="H266" s="5" t="inlineStr"/>
      <c r="I266" s="5" t="inlineStr">
        <is>
          <t>322, 615, 440, 626</t>
        </is>
      </c>
      <c r="J266" s="5" t="inlineStr">
        <is>
          <t>question</t>
        </is>
      </c>
      <c r="K266" s="5" t="inlineStr">
        <is>
          <t>K14</t>
        </is>
      </c>
      <c r="L266" s="5">
        <f> K14.days.Sun.whoBrings [line 1]</f>
        <v/>
      </c>
      <c r="M266" s="5" t="inlineStr">
        <is>
          <t>K8 == "N" and K14 set and K14.days.Sun set</t>
        </is>
      </c>
      <c r="N266" s="5" t="inlineStr"/>
      <c r="O266" s="5" t="inlineStr"/>
    </row>
    <row r="267">
      <c r="A267" s="5" t="n">
        <v>266</v>
      </c>
      <c r="B267" s="5" t="n">
        <v>6</v>
      </c>
      <c r="C267" s="5" t="inlineStr">
        <is>
          <t>13b(2) chart Sun</t>
        </is>
      </c>
      <c r="D267" s="5" t="inlineStr">
        <is>
          <t>Location of drop-off/pick-up</t>
        </is>
      </c>
      <c r="E267" s="5" t="inlineStr">
        <is>
          <t>DV-105[0].Page6[0].List13[0].List[0].Li2[0].List[0].Li2[0].dropoff7[0]</t>
        </is>
      </c>
      <c r="F267" s="5" t="inlineStr">
        <is>
          <t>text</t>
        </is>
      </c>
      <c r="G267" s="5" t="inlineStr"/>
      <c r="H267" s="5" t="inlineStr"/>
      <c r="I267" s="5" t="inlineStr">
        <is>
          <t>448, 615, 574, 626</t>
        </is>
      </c>
      <c r="J267" s="5" t="inlineStr">
        <is>
          <t>question</t>
        </is>
      </c>
      <c r="K267" s="5" t="inlineStr">
        <is>
          <t>K14</t>
        </is>
      </c>
      <c r="L267" s="5">
        <f> K14.days.Sun.place [line 1]</f>
        <v/>
      </c>
      <c r="M267" s="5" t="inlineStr">
        <is>
          <t>K8 == "N" and K14 set and K14.days.Sun set</t>
        </is>
      </c>
      <c r="N267" s="5" t="inlineStr"/>
      <c r="O267" s="5" t="inlineStr"/>
    </row>
    <row r="268">
      <c r="A268" s="5" t="n">
        <v>267</v>
      </c>
      <c r="B268" s="5" t="n">
        <v>6</v>
      </c>
      <c r="C268" s="5" t="inlineStr">
        <is>
          <t>13b(2) chart Sun</t>
        </is>
      </c>
      <c r="D268" s="5" t="inlineStr">
        <is>
          <t>End, if applies:</t>
        </is>
      </c>
      <c r="E268" s="5" t="inlineStr">
        <is>
          <t>DV-105[0].Page6[0].List13[0].List[0].Li2[0].List[0].Li2[0].tf40[0]</t>
        </is>
      </c>
      <c r="F268" s="5" t="inlineStr">
        <is>
          <t>text</t>
        </is>
      </c>
      <c r="G268" s="5" t="inlineStr"/>
      <c r="H268" s="5" t="inlineStr"/>
      <c r="I268" s="5" t="inlineStr">
        <is>
          <t>197, 631, 250, 642</t>
        </is>
      </c>
      <c r="J268" s="5" t="inlineStr">
        <is>
          <t>question</t>
        </is>
      </c>
      <c r="K268" s="5" t="inlineStr">
        <is>
          <t>K14</t>
        </is>
      </c>
      <c r="L268" s="5">
        <f> K14.days.Sun.end</f>
        <v/>
      </c>
      <c r="M268" s="5" t="inlineStr">
        <is>
          <t>K8 == "N" and K14 set and K14.days.Sun set</t>
        </is>
      </c>
      <c r="N268" s="5" t="inlineStr"/>
      <c r="O268" s="5" t="inlineStr"/>
    </row>
    <row r="269">
      <c r="A269" s="5" t="n">
        <v>268</v>
      </c>
      <c r="B269" s="5" t="n">
        <v>6</v>
      </c>
      <c r="C269" s="5" t="inlineStr">
        <is>
          <t>13b(2) chart Sun</t>
        </is>
      </c>
      <c r="D269" s="5" t="inlineStr">
        <is>
          <t>Person to bring children to and from visit (or make available for virtual visit)</t>
        </is>
      </c>
      <c r="E269" s="5" t="inlineStr">
        <is>
          <t>DV-105[0].Page6[0].List13[0].List[0].Li2[0].List[0].Li2[0].tf41[0]</t>
        </is>
      </c>
      <c r="F269" s="5" t="inlineStr">
        <is>
          <t>text</t>
        </is>
      </c>
      <c r="G269" s="5" t="inlineStr"/>
      <c r="H269" s="5" t="inlineStr"/>
      <c r="I269" s="5" t="inlineStr">
        <is>
          <t>322, 631, 441, 642</t>
        </is>
      </c>
      <c r="J269" s="5" t="inlineStr">
        <is>
          <t>question</t>
        </is>
      </c>
      <c r="K269" s="5" t="inlineStr">
        <is>
          <t>K14</t>
        </is>
      </c>
      <c r="L269" s="5">
        <f> K14.days.Sun.whoBrings [line 2]</f>
        <v/>
      </c>
      <c r="M269" s="5" t="inlineStr">
        <is>
          <t>K8 == "N" and K14 set and K14.days.Sun set</t>
        </is>
      </c>
      <c r="N269" s="5" t="inlineStr"/>
      <c r="O269" s="5" t="inlineStr"/>
    </row>
    <row r="270">
      <c r="A270" s="5" t="n">
        <v>269</v>
      </c>
      <c r="B270" s="5" t="n">
        <v>6</v>
      </c>
      <c r="C270" s="5" t="inlineStr">
        <is>
          <t>13b(2) chart Sun</t>
        </is>
      </c>
      <c r="D270" s="5" t="inlineStr">
        <is>
          <t>Location of drop-off/pick-up</t>
        </is>
      </c>
      <c r="E270" s="5" t="inlineStr">
        <is>
          <t>DV-105[0].Page6[0].List13[0].List[0].Li2[0].List[0].Li2[0].tf42[0]</t>
        </is>
      </c>
      <c r="F270" s="5" t="inlineStr">
        <is>
          <t>text</t>
        </is>
      </c>
      <c r="G270" s="5" t="inlineStr"/>
      <c r="H270" s="5" t="inlineStr"/>
      <c r="I270" s="5" t="inlineStr">
        <is>
          <t>448, 631, 574, 642</t>
        </is>
      </c>
      <c r="J270" s="5" t="inlineStr">
        <is>
          <t>question</t>
        </is>
      </c>
      <c r="K270" s="5" t="inlineStr">
        <is>
          <t>K14</t>
        </is>
      </c>
      <c r="L270" s="5">
        <f> K14.days.Sun.place [line 2]</f>
        <v/>
      </c>
      <c r="M270" s="5" t="inlineStr">
        <is>
          <t>K8 == "N" and K14 set and K14.days.Sun set</t>
        </is>
      </c>
      <c r="N270" s="5" t="inlineStr"/>
      <c r="O270" s="5" t="inlineStr"/>
    </row>
    <row r="271">
      <c r="A271" s="5" t="n">
        <v>270</v>
      </c>
      <c r="B271" s="5" t="n">
        <v>6</v>
      </c>
      <c r="C271" s="5" t="inlineStr">
        <is>
          <t>13b(2) chart repeat</t>
        </is>
      </c>
      <c r="D271" s="5" t="inlineStr">
        <is>
          <t>Every week</t>
        </is>
      </c>
      <c r="E271" s="5" t="inlineStr">
        <is>
          <t>DV-105[0].Page6[0].List13[0].List[0].Li2[0].List[0].Li2[0].item13bSchedule[0]</t>
        </is>
      </c>
      <c r="F271" s="5" t="inlineStr">
        <is>
          <t>checkbox</t>
        </is>
      </c>
      <c r="G271" s="5" t="inlineStr">
        <is>
          <t>1</t>
        </is>
      </c>
      <c r="H271" s="5" t="inlineStr"/>
      <c r="I271" s="5" t="inlineStr">
        <is>
          <t>69, 662, 78, 671</t>
        </is>
      </c>
      <c r="J271" s="5" t="inlineStr">
        <is>
          <t>question</t>
        </is>
      </c>
      <c r="K271" s="5" t="inlineStr">
        <is>
          <t>K14</t>
        </is>
      </c>
      <c r="L271" s="5" t="inlineStr">
        <is>
          <t>check if K14.repeat == "every week"</t>
        </is>
      </c>
      <c r="M271" s="5" t="inlineStr">
        <is>
          <t>K8 == "N" and K14 set</t>
        </is>
      </c>
      <c r="N271" s="5" t="inlineStr"/>
      <c r="O271" s="5" t="inlineStr"/>
    </row>
    <row r="272">
      <c r="A272" s="5" t="n">
        <v>271</v>
      </c>
      <c r="B272" s="5" t="n">
        <v>6</v>
      </c>
      <c r="C272" s="5" t="inlineStr">
        <is>
          <t>13b(2) chart repeat</t>
        </is>
      </c>
      <c r="D272" s="5" t="inlineStr">
        <is>
          <t>Every other week</t>
        </is>
      </c>
      <c r="E272" s="5" t="inlineStr">
        <is>
          <t>DV-105[0].Page6[0].List13[0].List[0].Li2[0].List[0].Li2[0].item13bSchedule[1]</t>
        </is>
      </c>
      <c r="F272" s="5" t="inlineStr">
        <is>
          <t>checkbox</t>
        </is>
      </c>
      <c r="G272" s="5" t="inlineStr">
        <is>
          <t>11</t>
        </is>
      </c>
      <c r="H272" s="5" t="inlineStr"/>
      <c r="I272" s="5" t="inlineStr">
        <is>
          <t>163, 662, 172, 671</t>
        </is>
      </c>
      <c r="J272" s="5" t="inlineStr">
        <is>
          <t>question</t>
        </is>
      </c>
      <c r="K272" s="5" t="inlineStr">
        <is>
          <t>K14</t>
        </is>
      </c>
      <c r="L272" s="5" t="inlineStr">
        <is>
          <t>check if K14.repeat == "every other week"</t>
        </is>
      </c>
      <c r="M272" s="5" t="inlineStr">
        <is>
          <t>K8 == "N" and K14 set</t>
        </is>
      </c>
      <c r="N272" s="5" t="inlineStr"/>
      <c r="O272" s="5" t="inlineStr"/>
    </row>
    <row r="273">
      <c r="A273" s="5" t="n">
        <v>272</v>
      </c>
      <c r="B273" s="5" t="n">
        <v>6</v>
      </c>
      <c r="C273" s="5" t="inlineStr">
        <is>
          <t>13b(2) chart repeat</t>
        </is>
      </c>
      <c r="D273" s="5" t="inlineStr">
        <is>
          <t>Other</t>
        </is>
      </c>
      <c r="E273" s="5" t="inlineStr">
        <is>
          <t>DV-105[0].Page6[0].List13[0].List[0].Li2[0].List[0].Li2[0].item13bSchedule[2]</t>
        </is>
      </c>
      <c r="F273" s="5" t="inlineStr">
        <is>
          <t>checkbox</t>
        </is>
      </c>
      <c r="G273" s="5" t="inlineStr">
        <is>
          <t>21</t>
        </is>
      </c>
      <c r="H273" s="5" t="inlineStr"/>
      <c r="I273" s="5" t="inlineStr">
        <is>
          <t>286, 663, 295, 672</t>
        </is>
      </c>
      <c r="J273" s="5" t="inlineStr">
        <is>
          <t>question</t>
        </is>
      </c>
      <c r="K273" s="5" t="inlineStr">
        <is>
          <t>K14</t>
        </is>
      </c>
      <c r="L273" s="5" t="inlineStr">
        <is>
          <t>check if K14.repeat == "other"</t>
        </is>
      </c>
      <c r="M273" s="5" t="inlineStr">
        <is>
          <t>K8 == "N" and K14 set</t>
        </is>
      </c>
      <c r="N273" s="5" t="inlineStr"/>
      <c r="O273" s="5" t="inlineStr"/>
    </row>
    <row r="274">
      <c r="A274" s="5" t="n">
        <v>273</v>
      </c>
      <c r="B274" s="5" t="n">
        <v>6</v>
      </c>
      <c r="C274" s="5" t="inlineStr">
        <is>
          <t>13b(2) chart repeat</t>
        </is>
      </c>
      <c r="D274" s="5" t="inlineStr">
        <is>
          <t>Other</t>
        </is>
      </c>
      <c r="E274" s="5" t="inlineStr">
        <is>
          <t>DV-105[0].Page6[0].List13[0].List[0].Li2[0].List[0].Li2[0].othertf[0]</t>
        </is>
      </c>
      <c r="F274" s="5" t="inlineStr">
        <is>
          <t>text</t>
        </is>
      </c>
      <c r="G274" s="5" t="inlineStr"/>
      <c r="H274" s="5" t="inlineStr"/>
      <c r="I274" s="5" t="inlineStr">
        <is>
          <t>332, 662, 570, 675</t>
        </is>
      </c>
      <c r="J274" s="5" t="inlineStr">
        <is>
          <t>question</t>
        </is>
      </c>
      <c r="K274" s="5" t="inlineStr">
        <is>
          <t>K14</t>
        </is>
      </c>
      <c r="L274" s="5">
        <f> K14.repeatOther</f>
        <v/>
      </c>
      <c r="M274" s="5" t="inlineStr">
        <is>
          <t>K8 == "N" and K14 set and repeat == "other"</t>
        </is>
      </c>
      <c r="N274" s="5" t="inlineStr"/>
      <c r="O274" s="5" t="inlineStr"/>
    </row>
    <row r="275">
      <c r="A275" s="5" t="n">
        <v>274</v>
      </c>
      <c r="B275" s="5" t="n">
        <v>6</v>
      </c>
      <c r="C275" s="5" t="inlineStr">
        <is>
          <t>13b(2) chart start</t>
        </is>
      </c>
      <c r="D275" s="5" t="inlineStr">
        <is>
          <t>Start date for visits (month, day, year):</t>
        </is>
      </c>
      <c r="E275" s="5" t="inlineStr">
        <is>
          <t>DV-105[0].Page6[0].List13[0].List[0].Li2[0].List[0].Li2[0].TextField2[0]</t>
        </is>
      </c>
      <c r="F275" s="5" t="inlineStr">
        <is>
          <t>text</t>
        </is>
      </c>
      <c r="G275" s="5" t="inlineStr"/>
      <c r="H275" s="5" t="inlineStr"/>
      <c r="I275" s="5" t="inlineStr">
        <is>
          <t>254, 680, 570, 696</t>
        </is>
      </c>
      <c r="J275" s="5" t="inlineStr">
        <is>
          <t>question</t>
        </is>
      </c>
      <c r="K275" s="5" t="inlineStr">
        <is>
          <t>K14</t>
        </is>
      </c>
      <c r="L275" s="5">
        <f> fmtDate(K14.startDate)</f>
        <v/>
      </c>
      <c r="M275" s="5" t="inlineStr">
        <is>
          <t>K8 == "N" and K14 set</t>
        </is>
      </c>
      <c r="N275" s="5" t="inlineStr"/>
      <c r="O275" s="5" t="inlineStr"/>
    </row>
  </sheetData>
  <autoFilter ref="A1:O275"/>
  <dataValidations count="1">
    <dataValidation sqref="J2:J275" showDropDown="0" showInputMessage="0" showErrorMessage="0" allowBlank="1" type="list">
      <formula1>"question,derived,court/clerk,server,ignore (UI button)"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1"/>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7" t="n">
        <v>1</v>
      </c>
      <c r="B2" s="7" t="n">
        <v>1</v>
      </c>
      <c r="C2" s="7" t="inlineStr">
        <is>
          <t>—</t>
        </is>
      </c>
      <c r="D2" s="7" t="inlineStr">
        <is>
          <t>For your protection and privacy, please press the Clear This Form button after you have printed the form.</t>
        </is>
      </c>
      <c r="E2" s="7" t="inlineStr">
        <is>
          <t>DV-105A[0].#pageSet[0].MP1[0].Warning[0]</t>
        </is>
      </c>
      <c r="F2" s="7" t="inlineStr">
        <is>
          <t>button</t>
        </is>
      </c>
      <c r="G2" s="7" t="inlineStr"/>
      <c r="H2" s="7" t="inlineStr"/>
      <c r="I2" s="7" t="inlineStr">
        <is>
          <t>36, 762, 248, 785</t>
        </is>
      </c>
      <c r="J2" s="7" t="inlineStr">
        <is>
          <t>ignore (UI button)</t>
        </is>
      </c>
      <c r="K2" s="7" t="inlineStr"/>
      <c r="L2" s="7" t="inlineStr"/>
      <c r="M2" s="7" t="inlineStr"/>
      <c r="N2" s="7" t="inlineStr">
        <is>
          <t>Print/Save/Clear button. Do not fill.</t>
        </is>
      </c>
      <c r="O2" s="7" t="inlineStr"/>
    </row>
    <row r="3">
      <c r="A3" s="7" t="n">
        <v>2</v>
      </c>
      <c r="B3" s="7" t="n">
        <v>1</v>
      </c>
      <c r="C3" s="7" t="inlineStr">
        <is>
          <t>—</t>
        </is>
      </c>
      <c r="D3" s="7" t="inlineStr">
        <is>
          <t>Print this form</t>
        </is>
      </c>
      <c r="E3" s="7" t="inlineStr">
        <is>
          <t>DV-105A[0].#pageSet[0].MP1[0].Print[0]</t>
        </is>
      </c>
      <c r="F3" s="7" t="inlineStr">
        <is>
          <t>button</t>
        </is>
      </c>
      <c r="G3" s="7" t="inlineStr"/>
      <c r="H3" s="7" t="inlineStr"/>
      <c r="I3" s="7" t="inlineStr">
        <is>
          <t>259, 768, 340, 785</t>
        </is>
      </c>
      <c r="J3" s="7" t="inlineStr">
        <is>
          <t>ignore (UI button)</t>
        </is>
      </c>
      <c r="K3" s="7" t="inlineStr"/>
      <c r="L3" s="7" t="inlineStr"/>
      <c r="M3" s="7" t="inlineStr"/>
      <c r="N3" s="7" t="inlineStr">
        <is>
          <t>Print/Save/Clear button. Do not fill.</t>
        </is>
      </c>
      <c r="O3" s="7" t="inlineStr"/>
    </row>
    <row r="4">
      <c r="A4" s="7" t="n">
        <v>3</v>
      </c>
      <c r="B4" s="7" t="n">
        <v>1</v>
      </c>
      <c r="C4" s="7" t="inlineStr">
        <is>
          <t>—</t>
        </is>
      </c>
      <c r="D4" s="7" t="inlineStr">
        <is>
          <t>Save this form</t>
        </is>
      </c>
      <c r="E4" s="7" t="inlineStr">
        <is>
          <t>DV-105A[0].#pageSet[0].MP1[0].Save[0]</t>
        </is>
      </c>
      <c r="F4" s="7" t="inlineStr">
        <is>
          <t>button</t>
        </is>
      </c>
      <c r="G4" s="7" t="inlineStr"/>
      <c r="H4" s="7" t="inlineStr"/>
      <c r="I4" s="7" t="inlineStr">
        <is>
          <t>345, 768, 427, 785</t>
        </is>
      </c>
      <c r="J4" s="7" t="inlineStr">
        <is>
          <t>ignore (UI button)</t>
        </is>
      </c>
      <c r="K4" s="7" t="inlineStr"/>
      <c r="L4" s="7" t="inlineStr"/>
      <c r="M4" s="7" t="inlineStr"/>
      <c r="N4" s="7" t="inlineStr">
        <is>
          <t>Print/Save/Clear button. Do not fill.</t>
        </is>
      </c>
      <c r="O4" s="7" t="inlineStr"/>
    </row>
    <row r="5">
      <c r="A5" s="7" t="n">
        <v>4</v>
      </c>
      <c r="B5" s="7" t="n">
        <v>1</v>
      </c>
      <c r="C5" s="7" t="inlineStr">
        <is>
          <t>—</t>
        </is>
      </c>
      <c r="D5" s="7" t="inlineStr">
        <is>
          <t>Clear this form</t>
        </is>
      </c>
      <c r="E5" s="7" t="inlineStr">
        <is>
          <t>DV-105A[0].#pageSet[0].MP1[0].Reset[0]</t>
        </is>
      </c>
      <c r="F5" s="7" t="inlineStr">
        <is>
          <t>button</t>
        </is>
      </c>
      <c r="G5" s="7" t="inlineStr"/>
      <c r="H5" s="7" t="inlineStr"/>
      <c r="I5" s="7" t="inlineStr">
        <is>
          <t>495, 768, 576, 785</t>
        </is>
      </c>
      <c r="J5" s="7" t="inlineStr">
        <is>
          <t>ignore (UI button)</t>
        </is>
      </c>
      <c r="K5" s="7" t="inlineStr"/>
      <c r="L5" s="7" t="inlineStr"/>
      <c r="M5" s="7" t="inlineStr"/>
      <c r="N5" s="7" t="inlineStr">
        <is>
          <t>Print/Save/Clear button. Do not fill.</t>
        </is>
      </c>
      <c r="O5" s="7" t="inlineStr"/>
    </row>
    <row r="6">
      <c r="A6" s="5" t="n">
        <v>5</v>
      </c>
      <c r="B6" s="5" t="n">
        <v>1</v>
      </c>
      <c r="C6" s="5" t="inlineStr">
        <is>
          <t>Caption</t>
        </is>
      </c>
      <c r="D6" s="5" t="inlineStr">
        <is>
          <t>Case Number</t>
        </is>
      </c>
      <c r="E6" s="5" t="inlineStr">
        <is>
          <t>DV-105A[0].Page1[0].caseNumber[0].CaseNumber[0]</t>
        </is>
      </c>
      <c r="F6" s="5" t="inlineStr">
        <is>
          <t>text</t>
        </is>
      </c>
      <c r="G6" s="5" t="inlineStr"/>
      <c r="H6" s="5" t="inlineStr"/>
      <c r="I6" s="5" t="inlineStr">
        <is>
          <t>400, 49, 574, 66</t>
        </is>
      </c>
      <c r="J6" s="5" t="inlineStr">
        <is>
          <t>question</t>
        </is>
      </c>
      <c r="K6" s="5" t="inlineStr">
        <is>
          <t>S3,S4</t>
        </is>
      </c>
      <c r="L6" s="5">
        <f> S4</f>
        <v/>
      </c>
      <c r="M6" s="5" t="inlineStr">
        <is>
          <t>S3 == "update"; otherwise blank for clerk</t>
        </is>
      </c>
      <c r="N6" s="5" t="inlineStr"/>
      <c r="O6" s="5" t="inlineStr"/>
    </row>
    <row r="7">
      <c r="A7" s="6" t="n">
        <v>6</v>
      </c>
      <c r="B7" s="6" t="n">
        <v>1</v>
      </c>
      <c r="C7" s="6" t="inlineStr">
        <is>
          <t>1</t>
        </is>
      </c>
      <c r="D7" s="6" t="inlineStr">
        <is>
          <t>DV-105</t>
        </is>
      </c>
      <c r="E7" s="6" t="inlineStr">
        <is>
          <t>DV-105A[0].Page1[0].List1[0].li1[0].item1[0]</t>
        </is>
      </c>
      <c r="F7" s="6" t="inlineStr">
        <is>
          <t>checkbox</t>
        </is>
      </c>
      <c r="G7" s="6" t="inlineStr">
        <is>
          <t>1</t>
        </is>
      </c>
      <c r="H7" s="6" t="inlineStr"/>
      <c r="I7" s="6" t="inlineStr">
        <is>
          <t>63, 95, 72, 104</t>
        </is>
      </c>
      <c r="J7" s="6" t="inlineStr">
        <is>
          <t>derived</t>
        </is>
      </c>
      <c r="K7" s="6" t="inlineStr">
        <is>
          <t>(fixed)</t>
        </is>
      </c>
      <c r="L7" s="6" t="inlineStr">
        <is>
          <t>check (always "DV-105" in this wizard)</t>
        </is>
      </c>
      <c r="M7" s="6" t="inlineStr"/>
      <c r="N7" s="6" t="inlineStr">
        <is>
          <t>One DV-105(A) per two K2A groups: copy k gets groups 2k and 2k+1.</t>
        </is>
      </c>
      <c r="O7" s="6" t="inlineStr"/>
    </row>
    <row r="8">
      <c r="A8" s="6" t="n">
        <v>7</v>
      </c>
      <c r="B8" s="6" t="n">
        <v>1</v>
      </c>
      <c r="C8" s="6" t="inlineStr">
        <is>
          <t>1</t>
        </is>
      </c>
      <c r="D8" s="6" t="inlineStr">
        <is>
          <t>DV-125</t>
        </is>
      </c>
      <c r="E8" s="6" t="inlineStr">
        <is>
          <t>DV-105A[0].Page1[0].List1[0].li1[0].item1[1]</t>
        </is>
      </c>
      <c r="F8" s="6" t="inlineStr">
        <is>
          <t>checkbox</t>
        </is>
      </c>
      <c r="G8" s="6" t="inlineStr">
        <is>
          <t>2</t>
        </is>
      </c>
      <c r="H8" s="6" t="inlineStr"/>
      <c r="I8" s="6" t="inlineStr">
        <is>
          <t>63, 110, 72, 119</t>
        </is>
      </c>
      <c r="J8" s="6" t="inlineStr">
        <is>
          <t>derived</t>
        </is>
      </c>
      <c r="K8" s="6" t="inlineStr">
        <is>
          <t>(fixed)</t>
        </is>
      </c>
      <c r="L8" s="6" t="inlineStr">
        <is>
          <t>never</t>
        </is>
      </c>
      <c r="M8" s="6" t="inlineStr"/>
      <c r="N8" s="6" t="inlineStr">
        <is>
          <t>DV-125 belongs to other case types.</t>
        </is>
      </c>
      <c r="O8" s="6" t="inlineStr"/>
    </row>
    <row r="9">
      <c r="A9" s="6" t="n">
        <v>8</v>
      </c>
      <c r="B9" s="6" t="n">
        <v>1</v>
      </c>
      <c r="C9" s="6" t="inlineStr">
        <is>
          <t>1</t>
        </is>
      </c>
      <c r="D9" s="6" t="inlineStr">
        <is>
          <t>DV-305</t>
        </is>
      </c>
      <c r="E9" s="6" t="inlineStr">
        <is>
          <t>DV-105A[0].Page1[0].List1[0].li1[0].item1[2]</t>
        </is>
      </c>
      <c r="F9" s="6" t="inlineStr">
        <is>
          <t>checkbox</t>
        </is>
      </c>
      <c r="G9" s="6" t="inlineStr">
        <is>
          <t>21</t>
        </is>
      </c>
      <c r="H9" s="6" t="inlineStr"/>
      <c r="I9" s="6" t="inlineStr">
        <is>
          <t>63, 125, 72, 134</t>
        </is>
      </c>
      <c r="J9" s="6" t="inlineStr">
        <is>
          <t>derived</t>
        </is>
      </c>
      <c r="K9" s="6" t="inlineStr">
        <is>
          <t>(fixed)</t>
        </is>
      </c>
      <c r="L9" s="6" t="inlineStr">
        <is>
          <t>never</t>
        </is>
      </c>
      <c r="M9" s="6" t="inlineStr"/>
      <c r="N9" s="6" t="inlineStr">
        <is>
          <t>DV-305 belongs to other case types.</t>
        </is>
      </c>
      <c r="O9" s="6" t="inlineStr"/>
    </row>
    <row r="10">
      <c r="A10" s="6" t="n">
        <v>9</v>
      </c>
      <c r="B10" s="6" t="n">
        <v>1</v>
      </c>
      <c r="C10" s="6" t="inlineStr">
        <is>
          <t>1</t>
        </is>
      </c>
      <c r="D10" s="6" t="inlineStr">
        <is>
          <t>DV-325</t>
        </is>
      </c>
      <c r="E10" s="6" t="inlineStr">
        <is>
          <t>DV-105A[0].Page1[0].List1[0].li1[0].item1[3]</t>
        </is>
      </c>
      <c r="F10" s="6" t="inlineStr">
        <is>
          <t>checkbox</t>
        </is>
      </c>
      <c r="G10" s="6" t="inlineStr">
        <is>
          <t>11</t>
        </is>
      </c>
      <c r="H10" s="6" t="inlineStr"/>
      <c r="I10" s="6" t="inlineStr">
        <is>
          <t>63, 140, 72, 149</t>
        </is>
      </c>
      <c r="J10" s="6" t="inlineStr">
        <is>
          <t>derived</t>
        </is>
      </c>
      <c r="K10" s="6" t="inlineStr">
        <is>
          <t>(fixed)</t>
        </is>
      </c>
      <c r="L10" s="6" t="inlineStr">
        <is>
          <t>never</t>
        </is>
      </c>
      <c r="M10" s="6" t="inlineStr"/>
      <c r="N10" s="6" t="inlineStr">
        <is>
          <t>DV-325 belongs to other case types.</t>
        </is>
      </c>
      <c r="O10" s="6" t="inlineStr"/>
    </row>
    <row r="11">
      <c r="A11" s="5" t="n">
        <v>10</v>
      </c>
      <c r="B11" s="5" t="n">
        <v>1</v>
      </c>
      <c r="C11" s="5" t="inlineStr">
        <is>
          <t>2a</t>
        </is>
      </c>
      <c r="D11" s="5" t="inlineStr">
        <is>
          <t>Name of child or children</t>
        </is>
      </c>
      <c r="E11" s="5" t="inlineStr">
        <is>
          <t>DV-105A[0].Page1[0].List2[0].lia[0].namechild[0]</t>
        </is>
      </c>
      <c r="F11" s="5" t="inlineStr">
        <is>
          <t>text</t>
        </is>
      </c>
      <c r="G11" s="5" t="inlineStr"/>
      <c r="H11" s="5" t="inlineStr"/>
      <c r="I11" s="5" t="inlineStr">
        <is>
          <t>196, 191, 570, 204</t>
        </is>
      </c>
      <c r="J11" s="5" t="inlineStr">
        <is>
          <t>question</t>
        </is>
      </c>
      <c r="K11" s="5" t="inlineStr">
        <is>
          <t>K2A</t>
        </is>
      </c>
      <c r="L11" s="5">
        <f> join(groups[2k+0].children.PR1, ", ")</f>
        <v/>
      </c>
      <c r="M11" s="5" t="inlineStr">
        <is>
          <t>groups[2k+0] exists</t>
        </is>
      </c>
      <c r="N11" s="5" t="inlineStr"/>
      <c r="O11" s="5" t="inlineStr"/>
    </row>
    <row r="12">
      <c r="A12" s="5" t="n">
        <v>11</v>
      </c>
      <c r="B12" s="5" t="n">
        <v>1</v>
      </c>
      <c r="C12" s="5" t="inlineStr">
        <is>
          <t>2b row 1</t>
        </is>
      </c>
      <c r="D12" s="5" t="inlineStr">
        <is>
          <t>From</t>
        </is>
      </c>
      <c r="E12" s="5" t="inlineStr">
        <is>
          <t>DV-105A[0].Page1[0].List2[0].lib[0].tblChildLocation[0].bodyRow1[0].tf1[0]</t>
        </is>
      </c>
      <c r="F12" s="5" t="inlineStr">
        <is>
          <t>text</t>
        </is>
      </c>
      <c r="G12" s="5" t="inlineStr"/>
      <c r="H12" s="5" t="inlineStr"/>
      <c r="I12" s="5" t="inlineStr">
        <is>
          <t>106, 253, 144, 265</t>
        </is>
      </c>
      <c r="J12" s="5" t="inlineStr">
        <is>
          <t>question</t>
        </is>
      </c>
      <c r="K12" s="5" t="inlineStr">
        <is>
          <t>K2</t>
        </is>
      </c>
      <c r="L12" s="5">
        <f> fmtMonthYear(groups[2k+0].K2B[0].from)</f>
        <v/>
      </c>
      <c r="M12" s="5" t="inlineStr">
        <is>
          <t>groups[2k+0] exists and groups[2k+0].K2B.length &gt; 0</t>
        </is>
      </c>
      <c r="N12" s="5" t="inlineStr">
        <is>
          <t>Same rows as DV-105 4b. Columns say "Person in 1 / 2" for me / respondent.</t>
        </is>
      </c>
      <c r="O12" s="5" t="inlineStr"/>
    </row>
    <row r="13">
      <c r="A13" s="5" t="n">
        <v>12</v>
      </c>
      <c r="B13" s="5" t="n">
        <v>1</v>
      </c>
      <c r="C13" s="5" t="inlineStr">
        <is>
          <t>2b row 1</t>
        </is>
      </c>
      <c r="D13" s="5" t="inlineStr">
        <is>
          <t>City and State. Include tribal land, if applies</t>
        </is>
      </c>
      <c r="E13" s="5" t="inlineStr">
        <is>
          <t>DV-105A[0].Page1[0].List2[0].lib[0].tblChildLocation[0].bodyRow1[0].tf2[0]</t>
        </is>
      </c>
      <c r="F13" s="5" t="inlineStr">
        <is>
          <t>text</t>
        </is>
      </c>
      <c r="G13" s="5" t="inlineStr"/>
      <c r="H13" s="5" t="inlineStr"/>
      <c r="I13" s="5" t="inlineStr">
        <is>
          <t>214, 253, 385, 265</t>
        </is>
      </c>
      <c r="J13" s="5" t="inlineStr">
        <is>
          <t>question</t>
        </is>
      </c>
      <c r="K13" s="5" t="inlineStr">
        <is>
          <t>K2</t>
        </is>
      </c>
      <c r="L13" s="5">
        <f> groups[2k+0].K2B[0].private ? groups[2k+0].K2B[0].state : groups[2k+0].K2B[0].cityState</f>
        <v/>
      </c>
      <c r="M13" s="5" t="inlineStr">
        <is>
          <t>groups[2k+0] exists and groups[2k+0].K2B.length &gt; 0</t>
        </is>
      </c>
      <c r="N13" s="5" t="inlineStr"/>
      <c r="O13" s="5" t="inlineStr"/>
    </row>
    <row r="14">
      <c r="A14" s="5" t="n">
        <v>13</v>
      </c>
      <c r="B14" s="5" t="n">
        <v>1</v>
      </c>
      <c r="C14" s="5" t="inlineStr">
        <is>
          <t>2b row 1</t>
        </is>
      </c>
      <c r="D14" s="5" t="inlineStr">
        <is>
          <t>Check here if this address is private (confidential). List the state only.</t>
        </is>
      </c>
      <c r="E14" s="5" t="inlineStr">
        <is>
          <t>DV-105A[0].Page1[0].List2[0].lib[0].tblChildLocation[0].bodyRow1[0].chb1[0]</t>
        </is>
      </c>
      <c r="F14" s="5" t="inlineStr">
        <is>
          <t>checkbox</t>
        </is>
      </c>
      <c r="G14" s="5" t="inlineStr">
        <is>
          <t>1</t>
        </is>
      </c>
      <c r="H14" s="5" t="inlineStr"/>
      <c r="I14" s="5" t="inlineStr">
        <is>
          <t>214, 267, 223, 276</t>
        </is>
      </c>
      <c r="J14" s="5" t="inlineStr">
        <is>
          <t>question</t>
        </is>
      </c>
      <c r="K14" s="5" t="inlineStr">
        <is>
          <t>K2</t>
        </is>
      </c>
      <c r="L14" s="5" t="inlineStr">
        <is>
          <t>check if groups[2k+0].K2B[0].private</t>
        </is>
      </c>
      <c r="M14" s="5" t="inlineStr">
        <is>
          <t>groups[2k+0] exists and groups[2k+0].K2B.length &gt; 0</t>
        </is>
      </c>
      <c r="N14" s="5" t="inlineStr">
        <is>
          <t>Row 1 only: prints the state only.</t>
        </is>
      </c>
      <c r="O14" s="5" t="inlineStr"/>
    </row>
    <row r="15">
      <c r="A15" s="5" t="n">
        <v>14</v>
      </c>
      <c r="B15" s="5" t="n">
        <v>1</v>
      </c>
      <c r="C15" s="5" t="inlineStr">
        <is>
          <t>2b row 1</t>
        </is>
      </c>
      <c r="D15" s="5" t="inlineStr">
        <is>
          <t>Children lived with person in 1</t>
        </is>
      </c>
      <c r="E15" s="5" t="inlineStr">
        <is>
          <t>DV-105A[0].Page1[0].List2[0].lib[0].tblChildLocation[0].bodyRow1[0].ChoiceChildLiveW8[0]</t>
        </is>
      </c>
      <c r="F15" s="5" t="inlineStr">
        <is>
          <t>checkbox</t>
        </is>
      </c>
      <c r="G15" s="5" t="inlineStr">
        <is>
          <t>1</t>
        </is>
      </c>
      <c r="H15" s="5" t="inlineStr"/>
      <c r="I15" s="5" t="inlineStr">
        <is>
          <t>403, 254, 412, 263</t>
        </is>
      </c>
      <c r="J15" s="5" t="inlineStr">
        <is>
          <t>question</t>
        </is>
      </c>
      <c r="K15" s="5" t="inlineStr">
        <is>
          <t>K2</t>
        </is>
      </c>
      <c r="L15" s="5" t="inlineStr">
        <is>
          <t>check if groups[2k+0].K2B[0].livedWith has "me"</t>
        </is>
      </c>
      <c r="M15" s="5" t="inlineStr">
        <is>
          <t>groups[2k+0] exists and groups[2k+0].K2B.length &gt; 0</t>
        </is>
      </c>
      <c r="N15" s="5" t="inlineStr"/>
      <c r="O15" s="5" t="inlineStr"/>
    </row>
    <row r="16">
      <c r="A16" s="5" t="n">
        <v>15</v>
      </c>
      <c r="B16" s="5" t="n">
        <v>1</v>
      </c>
      <c r="C16" s="5" t="inlineStr">
        <is>
          <t>2b row 1</t>
        </is>
      </c>
      <c r="D16" s="5" t="inlineStr">
        <is>
          <t>Children lived with person in 2</t>
        </is>
      </c>
      <c r="E16" s="5" t="inlineStr">
        <is>
          <t>DV-105A[0].Page1[0].List2[0].lib[0].tblChildLocation[0].bodyRow1[0].ChoiceChildLiveW8[1]</t>
        </is>
      </c>
      <c r="F16" s="5" t="inlineStr">
        <is>
          <t>checkbox</t>
        </is>
      </c>
      <c r="G16" s="5" t="inlineStr">
        <is>
          <t>11</t>
        </is>
      </c>
      <c r="H16" s="5" t="inlineStr"/>
      <c r="I16" s="5" t="inlineStr">
        <is>
          <t>446, 254, 455, 263</t>
        </is>
      </c>
      <c r="J16" s="5" t="inlineStr">
        <is>
          <t>question</t>
        </is>
      </c>
      <c r="K16" s="5" t="inlineStr">
        <is>
          <t>K2</t>
        </is>
      </c>
      <c r="L16" s="5" t="inlineStr">
        <is>
          <t>check if groups[2k+0].K2B[0].livedWith has "respondent"</t>
        </is>
      </c>
      <c r="M16" s="5" t="inlineStr">
        <is>
          <t>groups[2k+0] exists and groups[2k+0].K2B.length &gt; 0</t>
        </is>
      </c>
      <c r="N16" s="5" t="inlineStr"/>
      <c r="O16" s="5" t="inlineStr"/>
    </row>
    <row r="17">
      <c r="A17" s="5" t="n">
        <v>16</v>
      </c>
      <c r="B17" s="5" t="n">
        <v>1</v>
      </c>
      <c r="C17" s="5" t="inlineStr">
        <is>
          <t>2b row 1</t>
        </is>
      </c>
      <c r="D17" s="5" t="inlineStr">
        <is>
          <t>Children lived with other person</t>
        </is>
      </c>
      <c r="E17" s="5" t="inlineStr">
        <is>
          <t>DV-105A[0].Page1[0].List2[0].lib[0].tblChildLocation[0].bodyRow1[0].ChoiceChildLiveW8[2]</t>
        </is>
      </c>
      <c r="F17" s="5" t="inlineStr">
        <is>
          <t>checkbox</t>
        </is>
      </c>
      <c r="G17" s="5" t="inlineStr">
        <is>
          <t>31</t>
        </is>
      </c>
      <c r="H17" s="5" t="inlineStr"/>
      <c r="I17" s="5" t="inlineStr">
        <is>
          <t>481, 254, 490, 263</t>
        </is>
      </c>
      <c r="J17" s="5" t="inlineStr">
        <is>
          <t>question</t>
        </is>
      </c>
      <c r="K17" s="5" t="inlineStr">
        <is>
          <t>K2</t>
        </is>
      </c>
      <c r="L17" s="5" t="inlineStr">
        <is>
          <t>check if groups[2k+0].K2B[0].livedWith has "other"</t>
        </is>
      </c>
      <c r="M17" s="5" t="inlineStr">
        <is>
          <t>groups[2k+0] exists and groups[2k+0].K2B.length &gt; 0</t>
        </is>
      </c>
      <c r="N17" s="5" t="inlineStr"/>
      <c r="O17" s="5" t="inlineStr"/>
    </row>
    <row r="18">
      <c r="A18" s="5" t="n">
        <v>17</v>
      </c>
      <c r="B18" s="5" t="n">
        <v>1</v>
      </c>
      <c r="C18" s="5" t="inlineStr">
        <is>
          <t>2b row 1</t>
        </is>
      </c>
      <c r="D18" s="5" t="inlineStr">
        <is>
          <t>Other - enter relationship to child</t>
        </is>
      </c>
      <c r="E18" s="5" t="inlineStr">
        <is>
          <t>DV-105A[0].Page1[0].List2[0].lib[0].tblChildLocation[0].bodyRow1[0].TextField1[0]</t>
        </is>
      </c>
      <c r="F18" s="5" t="inlineStr">
        <is>
          <t>text</t>
        </is>
      </c>
      <c r="G18" s="5" t="inlineStr"/>
      <c r="H18" s="5" t="inlineStr"/>
      <c r="I18" s="5" t="inlineStr">
        <is>
          <t>491, 253, 572, 265</t>
        </is>
      </c>
      <c r="J18" s="5" t="inlineStr">
        <is>
          <t>question</t>
        </is>
      </c>
      <c r="K18" s="5" t="inlineStr">
        <is>
          <t>K2</t>
        </is>
      </c>
      <c r="L18" s="5">
        <f> groups[2k+0].K2B[0].otherRelationship</f>
        <v/>
      </c>
      <c r="M18" s="5" t="inlineStr">
        <is>
          <t>groups[2k+0] exists and groups[2k+0].K2B.length &gt; 0 and livedWith has "other"</t>
        </is>
      </c>
      <c r="N18" s="5" t="inlineStr"/>
      <c r="O18" s="5" t="inlineStr"/>
    </row>
    <row r="19">
      <c r="A19" s="5" t="n">
        <v>18</v>
      </c>
      <c r="B19" s="5" t="n">
        <v>1</v>
      </c>
      <c r="C19" s="5" t="inlineStr">
        <is>
          <t>2b row 2</t>
        </is>
      </c>
      <c r="D19" s="5" t="inlineStr">
        <is>
          <t>From</t>
        </is>
      </c>
      <c r="E19" s="5" t="inlineStr">
        <is>
          <t>DV-105A[0].Page1[0].List2[0].lib[0].tblChildLocation[0].bodyRow2[0].tf3[0]</t>
        </is>
      </c>
      <c r="F19" s="5" t="inlineStr">
        <is>
          <t>text</t>
        </is>
      </c>
      <c r="G19" s="5" t="inlineStr"/>
      <c r="H19" s="5" t="inlineStr"/>
      <c r="I19" s="5" t="inlineStr">
        <is>
          <t>106, 297, 142, 309</t>
        </is>
      </c>
      <c r="J19" s="5" t="inlineStr">
        <is>
          <t>question</t>
        </is>
      </c>
      <c r="K19" s="5" t="inlineStr">
        <is>
          <t>K2</t>
        </is>
      </c>
      <c r="L19" s="5">
        <f> fmtMonthYear(groups[2k+0].K2B[1].from)</f>
        <v/>
      </c>
      <c r="M19" s="5" t="inlineStr">
        <is>
          <t>groups[2k+0] exists and groups[2k+0].K2B.length &gt; 1</t>
        </is>
      </c>
      <c r="N19" s="5" t="inlineStr"/>
      <c r="O19" s="5" t="inlineStr"/>
    </row>
    <row r="20">
      <c r="A20" s="5" t="n">
        <v>19</v>
      </c>
      <c r="B20" s="5" t="n">
        <v>1</v>
      </c>
      <c r="C20" s="5" t="inlineStr">
        <is>
          <t>2b row 2</t>
        </is>
      </c>
      <c r="D20" s="5" t="inlineStr">
        <is>
          <t>Until</t>
        </is>
      </c>
      <c r="E20" s="5" t="inlineStr">
        <is>
          <t>DV-105A[0].Page1[0].List2[0].lib[0].tblChildLocation[0].bodyRow2[0].tf4[0]</t>
        </is>
      </c>
      <c r="F20" s="5" t="inlineStr">
        <is>
          <t>text</t>
        </is>
      </c>
      <c r="G20" s="5" t="inlineStr"/>
      <c r="H20" s="5" t="inlineStr"/>
      <c r="I20" s="5" t="inlineStr">
        <is>
          <t>173, 297, 211, 309</t>
        </is>
      </c>
      <c r="J20" s="5" t="inlineStr">
        <is>
          <t>question</t>
        </is>
      </c>
      <c r="K20" s="5" t="inlineStr">
        <is>
          <t>K2</t>
        </is>
      </c>
      <c r="L20" s="5">
        <f> fmtMonthYear(groups[2k+0].K2B[1].until)</f>
        <v/>
      </c>
      <c r="M20" s="5" t="inlineStr">
        <is>
          <t>groups[2k+0] exists and groups[2k+0].K2B.length &gt; 1</t>
        </is>
      </c>
      <c r="N20" s="5" t="inlineStr"/>
      <c r="O20" s="5" t="inlineStr"/>
    </row>
    <row r="21">
      <c r="A21" s="5" t="n">
        <v>20</v>
      </c>
      <c r="B21" s="5" t="n">
        <v>1</v>
      </c>
      <c r="C21" s="5" t="inlineStr">
        <is>
          <t>2b row 2</t>
        </is>
      </c>
      <c r="D21" s="5" t="inlineStr">
        <is>
          <t>City and State. Include tribal land, if applies</t>
        </is>
      </c>
      <c r="E21" s="5" t="inlineStr">
        <is>
          <t>DV-105A[0].Page1[0].List2[0].lib[0].tblChildLocation[0].bodyRow2[0].tf6[0]</t>
        </is>
      </c>
      <c r="F21" s="5" t="inlineStr">
        <is>
          <t>text</t>
        </is>
      </c>
      <c r="G21" s="5" t="inlineStr"/>
      <c r="H21" s="5" t="inlineStr"/>
      <c r="I21" s="5" t="inlineStr">
        <is>
          <t>214, 297, 385, 309</t>
        </is>
      </c>
      <c r="J21" s="5" t="inlineStr">
        <is>
          <t>question</t>
        </is>
      </c>
      <c r="K21" s="5" t="inlineStr">
        <is>
          <t>K2</t>
        </is>
      </c>
      <c r="L21" s="5">
        <f> groups[2k+0].K2B[1].private ? groups[2k+0].K2B[1].state : groups[2k+0].K2B[1].cityState</f>
        <v/>
      </c>
      <c r="M21" s="5" t="inlineStr">
        <is>
          <t>groups[2k+0] exists and groups[2k+0].K2B.length &gt; 1</t>
        </is>
      </c>
      <c r="N21" s="5" t="inlineStr"/>
      <c r="O21" s="5" t="inlineStr"/>
    </row>
    <row r="22">
      <c r="A22" s="5" t="n">
        <v>21</v>
      </c>
      <c r="B22" s="5" t="n">
        <v>1</v>
      </c>
      <c r="C22" s="5" t="inlineStr">
        <is>
          <t>2b row 2</t>
        </is>
      </c>
      <c r="D22" s="5" t="inlineStr">
        <is>
          <t>Children lived with person in 1</t>
        </is>
      </c>
      <c r="E22" s="5" t="inlineStr">
        <is>
          <t>DV-105A[0].Page1[0].List2[0].lib[0].tblChildLocation[0].bodyRow2[0].ChoiceChildLiveW9[0]</t>
        </is>
      </c>
      <c r="F22" s="5" t="inlineStr">
        <is>
          <t>checkbox</t>
        </is>
      </c>
      <c r="G22" s="5" t="inlineStr">
        <is>
          <t>1</t>
        </is>
      </c>
      <c r="H22" s="5" t="inlineStr"/>
      <c r="I22" s="5" t="inlineStr">
        <is>
          <t>403, 297, 412, 306</t>
        </is>
      </c>
      <c r="J22" s="5" t="inlineStr">
        <is>
          <t>question</t>
        </is>
      </c>
      <c r="K22" s="5" t="inlineStr">
        <is>
          <t>K2</t>
        </is>
      </c>
      <c r="L22" s="5" t="inlineStr">
        <is>
          <t>check if groups[2k+0].K2B[1].livedWith has "me"</t>
        </is>
      </c>
      <c r="M22" s="5" t="inlineStr">
        <is>
          <t>groups[2k+0] exists and groups[2k+0].K2B.length &gt; 1</t>
        </is>
      </c>
      <c r="N22" s="5" t="inlineStr"/>
      <c r="O22" s="5" t="inlineStr"/>
    </row>
    <row r="23">
      <c r="A23" s="5" t="n">
        <v>22</v>
      </c>
      <c r="B23" s="5" t="n">
        <v>1</v>
      </c>
      <c r="C23" s="5" t="inlineStr">
        <is>
          <t>2b row 2</t>
        </is>
      </c>
      <c r="D23" s="5" t="inlineStr">
        <is>
          <t>Children lived with person in 2</t>
        </is>
      </c>
      <c r="E23" s="5" t="inlineStr">
        <is>
          <t>DV-105A[0].Page1[0].List2[0].lib[0].tblChildLocation[0].bodyRow2[0].ChoiceChildLiveW9[1]</t>
        </is>
      </c>
      <c r="F23" s="5" t="inlineStr">
        <is>
          <t>checkbox</t>
        </is>
      </c>
      <c r="G23" s="5" t="inlineStr">
        <is>
          <t>11</t>
        </is>
      </c>
      <c r="H23" s="5" t="inlineStr"/>
      <c r="I23" s="5" t="inlineStr">
        <is>
          <t>446, 297, 455, 306</t>
        </is>
      </c>
      <c r="J23" s="5" t="inlineStr">
        <is>
          <t>question</t>
        </is>
      </c>
      <c r="K23" s="5" t="inlineStr">
        <is>
          <t>K2</t>
        </is>
      </c>
      <c r="L23" s="5" t="inlineStr">
        <is>
          <t>check if groups[2k+0].K2B[1].livedWith has "respondent"</t>
        </is>
      </c>
      <c r="M23" s="5" t="inlineStr">
        <is>
          <t>groups[2k+0] exists and groups[2k+0].K2B.length &gt; 1</t>
        </is>
      </c>
      <c r="N23" s="5" t="inlineStr"/>
      <c r="O23" s="5" t="inlineStr"/>
    </row>
    <row r="24">
      <c r="A24" s="5" t="n">
        <v>23</v>
      </c>
      <c r="B24" s="5" t="n">
        <v>1</v>
      </c>
      <c r="C24" s="5" t="inlineStr">
        <is>
          <t>2b row 2</t>
        </is>
      </c>
      <c r="D24" s="5" t="inlineStr">
        <is>
          <t>Children lived with other person</t>
        </is>
      </c>
      <c r="E24" s="5" t="inlineStr">
        <is>
          <t>DV-105A[0].Page1[0].List2[0].lib[0].tblChildLocation[0].bodyRow2[0].ChoiceChildLiveW9[2]</t>
        </is>
      </c>
      <c r="F24" s="5" t="inlineStr">
        <is>
          <t>checkbox</t>
        </is>
      </c>
      <c r="G24" s="5" t="inlineStr">
        <is>
          <t>21</t>
        </is>
      </c>
      <c r="H24" s="5" t="inlineStr"/>
      <c r="I24" s="5" t="inlineStr">
        <is>
          <t>481, 297, 490, 306</t>
        </is>
      </c>
      <c r="J24" s="5" t="inlineStr">
        <is>
          <t>question</t>
        </is>
      </c>
      <c r="K24" s="5" t="inlineStr">
        <is>
          <t>K2</t>
        </is>
      </c>
      <c r="L24" s="5" t="inlineStr">
        <is>
          <t>check if groups[2k+0].K2B[1].livedWith has "other"</t>
        </is>
      </c>
      <c r="M24" s="5" t="inlineStr">
        <is>
          <t>groups[2k+0] exists and groups[2k+0].K2B.length &gt; 1</t>
        </is>
      </c>
      <c r="N24" s="5" t="inlineStr"/>
      <c r="O24" s="5" t="inlineStr"/>
    </row>
    <row r="25">
      <c r="A25" s="5" t="n">
        <v>24</v>
      </c>
      <c r="B25" s="5" t="n">
        <v>1</v>
      </c>
      <c r="C25" s="5" t="inlineStr">
        <is>
          <t>2b row 2</t>
        </is>
      </c>
      <c r="D25" s="5" t="inlineStr">
        <is>
          <t>Other - enter relationship to child</t>
        </is>
      </c>
      <c r="E25" s="5" t="inlineStr">
        <is>
          <t>DV-105A[0].Page1[0].List2[0].lib[0].tblChildLocation[0].bodyRow2[0].TextField2[0]</t>
        </is>
      </c>
      <c r="F25" s="5" t="inlineStr">
        <is>
          <t>text</t>
        </is>
      </c>
      <c r="G25" s="5" t="inlineStr"/>
      <c r="H25" s="5" t="inlineStr"/>
      <c r="I25" s="5" t="inlineStr">
        <is>
          <t>491, 297, 572, 309</t>
        </is>
      </c>
      <c r="J25" s="5" t="inlineStr">
        <is>
          <t>question</t>
        </is>
      </c>
      <c r="K25" s="5" t="inlineStr">
        <is>
          <t>K2</t>
        </is>
      </c>
      <c r="L25" s="5">
        <f> groups[2k+0].K2B[1].otherRelationship</f>
        <v/>
      </c>
      <c r="M25" s="5" t="inlineStr">
        <is>
          <t>groups[2k+0] exists and groups[2k+0].K2B.length &gt; 1 and livedWith has "other"</t>
        </is>
      </c>
      <c r="N25" s="5" t="inlineStr"/>
      <c r="O25" s="5" t="inlineStr"/>
    </row>
    <row r="26">
      <c r="A26" s="5" t="n">
        <v>25</v>
      </c>
      <c r="B26" s="5" t="n">
        <v>1</v>
      </c>
      <c r="C26" s="5" t="inlineStr">
        <is>
          <t>2b row 3</t>
        </is>
      </c>
      <c r="D26" s="5" t="inlineStr">
        <is>
          <t>From</t>
        </is>
      </c>
      <c r="E26" s="5" t="inlineStr">
        <is>
          <t>DV-105A[0].Page1[0].List2[0].lib[0].tblChildLocation[0].bodyRow3[0].tf7[0]</t>
        </is>
      </c>
      <c r="F26" s="5" t="inlineStr">
        <is>
          <t>text</t>
        </is>
      </c>
      <c r="G26" s="5" t="inlineStr"/>
      <c r="H26" s="5" t="inlineStr"/>
      <c r="I26" s="5" t="inlineStr">
        <is>
          <t>106, 313, 142, 325</t>
        </is>
      </c>
      <c r="J26" s="5" t="inlineStr">
        <is>
          <t>question</t>
        </is>
      </c>
      <c r="K26" s="5" t="inlineStr">
        <is>
          <t>K2</t>
        </is>
      </c>
      <c r="L26" s="5">
        <f> fmtMonthYear(groups[2k+0].K2B[2].from)</f>
        <v/>
      </c>
      <c r="M26" s="5" t="inlineStr">
        <is>
          <t>groups[2k+0] exists and groups[2k+0].K2B.length &gt; 2</t>
        </is>
      </c>
      <c r="N26" s="5" t="inlineStr"/>
      <c r="O26" s="5" t="inlineStr"/>
    </row>
    <row r="27">
      <c r="A27" s="5" t="n">
        <v>26</v>
      </c>
      <c r="B27" s="5" t="n">
        <v>1</v>
      </c>
      <c r="C27" s="5" t="inlineStr">
        <is>
          <t>2b row 3</t>
        </is>
      </c>
      <c r="D27" s="5" t="inlineStr">
        <is>
          <t>Until</t>
        </is>
      </c>
      <c r="E27" s="5" t="inlineStr">
        <is>
          <t>DV-105A[0].Page1[0].List2[0].lib[0].tblChildLocation[0].bodyRow3[0].tf8[0]</t>
        </is>
      </c>
      <c r="F27" s="5" t="inlineStr">
        <is>
          <t>text</t>
        </is>
      </c>
      <c r="G27" s="5" t="inlineStr"/>
      <c r="H27" s="5" t="inlineStr"/>
      <c r="I27" s="5" t="inlineStr">
        <is>
          <t>173, 313, 211, 325</t>
        </is>
      </c>
      <c r="J27" s="5" t="inlineStr">
        <is>
          <t>question</t>
        </is>
      </c>
      <c r="K27" s="5" t="inlineStr">
        <is>
          <t>K2</t>
        </is>
      </c>
      <c r="L27" s="5">
        <f> fmtMonthYear(groups[2k+0].K2B[2].until)</f>
        <v/>
      </c>
      <c r="M27" s="5" t="inlineStr">
        <is>
          <t>groups[2k+0] exists and groups[2k+0].K2B.length &gt; 2</t>
        </is>
      </c>
      <c r="N27" s="5" t="inlineStr"/>
      <c r="O27" s="5" t="inlineStr"/>
    </row>
    <row r="28">
      <c r="A28" s="5" t="n">
        <v>27</v>
      </c>
      <c r="B28" s="5" t="n">
        <v>1</v>
      </c>
      <c r="C28" s="5" t="inlineStr">
        <is>
          <t>2b row 3</t>
        </is>
      </c>
      <c r="D28" s="5" t="inlineStr">
        <is>
          <t>City and State. Include tribal land, if applies</t>
        </is>
      </c>
      <c r="E28" s="5" t="inlineStr">
        <is>
          <t>DV-105A[0].Page1[0].List2[0].lib[0].tblChildLocation[0].bodyRow3[0].tf9[0]</t>
        </is>
      </c>
      <c r="F28" s="5" t="inlineStr">
        <is>
          <t>text</t>
        </is>
      </c>
      <c r="G28" s="5" t="inlineStr"/>
      <c r="H28" s="5" t="inlineStr"/>
      <c r="I28" s="5" t="inlineStr">
        <is>
          <t>214, 313, 385, 325</t>
        </is>
      </c>
      <c r="J28" s="5" t="inlineStr">
        <is>
          <t>question</t>
        </is>
      </c>
      <c r="K28" s="5" t="inlineStr">
        <is>
          <t>K2</t>
        </is>
      </c>
      <c r="L28" s="5">
        <f> groups[2k+0].K2B[2].private ? groups[2k+0].K2B[2].state : groups[2k+0].K2B[2].cityState</f>
        <v/>
      </c>
      <c r="M28" s="5" t="inlineStr">
        <is>
          <t>groups[2k+0] exists and groups[2k+0].K2B.length &gt; 2</t>
        </is>
      </c>
      <c r="N28" s="5" t="inlineStr"/>
      <c r="O28" s="5" t="inlineStr"/>
    </row>
    <row r="29">
      <c r="A29" s="5" t="n">
        <v>28</v>
      </c>
      <c r="B29" s="5" t="n">
        <v>1</v>
      </c>
      <c r="C29" s="5" t="inlineStr">
        <is>
          <t>2b row 3</t>
        </is>
      </c>
      <c r="D29" s="5" t="inlineStr">
        <is>
          <t>Children lived with person in 1</t>
        </is>
      </c>
      <c r="E29" s="5" t="inlineStr">
        <is>
          <t>DV-105A[0].Page1[0].List2[0].lib[0].tblChildLocation[0].bodyRow3[0].ChoiceChildLiveW10[0]</t>
        </is>
      </c>
      <c r="F29" s="5" t="inlineStr">
        <is>
          <t>checkbox</t>
        </is>
      </c>
      <c r="G29" s="5" t="inlineStr">
        <is>
          <t>1</t>
        </is>
      </c>
      <c r="H29" s="5" t="inlineStr"/>
      <c r="I29" s="5" t="inlineStr">
        <is>
          <t>403, 314, 412, 323</t>
        </is>
      </c>
      <c r="J29" s="5" t="inlineStr">
        <is>
          <t>question</t>
        </is>
      </c>
      <c r="K29" s="5" t="inlineStr">
        <is>
          <t>K2</t>
        </is>
      </c>
      <c r="L29" s="5" t="inlineStr">
        <is>
          <t>check if groups[2k+0].K2B[2].livedWith has "me"</t>
        </is>
      </c>
      <c r="M29" s="5" t="inlineStr">
        <is>
          <t>groups[2k+0] exists and groups[2k+0].K2B.length &gt; 2</t>
        </is>
      </c>
      <c r="N29" s="5" t="inlineStr"/>
      <c r="O29" s="5" t="inlineStr"/>
    </row>
    <row r="30">
      <c r="A30" s="5" t="n">
        <v>29</v>
      </c>
      <c r="B30" s="5" t="n">
        <v>1</v>
      </c>
      <c r="C30" s="5" t="inlineStr">
        <is>
          <t>2b row 3</t>
        </is>
      </c>
      <c r="D30" s="5" t="inlineStr">
        <is>
          <t>Children lived with person in 2</t>
        </is>
      </c>
      <c r="E30" s="5" t="inlineStr">
        <is>
          <t>DV-105A[0].Page1[0].List2[0].lib[0].tblChildLocation[0].bodyRow3[0].ChoiceChildLiveW10[1]</t>
        </is>
      </c>
      <c r="F30" s="5" t="inlineStr">
        <is>
          <t>checkbox</t>
        </is>
      </c>
      <c r="G30" s="5" t="inlineStr">
        <is>
          <t>11</t>
        </is>
      </c>
      <c r="H30" s="5" t="inlineStr"/>
      <c r="I30" s="5" t="inlineStr">
        <is>
          <t>446, 314, 455, 323</t>
        </is>
      </c>
      <c r="J30" s="5" t="inlineStr">
        <is>
          <t>question</t>
        </is>
      </c>
      <c r="K30" s="5" t="inlineStr">
        <is>
          <t>K2</t>
        </is>
      </c>
      <c r="L30" s="5" t="inlineStr">
        <is>
          <t>check if groups[2k+0].K2B[2].livedWith has "respondent"</t>
        </is>
      </c>
      <c r="M30" s="5" t="inlineStr">
        <is>
          <t>groups[2k+0] exists and groups[2k+0].K2B.length &gt; 2</t>
        </is>
      </c>
      <c r="N30" s="5" t="inlineStr"/>
      <c r="O30" s="5" t="inlineStr"/>
    </row>
    <row r="31">
      <c r="A31" s="5" t="n">
        <v>30</v>
      </c>
      <c r="B31" s="5" t="n">
        <v>1</v>
      </c>
      <c r="C31" s="5" t="inlineStr">
        <is>
          <t>2b row 3</t>
        </is>
      </c>
      <c r="D31" s="5" t="inlineStr">
        <is>
          <t>Children lived with other person</t>
        </is>
      </c>
      <c r="E31" s="5" t="inlineStr">
        <is>
          <t>DV-105A[0].Page1[0].List2[0].lib[0].tblChildLocation[0].bodyRow3[0].ChoiceChildLiveW10[2]</t>
        </is>
      </c>
      <c r="F31" s="5" t="inlineStr">
        <is>
          <t>checkbox</t>
        </is>
      </c>
      <c r="G31" s="5" t="inlineStr">
        <is>
          <t>21</t>
        </is>
      </c>
      <c r="H31" s="5" t="inlineStr"/>
      <c r="I31" s="5" t="inlineStr">
        <is>
          <t>481, 314, 490, 323</t>
        </is>
      </c>
      <c r="J31" s="5" t="inlineStr">
        <is>
          <t>question</t>
        </is>
      </c>
      <c r="K31" s="5" t="inlineStr">
        <is>
          <t>K2</t>
        </is>
      </c>
      <c r="L31" s="5" t="inlineStr">
        <is>
          <t>check if groups[2k+0].K2B[2].livedWith has "other"</t>
        </is>
      </c>
      <c r="M31" s="5" t="inlineStr">
        <is>
          <t>groups[2k+0] exists and groups[2k+0].K2B.length &gt; 2</t>
        </is>
      </c>
      <c r="N31" s="5" t="inlineStr"/>
      <c r="O31" s="5" t="inlineStr"/>
    </row>
    <row r="32">
      <c r="A32" s="5" t="n">
        <v>31</v>
      </c>
      <c r="B32" s="5" t="n">
        <v>1</v>
      </c>
      <c r="C32" s="5" t="inlineStr">
        <is>
          <t>2b row 3</t>
        </is>
      </c>
      <c r="D32" s="5" t="inlineStr">
        <is>
          <t>Other - enter relationship to child</t>
        </is>
      </c>
      <c r="E32" s="5" t="inlineStr">
        <is>
          <t>DV-105A[0].Page1[0].List2[0].lib[0].tblChildLocation[0].bodyRow3[0].TextField3[0]</t>
        </is>
      </c>
      <c r="F32" s="5" t="inlineStr">
        <is>
          <t>text</t>
        </is>
      </c>
      <c r="G32" s="5" t="inlineStr"/>
      <c r="H32" s="5" t="inlineStr"/>
      <c r="I32" s="5" t="inlineStr">
        <is>
          <t>491, 313, 572, 325</t>
        </is>
      </c>
      <c r="J32" s="5" t="inlineStr">
        <is>
          <t>question</t>
        </is>
      </c>
      <c r="K32" s="5" t="inlineStr">
        <is>
          <t>K2</t>
        </is>
      </c>
      <c r="L32" s="5">
        <f> groups[2k+0].K2B[2].otherRelationship</f>
        <v/>
      </c>
      <c r="M32" s="5" t="inlineStr">
        <is>
          <t>groups[2k+0] exists and groups[2k+0].K2B.length &gt; 2 and livedWith has "other"</t>
        </is>
      </c>
      <c r="N32" s="5" t="inlineStr"/>
      <c r="O32" s="5" t="inlineStr"/>
    </row>
    <row r="33">
      <c r="A33" s="5" t="n">
        <v>32</v>
      </c>
      <c r="B33" s="5" t="n">
        <v>1</v>
      </c>
      <c r="C33" s="5" t="inlineStr">
        <is>
          <t>2b row 4</t>
        </is>
      </c>
      <c r="D33" s="5" t="inlineStr">
        <is>
          <t>From</t>
        </is>
      </c>
      <c r="E33" s="5" t="inlineStr">
        <is>
          <t>DV-105A[0].Page1[0].List2[0].lib[0].tblChildLocation[0].bodyRow4[0].tf10[0]</t>
        </is>
      </c>
      <c r="F33" s="5" t="inlineStr">
        <is>
          <t>text</t>
        </is>
      </c>
      <c r="G33" s="5" t="inlineStr"/>
      <c r="H33" s="5" t="inlineStr"/>
      <c r="I33" s="5" t="inlineStr">
        <is>
          <t>106, 330, 142, 342</t>
        </is>
      </c>
      <c r="J33" s="5" t="inlineStr">
        <is>
          <t>question</t>
        </is>
      </c>
      <c r="K33" s="5" t="inlineStr">
        <is>
          <t>K2</t>
        </is>
      </c>
      <c r="L33" s="5">
        <f> fmtMonthYear(groups[2k+0].K2B[3].from)</f>
        <v/>
      </c>
      <c r="M33" s="5" t="inlineStr">
        <is>
          <t>groups[2k+0] exists and groups[2k+0].K2B.length &gt; 3</t>
        </is>
      </c>
      <c r="N33" s="5" t="inlineStr"/>
      <c r="O33" s="5" t="inlineStr"/>
    </row>
    <row r="34">
      <c r="A34" s="5" t="n">
        <v>33</v>
      </c>
      <c r="B34" s="5" t="n">
        <v>1</v>
      </c>
      <c r="C34" s="5" t="inlineStr">
        <is>
          <t>2b row 4</t>
        </is>
      </c>
      <c r="D34" s="5" t="inlineStr">
        <is>
          <t>Until</t>
        </is>
      </c>
      <c r="E34" s="5" t="inlineStr">
        <is>
          <t>DV-105A[0].Page1[0].List2[0].lib[0].tblChildLocation[0].bodyRow4[0].tf11[0]</t>
        </is>
      </c>
      <c r="F34" s="5" t="inlineStr">
        <is>
          <t>text</t>
        </is>
      </c>
      <c r="G34" s="5" t="inlineStr"/>
      <c r="H34" s="5" t="inlineStr"/>
      <c r="I34" s="5" t="inlineStr">
        <is>
          <t>173, 330, 211, 342</t>
        </is>
      </c>
      <c r="J34" s="5" t="inlineStr">
        <is>
          <t>question</t>
        </is>
      </c>
      <c r="K34" s="5" t="inlineStr">
        <is>
          <t>K2</t>
        </is>
      </c>
      <c r="L34" s="5">
        <f> fmtMonthYear(groups[2k+0].K2B[3].until)</f>
        <v/>
      </c>
      <c r="M34" s="5" t="inlineStr">
        <is>
          <t>groups[2k+0] exists and groups[2k+0].K2B.length &gt; 3</t>
        </is>
      </c>
      <c r="N34" s="5" t="inlineStr"/>
      <c r="O34" s="5" t="inlineStr"/>
    </row>
    <row r="35">
      <c r="A35" s="5" t="n">
        <v>34</v>
      </c>
      <c r="B35" s="5" t="n">
        <v>1</v>
      </c>
      <c r="C35" s="5" t="inlineStr">
        <is>
          <t>2b row 4</t>
        </is>
      </c>
      <c r="D35" s="5" t="inlineStr">
        <is>
          <t>City and State. Include tribal land, if applies</t>
        </is>
      </c>
      <c r="E35" s="5" t="inlineStr">
        <is>
          <t>DV-105A[0].Page1[0].List2[0].lib[0].tblChildLocation[0].bodyRow4[0].tf12[0]</t>
        </is>
      </c>
      <c r="F35" s="5" t="inlineStr">
        <is>
          <t>text</t>
        </is>
      </c>
      <c r="G35" s="5" t="inlineStr"/>
      <c r="H35" s="5" t="inlineStr"/>
      <c r="I35" s="5" t="inlineStr">
        <is>
          <t>214, 330, 385, 342</t>
        </is>
      </c>
      <c r="J35" s="5" t="inlineStr">
        <is>
          <t>question</t>
        </is>
      </c>
      <c r="K35" s="5" t="inlineStr">
        <is>
          <t>K2</t>
        </is>
      </c>
      <c r="L35" s="5">
        <f> groups[2k+0].K2B[3].private ? groups[2k+0].K2B[3].state : groups[2k+0].K2B[3].cityState</f>
        <v/>
      </c>
      <c r="M35" s="5" t="inlineStr">
        <is>
          <t>groups[2k+0] exists and groups[2k+0].K2B.length &gt; 3</t>
        </is>
      </c>
      <c r="N35" s="5" t="inlineStr"/>
      <c r="O35" s="5" t="inlineStr"/>
    </row>
    <row r="36">
      <c r="A36" s="5" t="n">
        <v>35</v>
      </c>
      <c r="B36" s="5" t="n">
        <v>1</v>
      </c>
      <c r="C36" s="5" t="inlineStr">
        <is>
          <t>2b row 4</t>
        </is>
      </c>
      <c r="D36" s="5" t="inlineStr">
        <is>
          <t>Children lived with person in 1</t>
        </is>
      </c>
      <c r="E36" s="5" t="inlineStr">
        <is>
          <t>DV-105A[0].Page1[0].List2[0].lib[0].tblChildLocation[0].bodyRow4[0].ChoiceChildLiveW11[0]</t>
        </is>
      </c>
      <c r="F36" s="5" t="inlineStr">
        <is>
          <t>checkbox</t>
        </is>
      </c>
      <c r="G36" s="5" t="inlineStr">
        <is>
          <t>1</t>
        </is>
      </c>
      <c r="H36" s="5" t="inlineStr"/>
      <c r="I36" s="5" t="inlineStr">
        <is>
          <t>403, 331, 412, 340</t>
        </is>
      </c>
      <c r="J36" s="5" t="inlineStr">
        <is>
          <t>question</t>
        </is>
      </c>
      <c r="K36" s="5" t="inlineStr">
        <is>
          <t>K2</t>
        </is>
      </c>
      <c r="L36" s="5" t="inlineStr">
        <is>
          <t>check if groups[2k+0].K2B[3].livedWith has "me"</t>
        </is>
      </c>
      <c r="M36" s="5" t="inlineStr">
        <is>
          <t>groups[2k+0] exists and groups[2k+0].K2B.length &gt; 3</t>
        </is>
      </c>
      <c r="N36" s="5" t="inlineStr"/>
      <c r="O36" s="5" t="inlineStr"/>
    </row>
    <row r="37">
      <c r="A37" s="5" t="n">
        <v>36</v>
      </c>
      <c r="B37" s="5" t="n">
        <v>1</v>
      </c>
      <c r="C37" s="5" t="inlineStr">
        <is>
          <t>2b row 4</t>
        </is>
      </c>
      <c r="D37" s="5" t="inlineStr">
        <is>
          <t>Children lived with person in 2</t>
        </is>
      </c>
      <c r="E37" s="5" t="inlineStr">
        <is>
          <t>DV-105A[0].Page1[0].List2[0].lib[0].tblChildLocation[0].bodyRow4[0].ChoiceChildLiveW11[1]</t>
        </is>
      </c>
      <c r="F37" s="5" t="inlineStr">
        <is>
          <t>checkbox</t>
        </is>
      </c>
      <c r="G37" s="5" t="inlineStr">
        <is>
          <t>11</t>
        </is>
      </c>
      <c r="H37" s="5" t="inlineStr"/>
      <c r="I37" s="5" t="inlineStr">
        <is>
          <t>446, 331, 455, 340</t>
        </is>
      </c>
      <c r="J37" s="5" t="inlineStr">
        <is>
          <t>question</t>
        </is>
      </c>
      <c r="K37" s="5" t="inlineStr">
        <is>
          <t>K2</t>
        </is>
      </c>
      <c r="L37" s="5" t="inlineStr">
        <is>
          <t>check if groups[2k+0].K2B[3].livedWith has "respondent"</t>
        </is>
      </c>
      <c r="M37" s="5" t="inlineStr">
        <is>
          <t>groups[2k+0] exists and groups[2k+0].K2B.length &gt; 3</t>
        </is>
      </c>
      <c r="N37" s="5" t="inlineStr"/>
      <c r="O37" s="5" t="inlineStr"/>
    </row>
    <row r="38">
      <c r="A38" s="5" t="n">
        <v>37</v>
      </c>
      <c r="B38" s="5" t="n">
        <v>1</v>
      </c>
      <c r="C38" s="5" t="inlineStr">
        <is>
          <t>2b row 4</t>
        </is>
      </c>
      <c r="D38" s="5" t="inlineStr">
        <is>
          <t>Children lived with other person</t>
        </is>
      </c>
      <c r="E38" s="5" t="inlineStr">
        <is>
          <t>DV-105A[0].Page1[0].List2[0].lib[0].tblChildLocation[0].bodyRow4[0].ChoiceChildLiveW11[2]</t>
        </is>
      </c>
      <c r="F38" s="5" t="inlineStr">
        <is>
          <t>checkbox</t>
        </is>
      </c>
      <c r="G38" s="5" t="inlineStr">
        <is>
          <t>21</t>
        </is>
      </c>
      <c r="H38" s="5" t="inlineStr"/>
      <c r="I38" s="5" t="inlineStr">
        <is>
          <t>481, 331, 490, 340</t>
        </is>
      </c>
      <c r="J38" s="5" t="inlineStr">
        <is>
          <t>question</t>
        </is>
      </c>
      <c r="K38" s="5" t="inlineStr">
        <is>
          <t>K2</t>
        </is>
      </c>
      <c r="L38" s="5" t="inlineStr">
        <is>
          <t>check if groups[2k+0].K2B[3].livedWith has "other"</t>
        </is>
      </c>
      <c r="M38" s="5" t="inlineStr">
        <is>
          <t>groups[2k+0] exists and groups[2k+0].K2B.length &gt; 3</t>
        </is>
      </c>
      <c r="N38" s="5" t="inlineStr"/>
      <c r="O38" s="5" t="inlineStr"/>
    </row>
    <row r="39">
      <c r="A39" s="5" t="n">
        <v>38</v>
      </c>
      <c r="B39" s="5" t="n">
        <v>1</v>
      </c>
      <c r="C39" s="5" t="inlineStr">
        <is>
          <t>2b row 4</t>
        </is>
      </c>
      <c r="D39" s="5" t="inlineStr">
        <is>
          <t>Other - enter relationship to child</t>
        </is>
      </c>
      <c r="E39" s="5" t="inlineStr">
        <is>
          <t>DV-105A[0].Page1[0].List2[0].lib[0].tblChildLocation[0].bodyRow4[0].TextField3[0]</t>
        </is>
      </c>
      <c r="F39" s="5" t="inlineStr">
        <is>
          <t>text</t>
        </is>
      </c>
      <c r="G39" s="5" t="inlineStr"/>
      <c r="H39" s="5" t="inlineStr"/>
      <c r="I39" s="5" t="inlineStr">
        <is>
          <t>491, 330, 572, 342</t>
        </is>
      </c>
      <c r="J39" s="5" t="inlineStr">
        <is>
          <t>question</t>
        </is>
      </c>
      <c r="K39" s="5" t="inlineStr">
        <is>
          <t>K2</t>
        </is>
      </c>
      <c r="L39" s="5">
        <f> groups[2k+0].K2B[3].otherRelationship</f>
        <v/>
      </c>
      <c r="M39" s="5" t="inlineStr">
        <is>
          <t>groups[2k+0] exists and groups[2k+0].K2B.length &gt; 3 and livedWith has "other"</t>
        </is>
      </c>
      <c r="N39" s="5" t="inlineStr"/>
      <c r="O39" s="5" t="inlineStr"/>
    </row>
    <row r="40">
      <c r="A40" s="5" t="n">
        <v>39</v>
      </c>
      <c r="B40" s="5" t="n">
        <v>1</v>
      </c>
      <c r="C40" s="5" t="inlineStr">
        <is>
          <t>2b row 5</t>
        </is>
      </c>
      <c r="D40" s="5" t="inlineStr">
        <is>
          <t>From</t>
        </is>
      </c>
      <c r="E40" s="5" t="inlineStr">
        <is>
          <t>DV-105A[0].Page1[0].List2[0].lib[0].tblChildLocation[0].bodyRow5[0].tf13[0]</t>
        </is>
      </c>
      <c r="F40" s="5" t="inlineStr">
        <is>
          <t>text</t>
        </is>
      </c>
      <c r="G40" s="5" t="inlineStr"/>
      <c r="H40" s="5" t="inlineStr"/>
      <c r="I40" s="5" t="inlineStr">
        <is>
          <t>106, 347, 142, 359</t>
        </is>
      </c>
      <c r="J40" s="5" t="inlineStr">
        <is>
          <t>question</t>
        </is>
      </c>
      <c r="K40" s="5" t="inlineStr">
        <is>
          <t>K2</t>
        </is>
      </c>
      <c r="L40" s="5">
        <f> fmtMonthYear(groups[2k+0].K2B[4].from)</f>
        <v/>
      </c>
      <c r="M40" s="5" t="inlineStr">
        <is>
          <t>groups[2k+0] exists and groups[2k+0].K2B.length &gt; 4</t>
        </is>
      </c>
      <c r="N40" s="5" t="inlineStr"/>
      <c r="O40" s="5" t="inlineStr"/>
    </row>
    <row r="41">
      <c r="A41" s="5" t="n">
        <v>40</v>
      </c>
      <c r="B41" s="5" t="n">
        <v>1</v>
      </c>
      <c r="C41" s="5" t="inlineStr">
        <is>
          <t>2b row 5</t>
        </is>
      </c>
      <c r="D41" s="5" t="inlineStr">
        <is>
          <t>Until</t>
        </is>
      </c>
      <c r="E41" s="5" t="inlineStr">
        <is>
          <t>DV-105A[0].Page1[0].List2[0].lib[0].tblChildLocation[0].bodyRow5[0].tf14[0]</t>
        </is>
      </c>
      <c r="F41" s="5" t="inlineStr">
        <is>
          <t>text</t>
        </is>
      </c>
      <c r="G41" s="5" t="inlineStr"/>
      <c r="H41" s="5" t="inlineStr"/>
      <c r="I41" s="5" t="inlineStr">
        <is>
          <t>173, 347, 211, 359</t>
        </is>
      </c>
      <c r="J41" s="5" t="inlineStr">
        <is>
          <t>question</t>
        </is>
      </c>
      <c r="K41" s="5" t="inlineStr">
        <is>
          <t>K2</t>
        </is>
      </c>
      <c r="L41" s="5">
        <f> fmtMonthYear(groups[2k+0].K2B[4].until)</f>
        <v/>
      </c>
      <c r="M41" s="5" t="inlineStr">
        <is>
          <t>groups[2k+0] exists and groups[2k+0].K2B.length &gt; 4</t>
        </is>
      </c>
      <c r="N41" s="5" t="inlineStr"/>
      <c r="O41" s="5" t="inlineStr"/>
    </row>
    <row r="42">
      <c r="A42" s="5" t="n">
        <v>41</v>
      </c>
      <c r="B42" s="5" t="n">
        <v>1</v>
      </c>
      <c r="C42" s="5" t="inlineStr">
        <is>
          <t>2b row 5</t>
        </is>
      </c>
      <c r="D42" s="5" t="inlineStr">
        <is>
          <t>City and State. Include tribal land, if applies</t>
        </is>
      </c>
      <c r="E42" s="5" t="inlineStr">
        <is>
          <t>DV-105A[0].Page1[0].List2[0].lib[0].tblChildLocation[0].bodyRow5[0].tf15[0]</t>
        </is>
      </c>
      <c r="F42" s="5" t="inlineStr">
        <is>
          <t>text</t>
        </is>
      </c>
      <c r="G42" s="5" t="inlineStr"/>
      <c r="H42" s="5" t="inlineStr"/>
      <c r="I42" s="5" t="inlineStr">
        <is>
          <t>214, 347, 385, 359</t>
        </is>
      </c>
      <c r="J42" s="5" t="inlineStr">
        <is>
          <t>question</t>
        </is>
      </c>
      <c r="K42" s="5" t="inlineStr">
        <is>
          <t>K2</t>
        </is>
      </c>
      <c r="L42" s="5">
        <f> groups[2k+0].K2B[4].private ? groups[2k+0].K2B[4].state : groups[2k+0].K2B[4].cityState</f>
        <v/>
      </c>
      <c r="M42" s="5" t="inlineStr">
        <is>
          <t>groups[2k+0] exists and groups[2k+0].K2B.length &gt; 4</t>
        </is>
      </c>
      <c r="N42" s="5" t="inlineStr"/>
      <c r="O42" s="5" t="inlineStr"/>
    </row>
    <row r="43">
      <c r="A43" s="5" t="n">
        <v>42</v>
      </c>
      <c r="B43" s="5" t="n">
        <v>1</v>
      </c>
      <c r="C43" s="5" t="inlineStr">
        <is>
          <t>2b row 5</t>
        </is>
      </c>
      <c r="D43" s="5" t="inlineStr">
        <is>
          <t>Children lived with person in 1</t>
        </is>
      </c>
      <c r="E43" s="5" t="inlineStr">
        <is>
          <t>DV-105A[0].Page1[0].List2[0].lib[0].tblChildLocation[0].bodyRow5[0].ChoiceChildLiveW12[0]</t>
        </is>
      </c>
      <c r="F43" s="5" t="inlineStr">
        <is>
          <t>checkbox</t>
        </is>
      </c>
      <c r="G43" s="5" t="inlineStr">
        <is>
          <t>1</t>
        </is>
      </c>
      <c r="H43" s="5" t="inlineStr"/>
      <c r="I43" s="5" t="inlineStr">
        <is>
          <t>403, 347, 412, 356</t>
        </is>
      </c>
      <c r="J43" s="5" t="inlineStr">
        <is>
          <t>question</t>
        </is>
      </c>
      <c r="K43" s="5" t="inlineStr">
        <is>
          <t>K2</t>
        </is>
      </c>
      <c r="L43" s="5" t="inlineStr">
        <is>
          <t>check if groups[2k+0].K2B[4].livedWith has "me"</t>
        </is>
      </c>
      <c r="M43" s="5" t="inlineStr">
        <is>
          <t>groups[2k+0] exists and groups[2k+0].K2B.length &gt; 4</t>
        </is>
      </c>
      <c r="N43" s="5" t="inlineStr"/>
      <c r="O43" s="5" t="inlineStr"/>
    </row>
    <row r="44">
      <c r="A44" s="5" t="n">
        <v>43</v>
      </c>
      <c r="B44" s="5" t="n">
        <v>1</v>
      </c>
      <c r="C44" s="5" t="inlineStr">
        <is>
          <t>2b row 5</t>
        </is>
      </c>
      <c r="D44" s="5" t="inlineStr">
        <is>
          <t>Children lived with person in 2</t>
        </is>
      </c>
      <c r="E44" s="5" t="inlineStr">
        <is>
          <t>DV-105A[0].Page1[0].List2[0].lib[0].tblChildLocation[0].bodyRow5[0].ChoiceChildLiveW12[1]</t>
        </is>
      </c>
      <c r="F44" s="5" t="inlineStr">
        <is>
          <t>checkbox</t>
        </is>
      </c>
      <c r="G44" s="5" t="inlineStr">
        <is>
          <t>11</t>
        </is>
      </c>
      <c r="H44" s="5" t="inlineStr"/>
      <c r="I44" s="5" t="inlineStr">
        <is>
          <t>446, 347, 455, 356</t>
        </is>
      </c>
      <c r="J44" s="5" t="inlineStr">
        <is>
          <t>question</t>
        </is>
      </c>
      <c r="K44" s="5" t="inlineStr">
        <is>
          <t>K2</t>
        </is>
      </c>
      <c r="L44" s="5" t="inlineStr">
        <is>
          <t>check if groups[2k+0].K2B[4].livedWith has "respondent"</t>
        </is>
      </c>
      <c r="M44" s="5" t="inlineStr">
        <is>
          <t>groups[2k+0] exists and groups[2k+0].K2B.length &gt; 4</t>
        </is>
      </c>
      <c r="N44" s="5" t="inlineStr"/>
      <c r="O44" s="5" t="inlineStr"/>
    </row>
    <row r="45">
      <c r="A45" s="5" t="n">
        <v>44</v>
      </c>
      <c r="B45" s="5" t="n">
        <v>1</v>
      </c>
      <c r="C45" s="5" t="inlineStr">
        <is>
          <t>2b row 5</t>
        </is>
      </c>
      <c r="D45" s="5" t="inlineStr">
        <is>
          <t>Children lived with other person</t>
        </is>
      </c>
      <c r="E45" s="5" t="inlineStr">
        <is>
          <t>DV-105A[0].Page1[0].List2[0].lib[0].tblChildLocation[0].bodyRow5[0].ChoiceChildLiveW12[2]</t>
        </is>
      </c>
      <c r="F45" s="5" t="inlineStr">
        <is>
          <t>checkbox</t>
        </is>
      </c>
      <c r="G45" s="5" t="inlineStr">
        <is>
          <t>21</t>
        </is>
      </c>
      <c r="H45" s="5" t="inlineStr"/>
      <c r="I45" s="5" t="inlineStr">
        <is>
          <t>481, 347, 490, 356</t>
        </is>
      </c>
      <c r="J45" s="5" t="inlineStr">
        <is>
          <t>question</t>
        </is>
      </c>
      <c r="K45" s="5" t="inlineStr">
        <is>
          <t>K2</t>
        </is>
      </c>
      <c r="L45" s="5" t="inlineStr">
        <is>
          <t>check if groups[2k+0].K2B[4].livedWith has "other"</t>
        </is>
      </c>
      <c r="M45" s="5" t="inlineStr">
        <is>
          <t>groups[2k+0] exists and groups[2k+0].K2B.length &gt; 4</t>
        </is>
      </c>
      <c r="N45" s="5" t="inlineStr"/>
      <c r="O45" s="5" t="inlineStr"/>
    </row>
    <row r="46">
      <c r="A46" s="5" t="n">
        <v>45</v>
      </c>
      <c r="B46" s="5" t="n">
        <v>1</v>
      </c>
      <c r="C46" s="5" t="inlineStr">
        <is>
          <t>2b row 5</t>
        </is>
      </c>
      <c r="D46" s="5" t="inlineStr">
        <is>
          <t>Other - enter relationship to child</t>
        </is>
      </c>
      <c r="E46" s="5" t="inlineStr">
        <is>
          <t>DV-105A[0].Page1[0].List2[0].lib[0].tblChildLocation[0].bodyRow5[0].TextField4[0]</t>
        </is>
      </c>
      <c r="F46" s="5" t="inlineStr">
        <is>
          <t>text</t>
        </is>
      </c>
      <c r="G46" s="5" t="inlineStr"/>
      <c r="H46" s="5" t="inlineStr"/>
      <c r="I46" s="5" t="inlineStr">
        <is>
          <t>491, 347, 572, 359</t>
        </is>
      </c>
      <c r="J46" s="5" t="inlineStr">
        <is>
          <t>question</t>
        </is>
      </c>
      <c r="K46" s="5" t="inlineStr">
        <is>
          <t>K2</t>
        </is>
      </c>
      <c r="L46" s="5">
        <f> groups[2k+0].K2B[4].otherRelationship</f>
        <v/>
      </c>
      <c r="M46" s="5" t="inlineStr">
        <is>
          <t>groups[2k+0] exists and groups[2k+0].K2B.length &gt; 4 and livedWith has "other"</t>
        </is>
      </c>
      <c r="N46" s="5" t="inlineStr"/>
      <c r="O46" s="5" t="inlineStr"/>
    </row>
    <row r="47">
      <c r="A47" s="5" t="n">
        <v>46</v>
      </c>
      <c r="B47" s="5" t="n">
        <v>1</v>
      </c>
      <c r="C47" s="5" t="inlineStr">
        <is>
          <t>2b row 6</t>
        </is>
      </c>
      <c r="D47" s="5" t="inlineStr">
        <is>
          <t>From</t>
        </is>
      </c>
      <c r="E47" s="5" t="inlineStr">
        <is>
          <t>DV-105A[0].Page1[0].List2[0].lib[0].tblChildLocation[0].bodyRow6[0].tf16[0]</t>
        </is>
      </c>
      <c r="F47" s="5" t="inlineStr">
        <is>
          <t>text</t>
        </is>
      </c>
      <c r="G47" s="5" t="inlineStr"/>
      <c r="H47" s="5" t="inlineStr"/>
      <c r="I47" s="5" t="inlineStr">
        <is>
          <t>106, 363, 142, 375</t>
        </is>
      </c>
      <c r="J47" s="5" t="inlineStr">
        <is>
          <t>question</t>
        </is>
      </c>
      <c r="K47" s="5" t="inlineStr">
        <is>
          <t>K2</t>
        </is>
      </c>
      <c r="L47" s="5">
        <f> fmtMonthYear(groups[2k+0].K2B[5].from)</f>
        <v/>
      </c>
      <c r="M47" s="5" t="inlineStr">
        <is>
          <t>groups[2k+0] exists and groups[2k+0].K2B.length &gt; 5</t>
        </is>
      </c>
      <c r="N47" s="5" t="inlineStr"/>
      <c r="O47" s="5" t="inlineStr"/>
    </row>
    <row r="48">
      <c r="A48" s="5" t="n">
        <v>47</v>
      </c>
      <c r="B48" s="5" t="n">
        <v>1</v>
      </c>
      <c r="C48" s="5" t="inlineStr">
        <is>
          <t>2b row 6</t>
        </is>
      </c>
      <c r="D48" s="5" t="inlineStr">
        <is>
          <t>Until</t>
        </is>
      </c>
      <c r="E48" s="5" t="inlineStr">
        <is>
          <t>DV-105A[0].Page1[0].List2[0].lib[0].tblChildLocation[0].bodyRow6[0].tf17[0]</t>
        </is>
      </c>
      <c r="F48" s="5" t="inlineStr">
        <is>
          <t>text</t>
        </is>
      </c>
      <c r="G48" s="5" t="inlineStr"/>
      <c r="H48" s="5" t="inlineStr"/>
      <c r="I48" s="5" t="inlineStr">
        <is>
          <t>173, 363, 211, 375</t>
        </is>
      </c>
      <c r="J48" s="5" t="inlineStr">
        <is>
          <t>question</t>
        </is>
      </c>
      <c r="K48" s="5" t="inlineStr">
        <is>
          <t>K2</t>
        </is>
      </c>
      <c r="L48" s="5">
        <f> fmtMonthYear(groups[2k+0].K2B[5].until)</f>
        <v/>
      </c>
      <c r="M48" s="5" t="inlineStr">
        <is>
          <t>groups[2k+0] exists and groups[2k+0].K2B.length &gt; 5</t>
        </is>
      </c>
      <c r="N48" s="5" t="inlineStr"/>
      <c r="O48" s="5" t="inlineStr"/>
    </row>
    <row r="49">
      <c r="A49" s="5" t="n">
        <v>48</v>
      </c>
      <c r="B49" s="5" t="n">
        <v>1</v>
      </c>
      <c r="C49" s="5" t="inlineStr">
        <is>
          <t>2b row 6</t>
        </is>
      </c>
      <c r="D49" s="5" t="inlineStr">
        <is>
          <t>City and State. Include tribal land, if applies</t>
        </is>
      </c>
      <c r="E49" s="5" t="inlineStr">
        <is>
          <t>DV-105A[0].Page1[0].List2[0].lib[0].tblChildLocation[0].bodyRow6[0].tf18[0]</t>
        </is>
      </c>
      <c r="F49" s="5" t="inlineStr">
        <is>
          <t>text</t>
        </is>
      </c>
      <c r="G49" s="5" t="inlineStr"/>
      <c r="H49" s="5" t="inlineStr"/>
      <c r="I49" s="5" t="inlineStr">
        <is>
          <t>214, 363, 385, 375</t>
        </is>
      </c>
      <c r="J49" s="5" t="inlineStr">
        <is>
          <t>question</t>
        </is>
      </c>
      <c r="K49" s="5" t="inlineStr">
        <is>
          <t>K2</t>
        </is>
      </c>
      <c r="L49" s="5">
        <f> groups[2k+0].K2B[5].private ? groups[2k+0].K2B[5].state : groups[2k+0].K2B[5].cityState</f>
        <v/>
      </c>
      <c r="M49" s="5" t="inlineStr">
        <is>
          <t>groups[2k+0] exists and groups[2k+0].K2B.length &gt; 5</t>
        </is>
      </c>
      <c r="N49" s="5" t="inlineStr"/>
      <c r="O49" s="5" t="inlineStr"/>
    </row>
    <row r="50">
      <c r="A50" s="5" t="n">
        <v>49</v>
      </c>
      <c r="B50" s="5" t="n">
        <v>1</v>
      </c>
      <c r="C50" s="5" t="inlineStr">
        <is>
          <t>2b row 6</t>
        </is>
      </c>
      <c r="D50" s="5" t="inlineStr">
        <is>
          <t>Children lived with person in 1</t>
        </is>
      </c>
      <c r="E50" s="5" t="inlineStr">
        <is>
          <t>DV-105A[0].Page1[0].List2[0].lib[0].tblChildLocation[0].bodyRow6[0].ChoiceChildLiveW13[0]</t>
        </is>
      </c>
      <c r="F50" s="5" t="inlineStr">
        <is>
          <t>checkbox</t>
        </is>
      </c>
      <c r="G50" s="5" t="inlineStr">
        <is>
          <t>1</t>
        </is>
      </c>
      <c r="H50" s="5" t="inlineStr"/>
      <c r="I50" s="5" t="inlineStr">
        <is>
          <t>403, 364, 412, 373</t>
        </is>
      </c>
      <c r="J50" s="5" t="inlineStr">
        <is>
          <t>question</t>
        </is>
      </c>
      <c r="K50" s="5" t="inlineStr">
        <is>
          <t>K2</t>
        </is>
      </c>
      <c r="L50" s="5" t="inlineStr">
        <is>
          <t>check if groups[2k+0].K2B[5].livedWith has "me"</t>
        </is>
      </c>
      <c r="M50" s="5" t="inlineStr">
        <is>
          <t>groups[2k+0] exists and groups[2k+0].K2B.length &gt; 5</t>
        </is>
      </c>
      <c r="N50" s="5" t="inlineStr"/>
      <c r="O50" s="5" t="inlineStr"/>
    </row>
    <row r="51">
      <c r="A51" s="5" t="n">
        <v>50</v>
      </c>
      <c r="B51" s="5" t="n">
        <v>1</v>
      </c>
      <c r="C51" s="5" t="inlineStr">
        <is>
          <t>2b row 6</t>
        </is>
      </c>
      <c r="D51" s="5" t="inlineStr">
        <is>
          <t>Children lived with person in 2</t>
        </is>
      </c>
      <c r="E51" s="5" t="inlineStr">
        <is>
          <t>DV-105A[0].Page1[0].List2[0].lib[0].tblChildLocation[0].bodyRow6[0].ChoiceChildLiveW13[1]</t>
        </is>
      </c>
      <c r="F51" s="5" t="inlineStr">
        <is>
          <t>checkbox</t>
        </is>
      </c>
      <c r="G51" s="5" t="inlineStr">
        <is>
          <t>11</t>
        </is>
      </c>
      <c r="H51" s="5" t="inlineStr"/>
      <c r="I51" s="5" t="inlineStr">
        <is>
          <t>446, 364, 455, 373</t>
        </is>
      </c>
      <c r="J51" s="5" t="inlineStr">
        <is>
          <t>question</t>
        </is>
      </c>
      <c r="K51" s="5" t="inlineStr">
        <is>
          <t>K2</t>
        </is>
      </c>
      <c r="L51" s="5" t="inlineStr">
        <is>
          <t>check if groups[2k+0].K2B[5].livedWith has "respondent"</t>
        </is>
      </c>
      <c r="M51" s="5" t="inlineStr">
        <is>
          <t>groups[2k+0] exists and groups[2k+0].K2B.length &gt; 5</t>
        </is>
      </c>
      <c r="N51" s="5" t="inlineStr"/>
      <c r="O51" s="5" t="inlineStr"/>
    </row>
    <row r="52">
      <c r="A52" s="5" t="n">
        <v>51</v>
      </c>
      <c r="B52" s="5" t="n">
        <v>1</v>
      </c>
      <c r="C52" s="5" t="inlineStr">
        <is>
          <t>2b row 6</t>
        </is>
      </c>
      <c r="D52" s="5" t="inlineStr">
        <is>
          <t>Children lived with other person</t>
        </is>
      </c>
      <c r="E52" s="5" t="inlineStr">
        <is>
          <t>DV-105A[0].Page1[0].List2[0].lib[0].tblChildLocation[0].bodyRow6[0].ChoiceChildLiveW13[2]</t>
        </is>
      </c>
      <c r="F52" s="5" t="inlineStr">
        <is>
          <t>checkbox</t>
        </is>
      </c>
      <c r="G52" s="5" t="inlineStr">
        <is>
          <t>21</t>
        </is>
      </c>
      <c r="H52" s="5" t="inlineStr"/>
      <c r="I52" s="5" t="inlineStr">
        <is>
          <t>481, 364, 490, 373</t>
        </is>
      </c>
      <c r="J52" s="5" t="inlineStr">
        <is>
          <t>question</t>
        </is>
      </c>
      <c r="K52" s="5" t="inlineStr">
        <is>
          <t>K2</t>
        </is>
      </c>
      <c r="L52" s="5" t="inlineStr">
        <is>
          <t>check if groups[2k+0].K2B[5].livedWith has "other"</t>
        </is>
      </c>
      <c r="M52" s="5" t="inlineStr">
        <is>
          <t>groups[2k+0] exists and groups[2k+0].K2B.length &gt; 5</t>
        </is>
      </c>
      <c r="N52" s="5" t="inlineStr"/>
      <c r="O52" s="5" t="inlineStr"/>
    </row>
    <row r="53">
      <c r="A53" s="5" t="n">
        <v>52</v>
      </c>
      <c r="B53" s="5" t="n">
        <v>1</v>
      </c>
      <c r="C53" s="5" t="inlineStr">
        <is>
          <t>2b row 6</t>
        </is>
      </c>
      <c r="D53" s="5" t="inlineStr">
        <is>
          <t>Other - enter relationship to child</t>
        </is>
      </c>
      <c r="E53" s="5" t="inlineStr">
        <is>
          <t>DV-105A[0].Page1[0].List2[0].lib[0].tblChildLocation[0].bodyRow6[0].TextField5[0]</t>
        </is>
      </c>
      <c r="F53" s="5" t="inlineStr">
        <is>
          <t>text</t>
        </is>
      </c>
      <c r="G53" s="5" t="inlineStr"/>
      <c r="H53" s="5" t="inlineStr"/>
      <c r="I53" s="5" t="inlineStr">
        <is>
          <t>491, 363, 572, 375</t>
        </is>
      </c>
      <c r="J53" s="5" t="inlineStr">
        <is>
          <t>question</t>
        </is>
      </c>
      <c r="K53" s="5" t="inlineStr">
        <is>
          <t>K2</t>
        </is>
      </c>
      <c r="L53" s="5">
        <f> groups[2k+0].K2B[5].otherRelationship</f>
        <v/>
      </c>
      <c r="M53" s="5" t="inlineStr">
        <is>
          <t>groups[2k+0] exists and groups[2k+0].K2B.length &gt; 5 and livedWith has "other"</t>
        </is>
      </c>
      <c r="N53" s="5" t="inlineStr"/>
      <c r="O53" s="5" t="inlineStr"/>
    </row>
    <row r="54">
      <c r="A54" s="5" t="n">
        <v>53</v>
      </c>
      <c r="B54" s="5" t="n">
        <v>1</v>
      </c>
      <c r="C54" s="5" t="inlineStr">
        <is>
          <t>2b row 7</t>
        </is>
      </c>
      <c r="D54" s="5" t="inlineStr">
        <is>
          <t>From</t>
        </is>
      </c>
      <c r="E54" s="5" t="inlineStr">
        <is>
          <t>DV-105A[0].Page1[0].List2[0].lib[0].tblChildLocation[0].bodyRow7[0].tf19[0]</t>
        </is>
      </c>
      <c r="F54" s="5" t="inlineStr">
        <is>
          <t>text</t>
        </is>
      </c>
      <c r="G54" s="5" t="inlineStr"/>
      <c r="H54" s="5" t="inlineStr"/>
      <c r="I54" s="5" t="inlineStr">
        <is>
          <t>106, 380, 142, 392</t>
        </is>
      </c>
      <c r="J54" s="5" t="inlineStr">
        <is>
          <t>question</t>
        </is>
      </c>
      <c r="K54" s="5" t="inlineStr">
        <is>
          <t>K2</t>
        </is>
      </c>
      <c r="L54" s="5">
        <f> fmtMonthYear(groups[2k+0].K2B[6].from)</f>
        <v/>
      </c>
      <c r="M54" s="5" t="inlineStr">
        <is>
          <t>groups[2k+0] exists and groups[2k+0].K2B.length &gt; 6</t>
        </is>
      </c>
      <c r="N54" s="5" t="inlineStr"/>
      <c r="O54" s="5" t="inlineStr"/>
    </row>
    <row r="55">
      <c r="A55" s="5" t="n">
        <v>54</v>
      </c>
      <c r="B55" s="5" t="n">
        <v>1</v>
      </c>
      <c r="C55" s="5" t="inlineStr">
        <is>
          <t>2b row 7</t>
        </is>
      </c>
      <c r="D55" s="5" t="inlineStr">
        <is>
          <t>Until</t>
        </is>
      </c>
      <c r="E55" s="5" t="inlineStr">
        <is>
          <t>DV-105A[0].Page1[0].List2[0].lib[0].tblChildLocation[0].bodyRow7[0].tf20[0]</t>
        </is>
      </c>
      <c r="F55" s="5" t="inlineStr">
        <is>
          <t>text</t>
        </is>
      </c>
      <c r="G55" s="5" t="inlineStr"/>
      <c r="H55" s="5" t="inlineStr"/>
      <c r="I55" s="5" t="inlineStr">
        <is>
          <t>173, 380, 211, 392</t>
        </is>
      </c>
      <c r="J55" s="5" t="inlineStr">
        <is>
          <t>question</t>
        </is>
      </c>
      <c r="K55" s="5" t="inlineStr">
        <is>
          <t>K2</t>
        </is>
      </c>
      <c r="L55" s="5">
        <f> fmtMonthYear(groups[2k+0].K2B[6].until)</f>
        <v/>
      </c>
      <c r="M55" s="5" t="inlineStr">
        <is>
          <t>groups[2k+0] exists and groups[2k+0].K2B.length &gt; 6</t>
        </is>
      </c>
      <c r="N55" s="5" t="inlineStr"/>
      <c r="O55" s="5" t="inlineStr"/>
    </row>
    <row r="56">
      <c r="A56" s="5" t="n">
        <v>55</v>
      </c>
      <c r="B56" s="5" t="n">
        <v>1</v>
      </c>
      <c r="C56" s="5" t="inlineStr">
        <is>
          <t>2b row 7</t>
        </is>
      </c>
      <c r="D56" s="5" t="inlineStr">
        <is>
          <t>City and State. Include tribal land, if applies</t>
        </is>
      </c>
      <c r="E56" s="5" t="inlineStr">
        <is>
          <t>DV-105A[0].Page1[0].List2[0].lib[0].tblChildLocation[0].bodyRow7[0].tf21[0]</t>
        </is>
      </c>
      <c r="F56" s="5" t="inlineStr">
        <is>
          <t>text</t>
        </is>
      </c>
      <c r="G56" s="5" t="inlineStr"/>
      <c r="H56" s="5" t="inlineStr"/>
      <c r="I56" s="5" t="inlineStr">
        <is>
          <t>214, 380, 385, 392</t>
        </is>
      </c>
      <c r="J56" s="5" t="inlineStr">
        <is>
          <t>question</t>
        </is>
      </c>
      <c r="K56" s="5" t="inlineStr">
        <is>
          <t>K2</t>
        </is>
      </c>
      <c r="L56" s="5">
        <f> groups[2k+0].K2B[6].private ? groups[2k+0].K2B[6].state : groups[2k+0].K2B[6].cityState</f>
        <v/>
      </c>
      <c r="M56" s="5" t="inlineStr">
        <is>
          <t>groups[2k+0] exists and groups[2k+0].K2B.length &gt; 6</t>
        </is>
      </c>
      <c r="N56" s="5" t="inlineStr"/>
      <c r="O56" s="5" t="inlineStr"/>
    </row>
    <row r="57">
      <c r="A57" s="5" t="n">
        <v>56</v>
      </c>
      <c r="B57" s="5" t="n">
        <v>1</v>
      </c>
      <c r="C57" s="5" t="inlineStr">
        <is>
          <t>2b row 7</t>
        </is>
      </c>
      <c r="D57" s="5" t="inlineStr">
        <is>
          <t>Children lived with person in 1</t>
        </is>
      </c>
      <c r="E57" s="5" t="inlineStr">
        <is>
          <t>DV-105A[0].Page1[0].List2[0].lib[0].tblChildLocation[0].bodyRow7[0].ChoiceChildLiveW14[0]</t>
        </is>
      </c>
      <c r="F57" s="5" t="inlineStr">
        <is>
          <t>checkbox</t>
        </is>
      </c>
      <c r="G57" s="5" t="inlineStr">
        <is>
          <t>1</t>
        </is>
      </c>
      <c r="H57" s="5" t="inlineStr"/>
      <c r="I57" s="5" t="inlineStr">
        <is>
          <t>403, 380, 412, 389</t>
        </is>
      </c>
      <c r="J57" s="5" t="inlineStr">
        <is>
          <t>question</t>
        </is>
      </c>
      <c r="K57" s="5" t="inlineStr">
        <is>
          <t>K2</t>
        </is>
      </c>
      <c r="L57" s="5" t="inlineStr">
        <is>
          <t>check if groups[2k+0].K2B[6].livedWith has "me"</t>
        </is>
      </c>
      <c r="M57" s="5" t="inlineStr">
        <is>
          <t>groups[2k+0] exists and groups[2k+0].K2B.length &gt; 6</t>
        </is>
      </c>
      <c r="N57" s="5" t="inlineStr"/>
      <c r="O57" s="5" t="inlineStr"/>
    </row>
    <row r="58">
      <c r="A58" s="5" t="n">
        <v>57</v>
      </c>
      <c r="B58" s="5" t="n">
        <v>1</v>
      </c>
      <c r="C58" s="5" t="inlineStr">
        <is>
          <t>2b row 7</t>
        </is>
      </c>
      <c r="D58" s="5" t="inlineStr">
        <is>
          <t>Children lived with person in 2</t>
        </is>
      </c>
      <c r="E58" s="5" t="inlineStr">
        <is>
          <t>DV-105A[0].Page1[0].List2[0].lib[0].tblChildLocation[0].bodyRow7[0].ChoiceChildLiveW14[1]</t>
        </is>
      </c>
      <c r="F58" s="5" t="inlineStr">
        <is>
          <t>checkbox</t>
        </is>
      </c>
      <c r="G58" s="5" t="inlineStr">
        <is>
          <t>11</t>
        </is>
      </c>
      <c r="H58" s="5" t="inlineStr"/>
      <c r="I58" s="5" t="inlineStr">
        <is>
          <t>446, 380, 455, 389</t>
        </is>
      </c>
      <c r="J58" s="5" t="inlineStr">
        <is>
          <t>question</t>
        </is>
      </c>
      <c r="K58" s="5" t="inlineStr">
        <is>
          <t>K2</t>
        </is>
      </c>
      <c r="L58" s="5" t="inlineStr">
        <is>
          <t>check if groups[2k+0].K2B[6].livedWith has "respondent"</t>
        </is>
      </c>
      <c r="M58" s="5" t="inlineStr">
        <is>
          <t>groups[2k+0] exists and groups[2k+0].K2B.length &gt; 6</t>
        </is>
      </c>
      <c r="N58" s="5" t="inlineStr"/>
      <c r="O58" s="5" t="inlineStr"/>
    </row>
    <row r="59">
      <c r="A59" s="5" t="n">
        <v>58</v>
      </c>
      <c r="B59" s="5" t="n">
        <v>1</v>
      </c>
      <c r="C59" s="5" t="inlineStr">
        <is>
          <t>2b row 7</t>
        </is>
      </c>
      <c r="D59" s="5" t="inlineStr">
        <is>
          <t>Children lived with other person</t>
        </is>
      </c>
      <c r="E59" s="5" t="inlineStr">
        <is>
          <t>DV-105A[0].Page1[0].List2[0].lib[0].tblChildLocation[0].bodyRow7[0].ChoiceChildLiveW14[2]</t>
        </is>
      </c>
      <c r="F59" s="5" t="inlineStr">
        <is>
          <t>checkbox</t>
        </is>
      </c>
      <c r="G59" s="5" t="inlineStr">
        <is>
          <t>21</t>
        </is>
      </c>
      <c r="H59" s="5" t="inlineStr"/>
      <c r="I59" s="5" t="inlineStr">
        <is>
          <t>481, 380, 490, 389</t>
        </is>
      </c>
      <c r="J59" s="5" t="inlineStr">
        <is>
          <t>question</t>
        </is>
      </c>
      <c r="K59" s="5" t="inlineStr">
        <is>
          <t>K2</t>
        </is>
      </c>
      <c r="L59" s="5" t="inlineStr">
        <is>
          <t>check if groups[2k+0].K2B[6].livedWith has "other"</t>
        </is>
      </c>
      <c r="M59" s="5" t="inlineStr">
        <is>
          <t>groups[2k+0] exists and groups[2k+0].K2B.length &gt; 6</t>
        </is>
      </c>
      <c r="N59" s="5" t="inlineStr"/>
      <c r="O59" s="5" t="inlineStr"/>
    </row>
    <row r="60">
      <c r="A60" s="5" t="n">
        <v>59</v>
      </c>
      <c r="B60" s="5" t="n">
        <v>1</v>
      </c>
      <c r="C60" s="5" t="inlineStr">
        <is>
          <t>2b row 7</t>
        </is>
      </c>
      <c r="D60" s="5" t="inlineStr">
        <is>
          <t>Other - enter relationship to child</t>
        </is>
      </c>
      <c r="E60" s="5" t="inlineStr">
        <is>
          <t>DV-105A[0].Page1[0].List2[0].lib[0].tblChildLocation[0].bodyRow7[0].TextField6[0]</t>
        </is>
      </c>
      <c r="F60" s="5" t="inlineStr">
        <is>
          <t>text</t>
        </is>
      </c>
      <c r="G60" s="5" t="inlineStr"/>
      <c r="H60" s="5" t="inlineStr"/>
      <c r="I60" s="5" t="inlineStr">
        <is>
          <t>491, 380, 572, 392</t>
        </is>
      </c>
      <c r="J60" s="5" t="inlineStr">
        <is>
          <t>question</t>
        </is>
      </c>
      <c r="K60" s="5" t="inlineStr">
        <is>
          <t>K2</t>
        </is>
      </c>
      <c r="L60" s="5">
        <f> groups[2k+0].K2B[6].otherRelationship</f>
        <v/>
      </c>
      <c r="M60" s="5" t="inlineStr">
        <is>
          <t>groups[2k+0] exists and groups[2k+0].K2B.length &gt; 6 and livedWith has "other"</t>
        </is>
      </c>
      <c r="N60" s="5" t="inlineStr"/>
      <c r="O60" s="5" t="inlineStr"/>
    </row>
    <row r="61">
      <c r="A61" s="5" t="n">
        <v>60</v>
      </c>
      <c r="B61" s="5" t="n">
        <v>1</v>
      </c>
      <c r="C61" s="5" t="inlineStr">
        <is>
          <t>3a</t>
        </is>
      </c>
      <c r="D61" s="5" t="inlineStr">
        <is>
          <t>Name of child or children</t>
        </is>
      </c>
      <c r="E61" s="5" t="inlineStr">
        <is>
          <t>DV-105A[0].Page1[0].List3[0].lia[0].TextField[0]</t>
        </is>
      </c>
      <c r="F61" s="5" t="inlineStr">
        <is>
          <t>text</t>
        </is>
      </c>
      <c r="G61" s="5" t="inlineStr"/>
      <c r="H61" s="5" t="inlineStr"/>
      <c r="I61" s="5" t="inlineStr">
        <is>
          <t>196, 457, 570, 470</t>
        </is>
      </c>
      <c r="J61" s="5" t="inlineStr">
        <is>
          <t>question</t>
        </is>
      </c>
      <c r="K61" s="5" t="inlineStr">
        <is>
          <t>K2A</t>
        </is>
      </c>
      <c r="L61" s="5">
        <f> join(groups[2k+1].children.PR1, ", ")</f>
        <v/>
      </c>
      <c r="M61" s="5" t="inlineStr">
        <is>
          <t>groups[2k+1] exists</t>
        </is>
      </c>
      <c r="N61" s="5" t="inlineStr"/>
      <c r="O61" s="5" t="inlineStr"/>
    </row>
    <row r="62">
      <c r="A62" s="5" t="n">
        <v>61</v>
      </c>
      <c r="B62" s="5" t="n">
        <v>1</v>
      </c>
      <c r="C62" s="5" t="inlineStr">
        <is>
          <t>3b row 1</t>
        </is>
      </c>
      <c r="D62" s="5" t="inlineStr">
        <is>
          <t>From</t>
        </is>
      </c>
      <c r="E62" s="5" t="inlineStr">
        <is>
          <t>DV-105A[0].Page1[0].List3[0].lib[0].tblLocationChild2[0].bodyRow1[0].tf1[0]</t>
        </is>
      </c>
      <c r="F62" s="5" t="inlineStr">
        <is>
          <t>text</t>
        </is>
      </c>
      <c r="G62" s="5" t="inlineStr"/>
      <c r="H62" s="5" t="inlineStr"/>
      <c r="I62" s="5" t="inlineStr">
        <is>
          <t>106, 517, 142, 529</t>
        </is>
      </c>
      <c r="J62" s="5" t="inlineStr">
        <is>
          <t>question</t>
        </is>
      </c>
      <c r="K62" s="5" t="inlineStr">
        <is>
          <t>K2</t>
        </is>
      </c>
      <c r="L62" s="5">
        <f> fmtMonthYear(groups[2k+1].K2B[0].from)</f>
        <v/>
      </c>
      <c r="M62" s="5" t="inlineStr">
        <is>
          <t>groups[2k+1] exists and groups[2k+1].K2B.length &gt; 0</t>
        </is>
      </c>
      <c r="N62" s="5" t="inlineStr">
        <is>
          <t>Row 1 widget order differs here: [1] is "Other", [2] is "Person in 2".</t>
        </is>
      </c>
      <c r="O62" s="5" t="inlineStr"/>
    </row>
    <row r="63">
      <c r="A63" s="5" t="n">
        <v>62</v>
      </c>
      <c r="B63" s="5" t="n">
        <v>1</v>
      </c>
      <c r="C63" s="5" t="inlineStr">
        <is>
          <t>3b row 1</t>
        </is>
      </c>
      <c r="D63" s="5" t="inlineStr">
        <is>
          <t>City and State. Include tribal land, if applies</t>
        </is>
      </c>
      <c r="E63" s="5" t="inlineStr">
        <is>
          <t>DV-105A[0].Page1[0].List3[0].lib[0].tblLocationChild2[0].bodyRow1[0].tf2[0]</t>
        </is>
      </c>
      <c r="F63" s="5" t="inlineStr">
        <is>
          <t>text</t>
        </is>
      </c>
      <c r="G63" s="5" t="inlineStr"/>
      <c r="H63" s="5" t="inlineStr"/>
      <c r="I63" s="5" t="inlineStr">
        <is>
          <t>214, 517, 385, 529</t>
        </is>
      </c>
      <c r="J63" s="5" t="inlineStr">
        <is>
          <t>question</t>
        </is>
      </c>
      <c r="K63" s="5" t="inlineStr">
        <is>
          <t>K2</t>
        </is>
      </c>
      <c r="L63" s="5">
        <f> groups[2k+1].K2B[0].private ? groups[2k+1].K2B[0].state : groups[2k+1].K2B[0].cityState</f>
        <v/>
      </c>
      <c r="M63" s="5" t="inlineStr">
        <is>
          <t>groups[2k+1] exists and groups[2k+1].K2B.length &gt; 0</t>
        </is>
      </c>
      <c r="N63" s="5" t="inlineStr"/>
      <c r="O63" s="5" t="inlineStr"/>
    </row>
    <row r="64">
      <c r="A64" s="5" t="n">
        <v>63</v>
      </c>
      <c r="B64" s="5" t="n">
        <v>1</v>
      </c>
      <c r="C64" s="5" t="inlineStr">
        <is>
          <t>3b row 1</t>
        </is>
      </c>
      <c r="D64" s="5" t="inlineStr">
        <is>
          <t>Check here if this address is private (confidential). List the state only.</t>
        </is>
      </c>
      <c r="E64" s="5" t="inlineStr">
        <is>
          <t>DV-105A[0].Page1[0].List3[0].lib[0].tblLocationChild2[0].bodyRow1[0].chb1[0]</t>
        </is>
      </c>
      <c r="F64" s="5" t="inlineStr">
        <is>
          <t>checkbox</t>
        </is>
      </c>
      <c r="G64" s="5" t="inlineStr">
        <is>
          <t>1</t>
        </is>
      </c>
      <c r="H64" s="5" t="inlineStr"/>
      <c r="I64" s="5" t="inlineStr">
        <is>
          <t>214, 533, 223, 542</t>
        </is>
      </c>
      <c r="J64" s="5" t="inlineStr">
        <is>
          <t>question</t>
        </is>
      </c>
      <c r="K64" s="5" t="inlineStr">
        <is>
          <t>K2</t>
        </is>
      </c>
      <c r="L64" s="5" t="inlineStr">
        <is>
          <t>check if groups[2k+1].K2B[0].private</t>
        </is>
      </c>
      <c r="M64" s="5" t="inlineStr">
        <is>
          <t>groups[2k+1] exists and groups[2k+1].K2B.length &gt; 0</t>
        </is>
      </c>
      <c r="N64" s="5" t="inlineStr">
        <is>
          <t>Row 1 only: prints the state only.</t>
        </is>
      </c>
      <c r="O64" s="5" t="inlineStr"/>
    </row>
    <row r="65">
      <c r="A65" s="5" t="n">
        <v>64</v>
      </c>
      <c r="B65" s="5" t="n">
        <v>1</v>
      </c>
      <c r="C65" s="5" t="inlineStr">
        <is>
          <t>3b row 1</t>
        </is>
      </c>
      <c r="D65" s="5" t="inlineStr">
        <is>
          <t>Children lived with person in 1</t>
        </is>
      </c>
      <c r="E65" s="5" t="inlineStr">
        <is>
          <t>DV-105A[0].Page1[0].List3[0].lib[0].tblLocationChild2[0].bodyRow1[0].ChoiceChildLiveW15[0]</t>
        </is>
      </c>
      <c r="F65" s="5" t="inlineStr">
        <is>
          <t>checkbox</t>
        </is>
      </c>
      <c r="G65" s="5" t="inlineStr">
        <is>
          <t>1</t>
        </is>
      </c>
      <c r="H65" s="5" t="inlineStr"/>
      <c r="I65" s="5" t="inlineStr">
        <is>
          <t>403, 518, 412, 527</t>
        </is>
      </c>
      <c r="J65" s="5" t="inlineStr">
        <is>
          <t>question</t>
        </is>
      </c>
      <c r="K65" s="5" t="inlineStr">
        <is>
          <t>K2</t>
        </is>
      </c>
      <c r="L65" s="5" t="inlineStr">
        <is>
          <t>check if groups[2k+1].K2B[0].livedWith has "me"</t>
        </is>
      </c>
      <c r="M65" s="5" t="inlineStr">
        <is>
          <t>groups[2k+1] exists and groups[2k+1].K2B.length &gt; 0</t>
        </is>
      </c>
      <c r="N65" s="5" t="inlineStr"/>
      <c r="O65" s="5" t="inlineStr"/>
    </row>
    <row r="66">
      <c r="A66" s="5" t="n">
        <v>65</v>
      </c>
      <c r="B66" s="5" t="n">
        <v>1</v>
      </c>
      <c r="C66" s="5" t="inlineStr">
        <is>
          <t>3b row 1</t>
        </is>
      </c>
      <c r="D66" s="5" t="inlineStr">
        <is>
          <t>Children lived with other person</t>
        </is>
      </c>
      <c r="E66" s="5" t="inlineStr">
        <is>
          <t>DV-105A[0].Page1[0].List3[0].lib[0].tblLocationChild2[0].bodyRow1[0].ChoiceChildLiveW15[1]</t>
        </is>
      </c>
      <c r="F66" s="5" t="inlineStr">
        <is>
          <t>checkbox</t>
        </is>
      </c>
      <c r="G66" s="5" t="inlineStr">
        <is>
          <t>31</t>
        </is>
      </c>
      <c r="H66" s="5" t="inlineStr"/>
      <c r="I66" s="5" t="inlineStr">
        <is>
          <t>481, 518, 490, 527</t>
        </is>
      </c>
      <c r="J66" s="5" t="inlineStr">
        <is>
          <t>question</t>
        </is>
      </c>
      <c r="K66" s="5" t="inlineStr">
        <is>
          <t>K2</t>
        </is>
      </c>
      <c r="L66" s="5" t="inlineStr">
        <is>
          <t>check if groups[2k+1].K2B[0].livedWith has "other"</t>
        </is>
      </c>
      <c r="M66" s="5" t="inlineStr">
        <is>
          <t>groups[2k+1] exists and groups[2k+1].K2B.length &gt; 0</t>
        </is>
      </c>
      <c r="N66" s="5" t="inlineStr"/>
      <c r="O66" s="5" t="inlineStr"/>
    </row>
    <row r="67">
      <c r="A67" s="5" t="n">
        <v>66</v>
      </c>
      <c r="B67" s="5" t="n">
        <v>1</v>
      </c>
      <c r="C67" s="5" t="inlineStr">
        <is>
          <t>3b row 1</t>
        </is>
      </c>
      <c r="D67" s="5" t="inlineStr">
        <is>
          <t>Children lived with person in 2</t>
        </is>
      </c>
      <c r="E67" s="5" t="inlineStr">
        <is>
          <t>DV-105A[0].Page1[0].List3[0].lib[0].tblLocationChild2[0].bodyRow1[0].ChoiceChildLiveW15[2]</t>
        </is>
      </c>
      <c r="F67" s="5" t="inlineStr">
        <is>
          <t>checkbox</t>
        </is>
      </c>
      <c r="G67" s="5" t="inlineStr">
        <is>
          <t>11</t>
        </is>
      </c>
      <c r="H67" s="5" t="inlineStr"/>
      <c r="I67" s="5" t="inlineStr">
        <is>
          <t>446, 518, 455, 527</t>
        </is>
      </c>
      <c r="J67" s="5" t="inlineStr">
        <is>
          <t>question</t>
        </is>
      </c>
      <c r="K67" s="5" t="inlineStr">
        <is>
          <t>K2</t>
        </is>
      </c>
      <c r="L67" s="5" t="inlineStr">
        <is>
          <t>check if groups[2k+1].K2B[0].livedWith has "respondent"</t>
        </is>
      </c>
      <c r="M67" s="5" t="inlineStr">
        <is>
          <t>groups[2k+1] exists and groups[2k+1].K2B.length &gt; 0</t>
        </is>
      </c>
      <c r="N67" s="5" t="inlineStr"/>
      <c r="O67" s="5" t="inlineStr"/>
    </row>
    <row r="68">
      <c r="A68" s="5" t="n">
        <v>67</v>
      </c>
      <c r="B68" s="5" t="n">
        <v>1</v>
      </c>
      <c r="C68" s="5" t="inlineStr">
        <is>
          <t>3b row 1</t>
        </is>
      </c>
      <c r="D68" s="5" t="inlineStr">
        <is>
          <t>Other - enter relationship to child</t>
        </is>
      </c>
      <c r="E68" s="5" t="inlineStr">
        <is>
          <t>DV-105A[0].Page1[0].List3[0].lib[0].tblLocationChild2[0].bodyRow1[0].TextField1[0]</t>
        </is>
      </c>
      <c r="F68" s="5" t="inlineStr">
        <is>
          <t>text</t>
        </is>
      </c>
      <c r="G68" s="5" t="inlineStr"/>
      <c r="H68" s="5" t="inlineStr"/>
      <c r="I68" s="5" t="inlineStr">
        <is>
          <t>491, 517, 572, 529</t>
        </is>
      </c>
      <c r="J68" s="5" t="inlineStr">
        <is>
          <t>question</t>
        </is>
      </c>
      <c r="K68" s="5" t="inlineStr">
        <is>
          <t>K2</t>
        </is>
      </c>
      <c r="L68" s="5">
        <f> groups[2k+1].K2B[0].otherRelationship</f>
        <v/>
      </c>
      <c r="M68" s="5" t="inlineStr">
        <is>
          <t>groups[2k+1] exists and groups[2k+1].K2B.length &gt; 0 and livedWith has "other"</t>
        </is>
      </c>
      <c r="N68" s="5" t="inlineStr"/>
      <c r="O68" s="5" t="inlineStr"/>
    </row>
    <row r="69">
      <c r="A69" s="5" t="n">
        <v>68</v>
      </c>
      <c r="B69" s="5" t="n">
        <v>1</v>
      </c>
      <c r="C69" s="5" t="inlineStr">
        <is>
          <t>3b row 2</t>
        </is>
      </c>
      <c r="D69" s="5" t="inlineStr">
        <is>
          <t>from</t>
        </is>
      </c>
      <c r="E69" s="5" t="inlineStr">
        <is>
          <t>DV-105A[0].Page1[0].List3[0].lib[0].tblLocationChild2[0].bodyRow2[0].tf3[0]</t>
        </is>
      </c>
      <c r="F69" s="5" t="inlineStr">
        <is>
          <t>text</t>
        </is>
      </c>
      <c r="G69" s="5" t="inlineStr"/>
      <c r="H69" s="5" t="inlineStr"/>
      <c r="I69" s="5" t="inlineStr">
        <is>
          <t>106, 563, 142, 575</t>
        </is>
      </c>
      <c r="J69" s="5" t="inlineStr">
        <is>
          <t>question</t>
        </is>
      </c>
      <c r="K69" s="5" t="inlineStr">
        <is>
          <t>K2</t>
        </is>
      </c>
      <c r="L69" s="5">
        <f> fmtMonthYear(groups[2k+1].K2B[1].from)</f>
        <v/>
      </c>
      <c r="M69" s="5" t="inlineStr">
        <is>
          <t>groups[2k+1] exists and groups[2k+1].K2B.length &gt; 1</t>
        </is>
      </c>
      <c r="N69" s="5" t="inlineStr"/>
      <c r="O69" s="5" t="inlineStr"/>
    </row>
    <row r="70">
      <c r="A70" s="5" t="n">
        <v>69</v>
      </c>
      <c r="B70" s="5" t="n">
        <v>1</v>
      </c>
      <c r="C70" s="5" t="inlineStr">
        <is>
          <t>3b row 2</t>
        </is>
      </c>
      <c r="D70" s="5" t="inlineStr">
        <is>
          <t>Until</t>
        </is>
      </c>
      <c r="E70" s="5" t="inlineStr">
        <is>
          <t>DV-105A[0].Page1[0].List3[0].lib[0].tblLocationChild2[0].bodyRow2[0].tf4[0]</t>
        </is>
      </c>
      <c r="F70" s="5" t="inlineStr">
        <is>
          <t>text</t>
        </is>
      </c>
      <c r="G70" s="5" t="inlineStr"/>
      <c r="H70" s="5" t="inlineStr"/>
      <c r="I70" s="5" t="inlineStr">
        <is>
          <t>173, 563, 211, 575</t>
        </is>
      </c>
      <c r="J70" s="5" t="inlineStr">
        <is>
          <t>question</t>
        </is>
      </c>
      <c r="K70" s="5" t="inlineStr">
        <is>
          <t>K2</t>
        </is>
      </c>
      <c r="L70" s="5">
        <f> fmtMonthYear(groups[2k+1].K2B[1].until)</f>
        <v/>
      </c>
      <c r="M70" s="5" t="inlineStr">
        <is>
          <t>groups[2k+1] exists and groups[2k+1].K2B.length &gt; 1</t>
        </is>
      </c>
      <c r="N70" s="5" t="inlineStr"/>
      <c r="O70" s="5" t="inlineStr"/>
    </row>
    <row r="71">
      <c r="A71" s="5" t="n">
        <v>70</v>
      </c>
      <c r="B71" s="5" t="n">
        <v>1</v>
      </c>
      <c r="C71" s="5" t="inlineStr">
        <is>
          <t>3b row 2</t>
        </is>
      </c>
      <c r="D71" s="5" t="inlineStr">
        <is>
          <t>City and State. Include tribal land, if applies</t>
        </is>
      </c>
      <c r="E71" s="5" t="inlineStr">
        <is>
          <t>DV-105A[0].Page1[0].List3[0].lib[0].tblLocationChild2[0].bodyRow2[0].tf6[0]</t>
        </is>
      </c>
      <c r="F71" s="5" t="inlineStr">
        <is>
          <t>text</t>
        </is>
      </c>
      <c r="G71" s="5" t="inlineStr"/>
      <c r="H71" s="5" t="inlineStr"/>
      <c r="I71" s="5" t="inlineStr">
        <is>
          <t>214, 563, 385, 575</t>
        </is>
      </c>
      <c r="J71" s="5" t="inlineStr">
        <is>
          <t>question</t>
        </is>
      </c>
      <c r="K71" s="5" t="inlineStr">
        <is>
          <t>K2</t>
        </is>
      </c>
      <c r="L71" s="5">
        <f> groups[2k+1].K2B[1].private ? groups[2k+1].K2B[1].state : groups[2k+1].K2B[1].cityState</f>
        <v/>
      </c>
      <c r="M71" s="5" t="inlineStr">
        <is>
          <t>groups[2k+1] exists and groups[2k+1].K2B.length &gt; 1</t>
        </is>
      </c>
      <c r="N71" s="5" t="inlineStr"/>
      <c r="O71" s="5" t="inlineStr"/>
    </row>
    <row r="72">
      <c r="A72" s="5" t="n">
        <v>71</v>
      </c>
      <c r="B72" s="5" t="n">
        <v>1</v>
      </c>
      <c r="C72" s="5" t="inlineStr">
        <is>
          <t>3b row 2</t>
        </is>
      </c>
      <c r="D72" s="5" t="inlineStr">
        <is>
          <t>Children lived with person in 1</t>
        </is>
      </c>
      <c r="E72" s="5" t="inlineStr">
        <is>
          <t>DV-105A[0].Page1[0].List3[0].lib[0].tblLocationChild2[0].bodyRow2[0].ChoiceChildLiveW16[0]</t>
        </is>
      </c>
      <c r="F72" s="5" t="inlineStr">
        <is>
          <t>checkbox</t>
        </is>
      </c>
      <c r="G72" s="5" t="inlineStr">
        <is>
          <t>1</t>
        </is>
      </c>
      <c r="H72" s="5" t="inlineStr"/>
      <c r="I72" s="5" t="inlineStr">
        <is>
          <t>403, 563, 412, 572</t>
        </is>
      </c>
      <c r="J72" s="5" t="inlineStr">
        <is>
          <t>question</t>
        </is>
      </c>
      <c r="K72" s="5" t="inlineStr">
        <is>
          <t>K2</t>
        </is>
      </c>
      <c r="L72" s="5" t="inlineStr">
        <is>
          <t>check if groups[2k+1].K2B[1].livedWith has "me"</t>
        </is>
      </c>
      <c r="M72" s="5" t="inlineStr">
        <is>
          <t>groups[2k+1] exists and groups[2k+1].K2B.length &gt; 1</t>
        </is>
      </c>
      <c r="N72" s="5" t="inlineStr"/>
      <c r="O72" s="5" t="inlineStr"/>
    </row>
    <row r="73">
      <c r="A73" s="5" t="n">
        <v>72</v>
      </c>
      <c r="B73" s="5" t="n">
        <v>1</v>
      </c>
      <c r="C73" s="5" t="inlineStr">
        <is>
          <t>3b row 2</t>
        </is>
      </c>
      <c r="D73" s="5" t="inlineStr">
        <is>
          <t>Children lived with person in 2</t>
        </is>
      </c>
      <c r="E73" s="5" t="inlineStr">
        <is>
          <t>DV-105A[0].Page1[0].List3[0].lib[0].tblLocationChild2[0].bodyRow2[0].ChoiceChildLiveW16[1]</t>
        </is>
      </c>
      <c r="F73" s="5" t="inlineStr">
        <is>
          <t>checkbox</t>
        </is>
      </c>
      <c r="G73" s="5" t="inlineStr">
        <is>
          <t>11</t>
        </is>
      </c>
      <c r="H73" s="5" t="inlineStr"/>
      <c r="I73" s="5" t="inlineStr">
        <is>
          <t>446, 563, 455, 572</t>
        </is>
      </c>
      <c r="J73" s="5" t="inlineStr">
        <is>
          <t>question</t>
        </is>
      </c>
      <c r="K73" s="5" t="inlineStr">
        <is>
          <t>K2</t>
        </is>
      </c>
      <c r="L73" s="5" t="inlineStr">
        <is>
          <t>check if groups[2k+1].K2B[1].livedWith has "respondent"</t>
        </is>
      </c>
      <c r="M73" s="5" t="inlineStr">
        <is>
          <t>groups[2k+1] exists and groups[2k+1].K2B.length &gt; 1</t>
        </is>
      </c>
      <c r="N73" s="5" t="inlineStr"/>
      <c r="O73" s="5" t="inlineStr"/>
    </row>
    <row r="74">
      <c r="A74" s="5" t="n">
        <v>73</v>
      </c>
      <c r="B74" s="5" t="n">
        <v>1</v>
      </c>
      <c r="C74" s="5" t="inlineStr">
        <is>
          <t>3b row 2</t>
        </is>
      </c>
      <c r="D74" s="5" t="inlineStr">
        <is>
          <t>Children lived with other person</t>
        </is>
      </c>
      <c r="E74" s="5" t="inlineStr">
        <is>
          <t>DV-105A[0].Page1[0].List3[0].lib[0].tblLocationChild2[0].bodyRow2[0].ChoiceChildLiveW16[2]</t>
        </is>
      </c>
      <c r="F74" s="5" t="inlineStr">
        <is>
          <t>checkbox</t>
        </is>
      </c>
      <c r="G74" s="5" t="inlineStr">
        <is>
          <t>21</t>
        </is>
      </c>
      <c r="H74" s="5" t="inlineStr"/>
      <c r="I74" s="5" t="inlineStr">
        <is>
          <t>481, 563, 490, 572</t>
        </is>
      </c>
      <c r="J74" s="5" t="inlineStr">
        <is>
          <t>question</t>
        </is>
      </c>
      <c r="K74" s="5" t="inlineStr">
        <is>
          <t>K2</t>
        </is>
      </c>
      <c r="L74" s="5" t="inlineStr">
        <is>
          <t>check if groups[2k+1].K2B[1].livedWith has "other"</t>
        </is>
      </c>
      <c r="M74" s="5" t="inlineStr">
        <is>
          <t>groups[2k+1] exists and groups[2k+1].K2B.length &gt; 1</t>
        </is>
      </c>
      <c r="N74" s="5" t="inlineStr"/>
      <c r="O74" s="5" t="inlineStr"/>
    </row>
    <row r="75">
      <c r="A75" s="5" t="n">
        <v>74</v>
      </c>
      <c r="B75" s="5" t="n">
        <v>1</v>
      </c>
      <c r="C75" s="5" t="inlineStr">
        <is>
          <t>3b row 2</t>
        </is>
      </c>
      <c r="D75" s="5" t="inlineStr">
        <is>
          <t>Other - enter relationship to child</t>
        </is>
      </c>
      <c r="E75" s="5" t="inlineStr">
        <is>
          <t>DV-105A[0].Page1[0].List3[0].lib[0].tblLocationChild2[0].bodyRow2[0].TextField2[0]</t>
        </is>
      </c>
      <c r="F75" s="5" t="inlineStr">
        <is>
          <t>text</t>
        </is>
      </c>
      <c r="G75" s="5" t="inlineStr"/>
      <c r="H75" s="5" t="inlineStr"/>
      <c r="I75" s="5" t="inlineStr">
        <is>
          <t>491, 563, 572, 575</t>
        </is>
      </c>
      <c r="J75" s="5" t="inlineStr">
        <is>
          <t>question</t>
        </is>
      </c>
      <c r="K75" s="5" t="inlineStr">
        <is>
          <t>K2</t>
        </is>
      </c>
      <c r="L75" s="5">
        <f> groups[2k+1].K2B[1].otherRelationship</f>
        <v/>
      </c>
      <c r="M75" s="5" t="inlineStr">
        <is>
          <t>groups[2k+1] exists and groups[2k+1].K2B.length &gt; 1 and livedWith has "other"</t>
        </is>
      </c>
      <c r="N75" s="5" t="inlineStr"/>
      <c r="O75" s="5" t="inlineStr"/>
    </row>
    <row r="76">
      <c r="A76" s="5" t="n">
        <v>75</v>
      </c>
      <c r="B76" s="5" t="n">
        <v>1</v>
      </c>
      <c r="C76" s="5" t="inlineStr">
        <is>
          <t>3b row 3</t>
        </is>
      </c>
      <c r="D76" s="5" t="inlineStr">
        <is>
          <t>from</t>
        </is>
      </c>
      <c r="E76" s="5" t="inlineStr">
        <is>
          <t>DV-105A[0].Page1[0].List3[0].lib[0].tblLocationChild2[0].bodyRow3[0].tf7[0]</t>
        </is>
      </c>
      <c r="F76" s="5" t="inlineStr">
        <is>
          <t>text</t>
        </is>
      </c>
      <c r="G76" s="5" t="inlineStr"/>
      <c r="H76" s="5" t="inlineStr"/>
      <c r="I76" s="5" t="inlineStr">
        <is>
          <t>106, 579, 142, 591</t>
        </is>
      </c>
      <c r="J76" s="5" t="inlineStr">
        <is>
          <t>question</t>
        </is>
      </c>
      <c r="K76" s="5" t="inlineStr">
        <is>
          <t>K2</t>
        </is>
      </c>
      <c r="L76" s="5">
        <f> fmtMonthYear(groups[2k+1].K2B[2].from)</f>
        <v/>
      </c>
      <c r="M76" s="5" t="inlineStr">
        <is>
          <t>groups[2k+1] exists and groups[2k+1].K2B.length &gt; 2</t>
        </is>
      </c>
      <c r="N76" s="5" t="inlineStr"/>
      <c r="O76" s="5" t="inlineStr"/>
    </row>
    <row r="77">
      <c r="A77" s="5" t="n">
        <v>76</v>
      </c>
      <c r="B77" s="5" t="n">
        <v>1</v>
      </c>
      <c r="C77" s="5" t="inlineStr">
        <is>
          <t>3b row 3</t>
        </is>
      </c>
      <c r="D77" s="5" t="inlineStr">
        <is>
          <t>Until</t>
        </is>
      </c>
      <c r="E77" s="5" t="inlineStr">
        <is>
          <t>DV-105A[0].Page1[0].List3[0].lib[0].tblLocationChild2[0].bodyRow3[0].tf8[0]</t>
        </is>
      </c>
      <c r="F77" s="5" t="inlineStr">
        <is>
          <t>text</t>
        </is>
      </c>
      <c r="G77" s="5" t="inlineStr"/>
      <c r="H77" s="5" t="inlineStr"/>
      <c r="I77" s="5" t="inlineStr">
        <is>
          <t>173, 579, 211, 591</t>
        </is>
      </c>
      <c r="J77" s="5" t="inlineStr">
        <is>
          <t>question</t>
        </is>
      </c>
      <c r="K77" s="5" t="inlineStr">
        <is>
          <t>K2</t>
        </is>
      </c>
      <c r="L77" s="5">
        <f> fmtMonthYear(groups[2k+1].K2B[2].until)</f>
        <v/>
      </c>
      <c r="M77" s="5" t="inlineStr">
        <is>
          <t>groups[2k+1] exists and groups[2k+1].K2B.length &gt; 2</t>
        </is>
      </c>
      <c r="N77" s="5" t="inlineStr"/>
      <c r="O77" s="5" t="inlineStr"/>
    </row>
    <row r="78">
      <c r="A78" s="5" t="n">
        <v>77</v>
      </c>
      <c r="B78" s="5" t="n">
        <v>1</v>
      </c>
      <c r="C78" s="5" t="inlineStr">
        <is>
          <t>3b row 3</t>
        </is>
      </c>
      <c r="D78" s="5" t="inlineStr">
        <is>
          <t>City and State. Include tribal land, if applies</t>
        </is>
      </c>
      <c r="E78" s="5" t="inlineStr">
        <is>
          <t>DV-105A[0].Page1[0].List3[0].lib[0].tblLocationChild2[0].bodyRow3[0].tf9[0]</t>
        </is>
      </c>
      <c r="F78" s="5" t="inlineStr">
        <is>
          <t>text</t>
        </is>
      </c>
      <c r="G78" s="5" t="inlineStr"/>
      <c r="H78" s="5" t="inlineStr"/>
      <c r="I78" s="5" t="inlineStr">
        <is>
          <t>214, 579, 385, 591</t>
        </is>
      </c>
      <c r="J78" s="5" t="inlineStr">
        <is>
          <t>question</t>
        </is>
      </c>
      <c r="K78" s="5" t="inlineStr">
        <is>
          <t>K2</t>
        </is>
      </c>
      <c r="L78" s="5">
        <f> groups[2k+1].K2B[2].private ? groups[2k+1].K2B[2].state : groups[2k+1].K2B[2].cityState</f>
        <v/>
      </c>
      <c r="M78" s="5" t="inlineStr">
        <is>
          <t>groups[2k+1] exists and groups[2k+1].K2B.length &gt; 2</t>
        </is>
      </c>
      <c r="N78" s="5" t="inlineStr"/>
      <c r="O78" s="5" t="inlineStr"/>
    </row>
    <row r="79">
      <c r="A79" s="5" t="n">
        <v>78</v>
      </c>
      <c r="B79" s="5" t="n">
        <v>1</v>
      </c>
      <c r="C79" s="5" t="inlineStr">
        <is>
          <t>3b row 3</t>
        </is>
      </c>
      <c r="D79" s="5" t="inlineStr">
        <is>
          <t>Children lived with person in 1</t>
        </is>
      </c>
      <c r="E79" s="5" t="inlineStr">
        <is>
          <t>DV-105A[0].Page1[0].List3[0].lib[0].tblLocationChild2[0].bodyRow3[0].ChoiceChildLiveW17[0]</t>
        </is>
      </c>
      <c r="F79" s="5" t="inlineStr">
        <is>
          <t>checkbox</t>
        </is>
      </c>
      <c r="G79" s="5" t="inlineStr">
        <is>
          <t>1</t>
        </is>
      </c>
      <c r="H79" s="5" t="inlineStr"/>
      <c r="I79" s="5" t="inlineStr">
        <is>
          <t>403, 580, 412, 589</t>
        </is>
      </c>
      <c r="J79" s="5" t="inlineStr">
        <is>
          <t>question</t>
        </is>
      </c>
      <c r="K79" s="5" t="inlineStr">
        <is>
          <t>K2</t>
        </is>
      </c>
      <c r="L79" s="5" t="inlineStr">
        <is>
          <t>check if groups[2k+1].K2B[2].livedWith has "me"</t>
        </is>
      </c>
      <c r="M79" s="5" t="inlineStr">
        <is>
          <t>groups[2k+1] exists and groups[2k+1].K2B.length &gt; 2</t>
        </is>
      </c>
      <c r="N79" s="5" t="inlineStr"/>
      <c r="O79" s="5" t="inlineStr"/>
    </row>
    <row r="80">
      <c r="A80" s="5" t="n">
        <v>79</v>
      </c>
      <c r="B80" s="5" t="n">
        <v>1</v>
      </c>
      <c r="C80" s="5" t="inlineStr">
        <is>
          <t>3b row 3</t>
        </is>
      </c>
      <c r="D80" s="5" t="inlineStr">
        <is>
          <t>Children lived with person in 2</t>
        </is>
      </c>
      <c r="E80" s="5" t="inlineStr">
        <is>
          <t>DV-105A[0].Page1[0].List3[0].lib[0].tblLocationChild2[0].bodyRow3[0].ChoiceChildLiveW17[1]</t>
        </is>
      </c>
      <c r="F80" s="5" t="inlineStr">
        <is>
          <t>checkbox</t>
        </is>
      </c>
      <c r="G80" s="5" t="inlineStr">
        <is>
          <t>11</t>
        </is>
      </c>
      <c r="H80" s="5" t="inlineStr"/>
      <c r="I80" s="5" t="inlineStr">
        <is>
          <t>446, 580, 455, 589</t>
        </is>
      </c>
      <c r="J80" s="5" t="inlineStr">
        <is>
          <t>question</t>
        </is>
      </c>
      <c r="K80" s="5" t="inlineStr">
        <is>
          <t>K2</t>
        </is>
      </c>
      <c r="L80" s="5" t="inlineStr">
        <is>
          <t>check if groups[2k+1].K2B[2].livedWith has "respondent"</t>
        </is>
      </c>
      <c r="M80" s="5" t="inlineStr">
        <is>
          <t>groups[2k+1] exists and groups[2k+1].K2B.length &gt; 2</t>
        </is>
      </c>
      <c r="N80" s="5" t="inlineStr"/>
      <c r="O80" s="5" t="inlineStr"/>
    </row>
    <row r="81">
      <c r="A81" s="5" t="n">
        <v>80</v>
      </c>
      <c r="B81" s="5" t="n">
        <v>1</v>
      </c>
      <c r="C81" s="5" t="inlineStr">
        <is>
          <t>3b row 3</t>
        </is>
      </c>
      <c r="D81" s="5" t="inlineStr">
        <is>
          <t>Children lived with other person</t>
        </is>
      </c>
      <c r="E81" s="5" t="inlineStr">
        <is>
          <t>DV-105A[0].Page1[0].List3[0].lib[0].tblLocationChild2[0].bodyRow3[0].ChoiceChildLiveW17[2]</t>
        </is>
      </c>
      <c r="F81" s="5" t="inlineStr">
        <is>
          <t>checkbox</t>
        </is>
      </c>
      <c r="G81" s="5" t="inlineStr">
        <is>
          <t>21</t>
        </is>
      </c>
      <c r="H81" s="5" t="inlineStr"/>
      <c r="I81" s="5" t="inlineStr">
        <is>
          <t>481, 580, 490, 589</t>
        </is>
      </c>
      <c r="J81" s="5" t="inlineStr">
        <is>
          <t>question</t>
        </is>
      </c>
      <c r="K81" s="5" t="inlineStr">
        <is>
          <t>K2</t>
        </is>
      </c>
      <c r="L81" s="5" t="inlineStr">
        <is>
          <t>check if groups[2k+1].K2B[2].livedWith has "other"</t>
        </is>
      </c>
      <c r="M81" s="5" t="inlineStr">
        <is>
          <t>groups[2k+1] exists and groups[2k+1].K2B.length &gt; 2</t>
        </is>
      </c>
      <c r="N81" s="5" t="inlineStr"/>
      <c r="O81" s="5" t="inlineStr"/>
    </row>
    <row r="82">
      <c r="A82" s="5" t="n">
        <v>81</v>
      </c>
      <c r="B82" s="5" t="n">
        <v>1</v>
      </c>
      <c r="C82" s="5" t="inlineStr">
        <is>
          <t>3b row 3</t>
        </is>
      </c>
      <c r="D82" s="5" t="inlineStr">
        <is>
          <t>Other - enter relationship to child</t>
        </is>
      </c>
      <c r="E82" s="5" t="inlineStr">
        <is>
          <t>DV-105A[0].Page1[0].List3[0].lib[0].tblLocationChild2[0].bodyRow3[0].TextField3[0]</t>
        </is>
      </c>
      <c r="F82" s="5" t="inlineStr">
        <is>
          <t>text</t>
        </is>
      </c>
      <c r="G82" s="5" t="inlineStr"/>
      <c r="H82" s="5" t="inlineStr"/>
      <c r="I82" s="5" t="inlineStr">
        <is>
          <t>491, 579, 572, 591</t>
        </is>
      </c>
      <c r="J82" s="5" t="inlineStr">
        <is>
          <t>question</t>
        </is>
      </c>
      <c r="K82" s="5" t="inlineStr">
        <is>
          <t>K2</t>
        </is>
      </c>
      <c r="L82" s="5">
        <f> groups[2k+1].K2B[2].otherRelationship</f>
        <v/>
      </c>
      <c r="M82" s="5" t="inlineStr">
        <is>
          <t>groups[2k+1] exists and groups[2k+1].K2B.length &gt; 2 and livedWith has "other"</t>
        </is>
      </c>
      <c r="N82" s="5" t="inlineStr"/>
      <c r="O82" s="5" t="inlineStr"/>
    </row>
    <row r="83">
      <c r="A83" s="5" t="n">
        <v>82</v>
      </c>
      <c r="B83" s="5" t="n">
        <v>1</v>
      </c>
      <c r="C83" s="5" t="inlineStr">
        <is>
          <t>3b row 4</t>
        </is>
      </c>
      <c r="D83" s="5" t="inlineStr">
        <is>
          <t>from</t>
        </is>
      </c>
      <c r="E83" s="5" t="inlineStr">
        <is>
          <t>DV-105A[0].Page1[0].List3[0].lib[0].tblLocationChild2[0].bodyRow4[0].tf10[0]</t>
        </is>
      </c>
      <c r="F83" s="5" t="inlineStr">
        <is>
          <t>text</t>
        </is>
      </c>
      <c r="G83" s="5" t="inlineStr"/>
      <c r="H83" s="5" t="inlineStr"/>
      <c r="I83" s="5" t="inlineStr">
        <is>
          <t>106, 596, 142, 608</t>
        </is>
      </c>
      <c r="J83" s="5" t="inlineStr">
        <is>
          <t>question</t>
        </is>
      </c>
      <c r="K83" s="5" t="inlineStr">
        <is>
          <t>K2</t>
        </is>
      </c>
      <c r="L83" s="5">
        <f> fmtMonthYear(groups[2k+1].K2B[3].from)</f>
        <v/>
      </c>
      <c r="M83" s="5" t="inlineStr">
        <is>
          <t>groups[2k+1] exists and groups[2k+1].K2B.length &gt; 3</t>
        </is>
      </c>
      <c r="N83" s="5" t="inlineStr"/>
      <c r="O83" s="5" t="inlineStr"/>
    </row>
    <row r="84">
      <c r="A84" s="5" t="n">
        <v>83</v>
      </c>
      <c r="B84" s="5" t="n">
        <v>1</v>
      </c>
      <c r="C84" s="5" t="inlineStr">
        <is>
          <t>3b row 4</t>
        </is>
      </c>
      <c r="D84" s="5" t="inlineStr">
        <is>
          <t>Until</t>
        </is>
      </c>
      <c r="E84" s="5" t="inlineStr">
        <is>
          <t>DV-105A[0].Page1[0].List3[0].lib[0].tblLocationChild2[0].bodyRow4[0].tf11[0]</t>
        </is>
      </c>
      <c r="F84" s="5" t="inlineStr">
        <is>
          <t>text</t>
        </is>
      </c>
      <c r="G84" s="5" t="inlineStr"/>
      <c r="H84" s="5" t="inlineStr"/>
      <c r="I84" s="5" t="inlineStr">
        <is>
          <t>173, 596, 211, 608</t>
        </is>
      </c>
      <c r="J84" s="5" t="inlineStr">
        <is>
          <t>question</t>
        </is>
      </c>
      <c r="K84" s="5" t="inlineStr">
        <is>
          <t>K2</t>
        </is>
      </c>
      <c r="L84" s="5">
        <f> fmtMonthYear(groups[2k+1].K2B[3].until)</f>
        <v/>
      </c>
      <c r="M84" s="5" t="inlineStr">
        <is>
          <t>groups[2k+1] exists and groups[2k+1].K2B.length &gt; 3</t>
        </is>
      </c>
      <c r="N84" s="5" t="inlineStr"/>
      <c r="O84" s="5" t="inlineStr"/>
    </row>
    <row r="85">
      <c r="A85" s="5" t="n">
        <v>84</v>
      </c>
      <c r="B85" s="5" t="n">
        <v>1</v>
      </c>
      <c r="C85" s="5" t="inlineStr">
        <is>
          <t>3b row 4</t>
        </is>
      </c>
      <c r="D85" s="5" t="inlineStr">
        <is>
          <t>City and State. Include tribal land, if applies</t>
        </is>
      </c>
      <c r="E85" s="5" t="inlineStr">
        <is>
          <t>DV-105A[0].Page1[0].List3[0].lib[0].tblLocationChild2[0].bodyRow4[0].tf12[0]</t>
        </is>
      </c>
      <c r="F85" s="5" t="inlineStr">
        <is>
          <t>text</t>
        </is>
      </c>
      <c r="G85" s="5" t="inlineStr"/>
      <c r="H85" s="5" t="inlineStr"/>
      <c r="I85" s="5" t="inlineStr">
        <is>
          <t>214, 596, 385, 608</t>
        </is>
      </c>
      <c r="J85" s="5" t="inlineStr">
        <is>
          <t>question</t>
        </is>
      </c>
      <c r="K85" s="5" t="inlineStr">
        <is>
          <t>K2</t>
        </is>
      </c>
      <c r="L85" s="5">
        <f> groups[2k+1].K2B[3].private ? groups[2k+1].K2B[3].state : groups[2k+1].K2B[3].cityState</f>
        <v/>
      </c>
      <c r="M85" s="5" t="inlineStr">
        <is>
          <t>groups[2k+1] exists and groups[2k+1].K2B.length &gt; 3</t>
        </is>
      </c>
      <c r="N85" s="5" t="inlineStr"/>
      <c r="O85" s="5" t="inlineStr"/>
    </row>
    <row r="86">
      <c r="A86" s="5" t="n">
        <v>85</v>
      </c>
      <c r="B86" s="5" t="n">
        <v>1</v>
      </c>
      <c r="C86" s="5" t="inlineStr">
        <is>
          <t>3b row 4</t>
        </is>
      </c>
      <c r="D86" s="5" t="inlineStr">
        <is>
          <t>Children lived with person in 1</t>
        </is>
      </c>
      <c r="E86" s="5" t="inlineStr">
        <is>
          <t>DV-105A[0].Page1[0].List3[0].lib[0].tblLocationChild2[0].bodyRow4[0].ChoiceChildLiveW18[0]</t>
        </is>
      </c>
      <c r="F86" s="5" t="inlineStr">
        <is>
          <t>checkbox</t>
        </is>
      </c>
      <c r="G86" s="5" t="inlineStr">
        <is>
          <t>1</t>
        </is>
      </c>
      <c r="H86" s="5" t="inlineStr"/>
      <c r="I86" s="5" t="inlineStr">
        <is>
          <t>403, 597, 412, 606</t>
        </is>
      </c>
      <c r="J86" s="5" t="inlineStr">
        <is>
          <t>question</t>
        </is>
      </c>
      <c r="K86" s="5" t="inlineStr">
        <is>
          <t>K2</t>
        </is>
      </c>
      <c r="L86" s="5" t="inlineStr">
        <is>
          <t>check if groups[2k+1].K2B[3].livedWith has "me"</t>
        </is>
      </c>
      <c r="M86" s="5" t="inlineStr">
        <is>
          <t>groups[2k+1] exists and groups[2k+1].K2B.length &gt; 3</t>
        </is>
      </c>
      <c r="N86" s="5" t="inlineStr"/>
      <c r="O86" s="5" t="inlineStr"/>
    </row>
    <row r="87">
      <c r="A87" s="5" t="n">
        <v>86</v>
      </c>
      <c r="B87" s="5" t="n">
        <v>1</v>
      </c>
      <c r="C87" s="5" t="inlineStr">
        <is>
          <t>3b row 4</t>
        </is>
      </c>
      <c r="D87" s="5" t="inlineStr">
        <is>
          <t>Children lived with person in 2</t>
        </is>
      </c>
      <c r="E87" s="5" t="inlineStr">
        <is>
          <t>DV-105A[0].Page1[0].List3[0].lib[0].tblLocationChild2[0].bodyRow4[0].ChoiceChildLiveW18[1]</t>
        </is>
      </c>
      <c r="F87" s="5" t="inlineStr">
        <is>
          <t>checkbox</t>
        </is>
      </c>
      <c r="G87" s="5" t="inlineStr">
        <is>
          <t>11</t>
        </is>
      </c>
      <c r="H87" s="5" t="inlineStr"/>
      <c r="I87" s="5" t="inlineStr">
        <is>
          <t>446, 597, 455, 606</t>
        </is>
      </c>
      <c r="J87" s="5" t="inlineStr">
        <is>
          <t>question</t>
        </is>
      </c>
      <c r="K87" s="5" t="inlineStr">
        <is>
          <t>K2</t>
        </is>
      </c>
      <c r="L87" s="5" t="inlineStr">
        <is>
          <t>check if groups[2k+1].K2B[3].livedWith has "respondent"</t>
        </is>
      </c>
      <c r="M87" s="5" t="inlineStr">
        <is>
          <t>groups[2k+1] exists and groups[2k+1].K2B.length &gt; 3</t>
        </is>
      </c>
      <c r="N87" s="5" t="inlineStr"/>
      <c r="O87" s="5" t="inlineStr"/>
    </row>
    <row r="88">
      <c r="A88" s="5" t="n">
        <v>87</v>
      </c>
      <c r="B88" s="5" t="n">
        <v>1</v>
      </c>
      <c r="C88" s="5" t="inlineStr">
        <is>
          <t>3b row 4</t>
        </is>
      </c>
      <c r="D88" s="5" t="inlineStr">
        <is>
          <t>Children lived with other person</t>
        </is>
      </c>
      <c r="E88" s="5" t="inlineStr">
        <is>
          <t>DV-105A[0].Page1[0].List3[0].lib[0].tblLocationChild2[0].bodyRow4[0].ChoiceChildLiveW18[2]</t>
        </is>
      </c>
      <c r="F88" s="5" t="inlineStr">
        <is>
          <t>checkbox</t>
        </is>
      </c>
      <c r="G88" s="5" t="inlineStr">
        <is>
          <t>21</t>
        </is>
      </c>
      <c r="H88" s="5" t="inlineStr"/>
      <c r="I88" s="5" t="inlineStr">
        <is>
          <t>481, 597, 490, 606</t>
        </is>
      </c>
      <c r="J88" s="5" t="inlineStr">
        <is>
          <t>question</t>
        </is>
      </c>
      <c r="K88" s="5" t="inlineStr">
        <is>
          <t>K2</t>
        </is>
      </c>
      <c r="L88" s="5" t="inlineStr">
        <is>
          <t>check if groups[2k+1].K2B[3].livedWith has "other"</t>
        </is>
      </c>
      <c r="M88" s="5" t="inlineStr">
        <is>
          <t>groups[2k+1] exists and groups[2k+1].K2B.length &gt; 3</t>
        </is>
      </c>
      <c r="N88" s="5" t="inlineStr"/>
      <c r="O88" s="5" t="inlineStr"/>
    </row>
    <row r="89">
      <c r="A89" s="5" t="n">
        <v>88</v>
      </c>
      <c r="B89" s="5" t="n">
        <v>1</v>
      </c>
      <c r="C89" s="5" t="inlineStr">
        <is>
          <t>3b row 4</t>
        </is>
      </c>
      <c r="D89" s="5" t="inlineStr">
        <is>
          <t>Other - enter relationship to child</t>
        </is>
      </c>
      <c r="E89" s="5" t="inlineStr">
        <is>
          <t>DV-105A[0].Page1[0].List3[0].lib[0].tblLocationChild2[0].bodyRow4[0].TextField4[0]</t>
        </is>
      </c>
      <c r="F89" s="5" t="inlineStr">
        <is>
          <t>text</t>
        </is>
      </c>
      <c r="G89" s="5" t="inlineStr"/>
      <c r="H89" s="5" t="inlineStr"/>
      <c r="I89" s="5" t="inlineStr">
        <is>
          <t>491, 596, 572, 608</t>
        </is>
      </c>
      <c r="J89" s="5" t="inlineStr">
        <is>
          <t>question</t>
        </is>
      </c>
      <c r="K89" s="5" t="inlineStr">
        <is>
          <t>K2</t>
        </is>
      </c>
      <c r="L89" s="5">
        <f> groups[2k+1].K2B[3].otherRelationship</f>
        <v/>
      </c>
      <c r="M89" s="5" t="inlineStr">
        <is>
          <t>groups[2k+1] exists and groups[2k+1].K2B.length &gt; 3 and livedWith has "other"</t>
        </is>
      </c>
      <c r="N89" s="5" t="inlineStr"/>
      <c r="O89" s="5" t="inlineStr"/>
    </row>
    <row r="90">
      <c r="A90" s="5" t="n">
        <v>89</v>
      </c>
      <c r="B90" s="5" t="n">
        <v>1</v>
      </c>
      <c r="C90" s="5" t="inlineStr">
        <is>
          <t>3b row 5</t>
        </is>
      </c>
      <c r="D90" s="5" t="inlineStr">
        <is>
          <t>from</t>
        </is>
      </c>
      <c r="E90" s="5" t="inlineStr">
        <is>
          <t>DV-105A[0].Page1[0].List3[0].lib[0].tblLocationChild2[0].bodyRow5[0].tf13[0]</t>
        </is>
      </c>
      <c r="F90" s="5" t="inlineStr">
        <is>
          <t>text</t>
        </is>
      </c>
      <c r="G90" s="5" t="inlineStr"/>
      <c r="H90" s="5" t="inlineStr"/>
      <c r="I90" s="5" t="inlineStr">
        <is>
          <t>106, 613, 142, 625</t>
        </is>
      </c>
      <c r="J90" s="5" t="inlineStr">
        <is>
          <t>question</t>
        </is>
      </c>
      <c r="K90" s="5" t="inlineStr">
        <is>
          <t>K2</t>
        </is>
      </c>
      <c r="L90" s="5">
        <f> fmtMonthYear(groups[2k+1].K2B[4].from)</f>
        <v/>
      </c>
      <c r="M90" s="5" t="inlineStr">
        <is>
          <t>groups[2k+1] exists and groups[2k+1].K2B.length &gt; 4</t>
        </is>
      </c>
      <c r="N90" s="5" t="inlineStr"/>
      <c r="O90" s="5" t="inlineStr"/>
    </row>
    <row r="91">
      <c r="A91" s="5" t="n">
        <v>90</v>
      </c>
      <c r="B91" s="5" t="n">
        <v>1</v>
      </c>
      <c r="C91" s="5" t="inlineStr">
        <is>
          <t>3b row 5</t>
        </is>
      </c>
      <c r="D91" s="5" t="inlineStr">
        <is>
          <t>Until</t>
        </is>
      </c>
      <c r="E91" s="5" t="inlineStr">
        <is>
          <t>DV-105A[0].Page1[0].List3[0].lib[0].tblLocationChild2[0].bodyRow5[0].tf14[0]</t>
        </is>
      </c>
      <c r="F91" s="5" t="inlineStr">
        <is>
          <t>text</t>
        </is>
      </c>
      <c r="G91" s="5" t="inlineStr"/>
      <c r="H91" s="5" t="inlineStr"/>
      <c r="I91" s="5" t="inlineStr">
        <is>
          <t>173, 613, 211, 625</t>
        </is>
      </c>
      <c r="J91" s="5" t="inlineStr">
        <is>
          <t>question</t>
        </is>
      </c>
      <c r="K91" s="5" t="inlineStr">
        <is>
          <t>K2</t>
        </is>
      </c>
      <c r="L91" s="5">
        <f> fmtMonthYear(groups[2k+1].K2B[4].until)</f>
        <v/>
      </c>
      <c r="M91" s="5" t="inlineStr">
        <is>
          <t>groups[2k+1] exists and groups[2k+1].K2B.length &gt; 4</t>
        </is>
      </c>
      <c r="N91" s="5" t="inlineStr"/>
      <c r="O91" s="5" t="inlineStr"/>
    </row>
    <row r="92">
      <c r="A92" s="5" t="n">
        <v>91</v>
      </c>
      <c r="B92" s="5" t="n">
        <v>1</v>
      </c>
      <c r="C92" s="5" t="inlineStr">
        <is>
          <t>3b row 5</t>
        </is>
      </c>
      <c r="D92" s="5" t="inlineStr">
        <is>
          <t>City and State. Include tribal land, if applies</t>
        </is>
      </c>
      <c r="E92" s="5" t="inlineStr">
        <is>
          <t>DV-105A[0].Page1[0].List3[0].lib[0].tblLocationChild2[0].bodyRow5[0].tf15[0]</t>
        </is>
      </c>
      <c r="F92" s="5" t="inlineStr">
        <is>
          <t>text</t>
        </is>
      </c>
      <c r="G92" s="5" t="inlineStr"/>
      <c r="H92" s="5" t="inlineStr"/>
      <c r="I92" s="5" t="inlineStr">
        <is>
          <t>214, 613, 385, 625</t>
        </is>
      </c>
      <c r="J92" s="5" t="inlineStr">
        <is>
          <t>question</t>
        </is>
      </c>
      <c r="K92" s="5" t="inlineStr">
        <is>
          <t>K2</t>
        </is>
      </c>
      <c r="L92" s="5">
        <f> groups[2k+1].K2B[4].private ? groups[2k+1].K2B[4].state : groups[2k+1].K2B[4].cityState</f>
        <v/>
      </c>
      <c r="M92" s="5" t="inlineStr">
        <is>
          <t>groups[2k+1] exists and groups[2k+1].K2B.length &gt; 4</t>
        </is>
      </c>
      <c r="N92" s="5" t="inlineStr"/>
      <c r="O92" s="5" t="inlineStr"/>
    </row>
    <row r="93">
      <c r="A93" s="5" t="n">
        <v>92</v>
      </c>
      <c r="B93" s="5" t="n">
        <v>1</v>
      </c>
      <c r="C93" s="5" t="inlineStr">
        <is>
          <t>3b row 5</t>
        </is>
      </c>
      <c r="D93" s="5" t="inlineStr">
        <is>
          <t>Children lived with person in 1</t>
        </is>
      </c>
      <c r="E93" s="5" t="inlineStr">
        <is>
          <t>DV-105A[0].Page1[0].List3[0].lib[0].tblLocationChild2[0].bodyRow5[0].ChoiceChildLiveW19[0]</t>
        </is>
      </c>
      <c r="F93" s="5" t="inlineStr">
        <is>
          <t>checkbox</t>
        </is>
      </c>
      <c r="G93" s="5" t="inlineStr">
        <is>
          <t>1</t>
        </is>
      </c>
      <c r="H93" s="5" t="inlineStr"/>
      <c r="I93" s="5" t="inlineStr">
        <is>
          <t>403, 613, 412, 622</t>
        </is>
      </c>
      <c r="J93" s="5" t="inlineStr">
        <is>
          <t>question</t>
        </is>
      </c>
      <c r="K93" s="5" t="inlineStr">
        <is>
          <t>K2</t>
        </is>
      </c>
      <c r="L93" s="5" t="inlineStr">
        <is>
          <t>check if groups[2k+1].K2B[4].livedWith has "me"</t>
        </is>
      </c>
      <c r="M93" s="5" t="inlineStr">
        <is>
          <t>groups[2k+1] exists and groups[2k+1].K2B.length &gt; 4</t>
        </is>
      </c>
      <c r="N93" s="5" t="inlineStr"/>
      <c r="O93" s="5" t="inlineStr"/>
    </row>
    <row r="94">
      <c r="A94" s="5" t="n">
        <v>93</v>
      </c>
      <c r="B94" s="5" t="n">
        <v>1</v>
      </c>
      <c r="C94" s="5" t="inlineStr">
        <is>
          <t>3b row 5</t>
        </is>
      </c>
      <c r="D94" s="5" t="inlineStr">
        <is>
          <t>Children lived with person in 2</t>
        </is>
      </c>
      <c r="E94" s="5" t="inlineStr">
        <is>
          <t>DV-105A[0].Page1[0].List3[0].lib[0].tblLocationChild2[0].bodyRow5[0].ChoiceChildLiveW19[1]</t>
        </is>
      </c>
      <c r="F94" s="5" t="inlineStr">
        <is>
          <t>checkbox</t>
        </is>
      </c>
      <c r="G94" s="5" t="inlineStr">
        <is>
          <t>11</t>
        </is>
      </c>
      <c r="H94" s="5" t="inlineStr"/>
      <c r="I94" s="5" t="inlineStr">
        <is>
          <t>446, 613, 455, 622</t>
        </is>
      </c>
      <c r="J94" s="5" t="inlineStr">
        <is>
          <t>question</t>
        </is>
      </c>
      <c r="K94" s="5" t="inlineStr">
        <is>
          <t>K2</t>
        </is>
      </c>
      <c r="L94" s="5" t="inlineStr">
        <is>
          <t>check if groups[2k+1].K2B[4].livedWith has "respondent"</t>
        </is>
      </c>
      <c r="M94" s="5" t="inlineStr">
        <is>
          <t>groups[2k+1] exists and groups[2k+1].K2B.length &gt; 4</t>
        </is>
      </c>
      <c r="N94" s="5" t="inlineStr"/>
      <c r="O94" s="5" t="inlineStr"/>
    </row>
    <row r="95">
      <c r="A95" s="5" t="n">
        <v>94</v>
      </c>
      <c r="B95" s="5" t="n">
        <v>1</v>
      </c>
      <c r="C95" s="5" t="inlineStr">
        <is>
          <t>3b row 5</t>
        </is>
      </c>
      <c r="D95" s="5" t="inlineStr">
        <is>
          <t>Children lived with other person</t>
        </is>
      </c>
      <c r="E95" s="5" t="inlineStr">
        <is>
          <t>DV-105A[0].Page1[0].List3[0].lib[0].tblLocationChild2[0].bodyRow5[0].ChoiceChildLiveW19[2]</t>
        </is>
      </c>
      <c r="F95" s="5" t="inlineStr">
        <is>
          <t>checkbox</t>
        </is>
      </c>
      <c r="G95" s="5" t="inlineStr">
        <is>
          <t>21</t>
        </is>
      </c>
      <c r="H95" s="5" t="inlineStr"/>
      <c r="I95" s="5" t="inlineStr">
        <is>
          <t>481, 613, 490, 622</t>
        </is>
      </c>
      <c r="J95" s="5" t="inlineStr">
        <is>
          <t>question</t>
        </is>
      </c>
      <c r="K95" s="5" t="inlineStr">
        <is>
          <t>K2</t>
        </is>
      </c>
      <c r="L95" s="5" t="inlineStr">
        <is>
          <t>check if groups[2k+1].K2B[4].livedWith has "other"</t>
        </is>
      </c>
      <c r="M95" s="5" t="inlineStr">
        <is>
          <t>groups[2k+1] exists and groups[2k+1].K2B.length &gt; 4</t>
        </is>
      </c>
      <c r="N95" s="5" t="inlineStr"/>
      <c r="O95" s="5" t="inlineStr"/>
    </row>
    <row r="96">
      <c r="A96" s="5" t="n">
        <v>95</v>
      </c>
      <c r="B96" s="5" t="n">
        <v>1</v>
      </c>
      <c r="C96" s="5" t="inlineStr">
        <is>
          <t>3b row 5</t>
        </is>
      </c>
      <c r="D96" s="5" t="inlineStr">
        <is>
          <t>Other - enter relationship to child</t>
        </is>
      </c>
      <c r="E96" s="5" t="inlineStr">
        <is>
          <t>DV-105A[0].Page1[0].List3[0].lib[0].tblLocationChild2[0].bodyRow5[0].TextField5[0]</t>
        </is>
      </c>
      <c r="F96" s="5" t="inlineStr">
        <is>
          <t>text</t>
        </is>
      </c>
      <c r="G96" s="5" t="inlineStr"/>
      <c r="H96" s="5" t="inlineStr"/>
      <c r="I96" s="5" t="inlineStr">
        <is>
          <t>491, 613, 572, 625</t>
        </is>
      </c>
      <c r="J96" s="5" t="inlineStr">
        <is>
          <t>question</t>
        </is>
      </c>
      <c r="K96" s="5" t="inlineStr">
        <is>
          <t>K2</t>
        </is>
      </c>
      <c r="L96" s="5">
        <f> groups[2k+1].K2B[4].otherRelationship</f>
        <v/>
      </c>
      <c r="M96" s="5" t="inlineStr">
        <is>
          <t>groups[2k+1] exists and groups[2k+1].K2B.length &gt; 4 and livedWith has "other"</t>
        </is>
      </c>
      <c r="N96" s="5" t="inlineStr"/>
      <c r="O96" s="5" t="inlineStr"/>
    </row>
    <row r="97">
      <c r="A97" s="5" t="n">
        <v>96</v>
      </c>
      <c r="B97" s="5" t="n">
        <v>1</v>
      </c>
      <c r="C97" s="5" t="inlineStr">
        <is>
          <t>3b row 6</t>
        </is>
      </c>
      <c r="D97" s="5" t="inlineStr">
        <is>
          <t>from</t>
        </is>
      </c>
      <c r="E97" s="5" t="inlineStr">
        <is>
          <t>DV-105A[0].Page1[0].List3[0].lib[0].tblLocationChild2[0].bodyRow6[0].tf16[0]</t>
        </is>
      </c>
      <c r="F97" s="5" t="inlineStr">
        <is>
          <t>text</t>
        </is>
      </c>
      <c r="G97" s="5" t="inlineStr"/>
      <c r="H97" s="5" t="inlineStr"/>
      <c r="I97" s="5" t="inlineStr">
        <is>
          <t>106, 629, 142, 641</t>
        </is>
      </c>
      <c r="J97" s="5" t="inlineStr">
        <is>
          <t>question</t>
        </is>
      </c>
      <c r="K97" s="5" t="inlineStr">
        <is>
          <t>K2</t>
        </is>
      </c>
      <c r="L97" s="5">
        <f> fmtMonthYear(groups[2k+1].K2B[5].from)</f>
        <v/>
      </c>
      <c r="M97" s="5" t="inlineStr">
        <is>
          <t>groups[2k+1] exists and groups[2k+1].K2B.length &gt; 5</t>
        </is>
      </c>
      <c r="N97" s="5" t="inlineStr"/>
      <c r="O97" s="5" t="inlineStr"/>
    </row>
    <row r="98">
      <c r="A98" s="5" t="n">
        <v>97</v>
      </c>
      <c r="B98" s="5" t="n">
        <v>1</v>
      </c>
      <c r="C98" s="5" t="inlineStr">
        <is>
          <t>3b row 6</t>
        </is>
      </c>
      <c r="D98" s="5" t="inlineStr">
        <is>
          <t>Until</t>
        </is>
      </c>
      <c r="E98" s="5" t="inlineStr">
        <is>
          <t>DV-105A[0].Page1[0].List3[0].lib[0].tblLocationChild2[0].bodyRow6[0].tf17[0]</t>
        </is>
      </c>
      <c r="F98" s="5" t="inlineStr">
        <is>
          <t>text</t>
        </is>
      </c>
      <c r="G98" s="5" t="inlineStr"/>
      <c r="H98" s="5" t="inlineStr"/>
      <c r="I98" s="5" t="inlineStr">
        <is>
          <t>173, 629, 211, 641</t>
        </is>
      </c>
      <c r="J98" s="5" t="inlineStr">
        <is>
          <t>question</t>
        </is>
      </c>
      <c r="K98" s="5" t="inlineStr">
        <is>
          <t>K2</t>
        </is>
      </c>
      <c r="L98" s="5">
        <f> fmtMonthYear(groups[2k+1].K2B[5].until)</f>
        <v/>
      </c>
      <c r="M98" s="5" t="inlineStr">
        <is>
          <t>groups[2k+1] exists and groups[2k+1].K2B.length &gt; 5</t>
        </is>
      </c>
      <c r="N98" s="5" t="inlineStr"/>
      <c r="O98" s="5" t="inlineStr"/>
    </row>
    <row r="99">
      <c r="A99" s="5" t="n">
        <v>98</v>
      </c>
      <c r="B99" s="5" t="n">
        <v>1</v>
      </c>
      <c r="C99" s="5" t="inlineStr">
        <is>
          <t>3b row 6</t>
        </is>
      </c>
      <c r="D99" s="5" t="inlineStr">
        <is>
          <t>City and State. Include tribal land, if applies</t>
        </is>
      </c>
      <c r="E99" s="5" t="inlineStr">
        <is>
          <t>DV-105A[0].Page1[0].List3[0].lib[0].tblLocationChild2[0].bodyRow6[0].tf18[0]</t>
        </is>
      </c>
      <c r="F99" s="5" t="inlineStr">
        <is>
          <t>text</t>
        </is>
      </c>
      <c r="G99" s="5" t="inlineStr"/>
      <c r="H99" s="5" t="inlineStr"/>
      <c r="I99" s="5" t="inlineStr">
        <is>
          <t>214, 629, 385, 641</t>
        </is>
      </c>
      <c r="J99" s="5" t="inlineStr">
        <is>
          <t>question</t>
        </is>
      </c>
      <c r="K99" s="5" t="inlineStr">
        <is>
          <t>K2</t>
        </is>
      </c>
      <c r="L99" s="5">
        <f> groups[2k+1].K2B[5].private ? groups[2k+1].K2B[5].state : groups[2k+1].K2B[5].cityState</f>
        <v/>
      </c>
      <c r="M99" s="5" t="inlineStr">
        <is>
          <t>groups[2k+1] exists and groups[2k+1].K2B.length &gt; 5</t>
        </is>
      </c>
      <c r="N99" s="5" t="inlineStr"/>
      <c r="O99" s="5" t="inlineStr"/>
    </row>
    <row r="100">
      <c r="A100" s="5" t="n">
        <v>99</v>
      </c>
      <c r="B100" s="5" t="n">
        <v>1</v>
      </c>
      <c r="C100" s="5" t="inlineStr">
        <is>
          <t>3b row 6</t>
        </is>
      </c>
      <c r="D100" s="5" t="inlineStr">
        <is>
          <t>Children lived with person in 1</t>
        </is>
      </c>
      <c r="E100" s="5" t="inlineStr">
        <is>
          <t>DV-105A[0].Page1[0].List3[0].lib[0].tblLocationChild2[0].bodyRow6[0].ChoiceChildLiveW20[0]</t>
        </is>
      </c>
      <c r="F100" s="5" t="inlineStr">
        <is>
          <t>checkbox</t>
        </is>
      </c>
      <c r="G100" s="5" t="inlineStr">
        <is>
          <t>1</t>
        </is>
      </c>
      <c r="H100" s="5" t="inlineStr"/>
      <c r="I100" s="5" t="inlineStr">
        <is>
          <t>403, 630, 412, 639</t>
        </is>
      </c>
      <c r="J100" s="5" t="inlineStr">
        <is>
          <t>question</t>
        </is>
      </c>
      <c r="K100" s="5" t="inlineStr">
        <is>
          <t>K2</t>
        </is>
      </c>
      <c r="L100" s="5" t="inlineStr">
        <is>
          <t>check if groups[2k+1].K2B[5].livedWith has "me"</t>
        </is>
      </c>
      <c r="M100" s="5" t="inlineStr">
        <is>
          <t>groups[2k+1] exists and groups[2k+1].K2B.length &gt; 5</t>
        </is>
      </c>
      <c r="N100" s="5" t="inlineStr"/>
      <c r="O100" s="5" t="inlineStr"/>
    </row>
    <row r="101">
      <c r="A101" s="5" t="n">
        <v>100</v>
      </c>
      <c r="B101" s="5" t="n">
        <v>1</v>
      </c>
      <c r="C101" s="5" t="inlineStr">
        <is>
          <t>3b row 6</t>
        </is>
      </c>
      <c r="D101" s="5" t="inlineStr">
        <is>
          <t>Children lived with person in 2</t>
        </is>
      </c>
      <c r="E101" s="5" t="inlineStr">
        <is>
          <t>DV-105A[0].Page1[0].List3[0].lib[0].tblLocationChild2[0].bodyRow6[0].ChoiceChildLiveW20[1]</t>
        </is>
      </c>
      <c r="F101" s="5" t="inlineStr">
        <is>
          <t>checkbox</t>
        </is>
      </c>
      <c r="G101" s="5" t="inlineStr">
        <is>
          <t>11</t>
        </is>
      </c>
      <c r="H101" s="5" t="inlineStr"/>
      <c r="I101" s="5" t="inlineStr">
        <is>
          <t>446, 630, 455, 639</t>
        </is>
      </c>
      <c r="J101" s="5" t="inlineStr">
        <is>
          <t>question</t>
        </is>
      </c>
      <c r="K101" s="5" t="inlineStr">
        <is>
          <t>K2</t>
        </is>
      </c>
      <c r="L101" s="5" t="inlineStr">
        <is>
          <t>check if groups[2k+1].K2B[5].livedWith has "respondent"</t>
        </is>
      </c>
      <c r="M101" s="5" t="inlineStr">
        <is>
          <t>groups[2k+1] exists and groups[2k+1].K2B.length &gt; 5</t>
        </is>
      </c>
      <c r="N101" s="5" t="inlineStr"/>
      <c r="O101" s="5" t="inlineStr"/>
    </row>
    <row r="102">
      <c r="A102" s="5" t="n">
        <v>101</v>
      </c>
      <c r="B102" s="5" t="n">
        <v>1</v>
      </c>
      <c r="C102" s="5" t="inlineStr">
        <is>
          <t>3b row 6</t>
        </is>
      </c>
      <c r="D102" s="5" t="inlineStr">
        <is>
          <t>Children lived with other person</t>
        </is>
      </c>
      <c r="E102" s="5" t="inlineStr">
        <is>
          <t>DV-105A[0].Page1[0].List3[0].lib[0].tblLocationChild2[0].bodyRow6[0].ChoiceChildLiveW20[2]</t>
        </is>
      </c>
      <c r="F102" s="5" t="inlineStr">
        <is>
          <t>checkbox</t>
        </is>
      </c>
      <c r="G102" s="5" t="inlineStr">
        <is>
          <t>21</t>
        </is>
      </c>
      <c r="H102" s="5" t="inlineStr"/>
      <c r="I102" s="5" t="inlineStr">
        <is>
          <t>481, 630, 490, 639</t>
        </is>
      </c>
      <c r="J102" s="5" t="inlineStr">
        <is>
          <t>question</t>
        </is>
      </c>
      <c r="K102" s="5" t="inlineStr">
        <is>
          <t>K2</t>
        </is>
      </c>
      <c r="L102" s="5" t="inlineStr">
        <is>
          <t>check if groups[2k+1].K2B[5].livedWith has "other"</t>
        </is>
      </c>
      <c r="M102" s="5" t="inlineStr">
        <is>
          <t>groups[2k+1] exists and groups[2k+1].K2B.length &gt; 5</t>
        </is>
      </c>
      <c r="N102" s="5" t="inlineStr"/>
      <c r="O102" s="5" t="inlineStr"/>
    </row>
    <row r="103">
      <c r="A103" s="5" t="n">
        <v>102</v>
      </c>
      <c r="B103" s="5" t="n">
        <v>1</v>
      </c>
      <c r="C103" s="5" t="inlineStr">
        <is>
          <t>3b row 6</t>
        </is>
      </c>
      <c r="D103" s="5" t="inlineStr">
        <is>
          <t>Other - enter relationship to child</t>
        </is>
      </c>
      <c r="E103" s="5" t="inlineStr">
        <is>
          <t>DV-105A[0].Page1[0].List3[0].lib[0].tblLocationChild2[0].bodyRow6[0].TextField6[0]</t>
        </is>
      </c>
      <c r="F103" s="5" t="inlineStr">
        <is>
          <t>text</t>
        </is>
      </c>
      <c r="G103" s="5" t="inlineStr"/>
      <c r="H103" s="5" t="inlineStr"/>
      <c r="I103" s="5" t="inlineStr">
        <is>
          <t>491, 629, 572, 641</t>
        </is>
      </c>
      <c r="J103" s="5" t="inlineStr">
        <is>
          <t>question</t>
        </is>
      </c>
      <c r="K103" s="5" t="inlineStr">
        <is>
          <t>K2</t>
        </is>
      </c>
      <c r="L103" s="5">
        <f> groups[2k+1].K2B[5].otherRelationship</f>
        <v/>
      </c>
      <c r="M103" s="5" t="inlineStr">
        <is>
          <t>groups[2k+1] exists and groups[2k+1].K2B.length &gt; 5 and livedWith has "other"</t>
        </is>
      </c>
      <c r="N103" s="5" t="inlineStr"/>
      <c r="O103" s="5" t="inlineStr"/>
    </row>
    <row r="104">
      <c r="A104" s="5" t="n">
        <v>103</v>
      </c>
      <c r="B104" s="5" t="n">
        <v>1</v>
      </c>
      <c r="C104" s="5" t="inlineStr">
        <is>
          <t>3b row 7</t>
        </is>
      </c>
      <c r="D104" s="5" t="inlineStr">
        <is>
          <t>from</t>
        </is>
      </c>
      <c r="E104" s="5" t="inlineStr">
        <is>
          <t>DV-105A[0].Page1[0].List3[0].lib[0].tblLocationChild2[0].bodyRow7[0].tf19[0]</t>
        </is>
      </c>
      <c r="F104" s="5" t="inlineStr">
        <is>
          <t>text</t>
        </is>
      </c>
      <c r="G104" s="5" t="inlineStr"/>
      <c r="H104" s="5" t="inlineStr"/>
      <c r="I104" s="5" t="inlineStr">
        <is>
          <t>106, 646, 142, 658</t>
        </is>
      </c>
      <c r="J104" s="5" t="inlineStr">
        <is>
          <t>question</t>
        </is>
      </c>
      <c r="K104" s="5" t="inlineStr">
        <is>
          <t>K2</t>
        </is>
      </c>
      <c r="L104" s="5">
        <f> fmtMonthYear(groups[2k+1].K2B[6].from)</f>
        <v/>
      </c>
      <c r="M104" s="5" t="inlineStr">
        <is>
          <t>groups[2k+1] exists and groups[2k+1].K2B.length &gt; 6</t>
        </is>
      </c>
      <c r="N104" s="5" t="inlineStr"/>
      <c r="O104" s="5" t="inlineStr"/>
    </row>
    <row r="105">
      <c r="A105" s="5" t="n">
        <v>104</v>
      </c>
      <c r="B105" s="5" t="n">
        <v>1</v>
      </c>
      <c r="C105" s="5" t="inlineStr">
        <is>
          <t>3b row 7</t>
        </is>
      </c>
      <c r="D105" s="5" t="inlineStr">
        <is>
          <t>Until</t>
        </is>
      </c>
      <c r="E105" s="5" t="inlineStr">
        <is>
          <t>DV-105A[0].Page1[0].List3[0].lib[0].tblLocationChild2[0].bodyRow7[0].tf20[0]</t>
        </is>
      </c>
      <c r="F105" s="5" t="inlineStr">
        <is>
          <t>text</t>
        </is>
      </c>
      <c r="G105" s="5" t="inlineStr"/>
      <c r="H105" s="5" t="inlineStr"/>
      <c r="I105" s="5" t="inlineStr">
        <is>
          <t>173, 646, 211, 658</t>
        </is>
      </c>
      <c r="J105" s="5" t="inlineStr">
        <is>
          <t>question</t>
        </is>
      </c>
      <c r="K105" s="5" t="inlineStr">
        <is>
          <t>K2</t>
        </is>
      </c>
      <c r="L105" s="5">
        <f> fmtMonthYear(groups[2k+1].K2B[6].until)</f>
        <v/>
      </c>
      <c r="M105" s="5" t="inlineStr">
        <is>
          <t>groups[2k+1] exists and groups[2k+1].K2B.length &gt; 6</t>
        </is>
      </c>
      <c r="N105" s="5" t="inlineStr"/>
      <c r="O105" s="5" t="inlineStr"/>
    </row>
    <row r="106">
      <c r="A106" s="5" t="n">
        <v>105</v>
      </c>
      <c r="B106" s="5" t="n">
        <v>1</v>
      </c>
      <c r="C106" s="5" t="inlineStr">
        <is>
          <t>3b row 7</t>
        </is>
      </c>
      <c r="D106" s="5" t="inlineStr">
        <is>
          <t>City and State. Include tribal land, if applies</t>
        </is>
      </c>
      <c r="E106" s="5" t="inlineStr">
        <is>
          <t>DV-105A[0].Page1[0].List3[0].lib[0].tblLocationChild2[0].bodyRow7[0].tf21[0]</t>
        </is>
      </c>
      <c r="F106" s="5" t="inlineStr">
        <is>
          <t>text</t>
        </is>
      </c>
      <c r="G106" s="5" t="inlineStr"/>
      <c r="H106" s="5" t="inlineStr"/>
      <c r="I106" s="5" t="inlineStr">
        <is>
          <t>214, 646, 385, 658</t>
        </is>
      </c>
      <c r="J106" s="5" t="inlineStr">
        <is>
          <t>question</t>
        </is>
      </c>
      <c r="K106" s="5" t="inlineStr">
        <is>
          <t>K2</t>
        </is>
      </c>
      <c r="L106" s="5">
        <f> groups[2k+1].K2B[6].private ? groups[2k+1].K2B[6].state : groups[2k+1].K2B[6].cityState</f>
        <v/>
      </c>
      <c r="M106" s="5" t="inlineStr">
        <is>
          <t>groups[2k+1] exists and groups[2k+1].K2B.length &gt; 6</t>
        </is>
      </c>
      <c r="N106" s="5" t="inlineStr"/>
      <c r="O106" s="5" t="inlineStr"/>
    </row>
    <row r="107">
      <c r="A107" s="5" t="n">
        <v>106</v>
      </c>
      <c r="B107" s="5" t="n">
        <v>1</v>
      </c>
      <c r="C107" s="5" t="inlineStr">
        <is>
          <t>3b row 7</t>
        </is>
      </c>
      <c r="D107" s="5" t="inlineStr">
        <is>
          <t>Children lived with person in 1</t>
        </is>
      </c>
      <c r="E107" s="5" t="inlineStr">
        <is>
          <t>DV-105A[0].Page1[0].List3[0].lib[0].tblLocationChild2[0].bodyRow7[0].ChoiceChildLiveW21[0]</t>
        </is>
      </c>
      <c r="F107" s="5" t="inlineStr">
        <is>
          <t>checkbox</t>
        </is>
      </c>
      <c r="G107" s="5" t="inlineStr">
        <is>
          <t>1</t>
        </is>
      </c>
      <c r="H107" s="5" t="inlineStr"/>
      <c r="I107" s="5" t="inlineStr">
        <is>
          <t>403, 646, 412, 655</t>
        </is>
      </c>
      <c r="J107" s="5" t="inlineStr">
        <is>
          <t>question</t>
        </is>
      </c>
      <c r="K107" s="5" t="inlineStr">
        <is>
          <t>K2</t>
        </is>
      </c>
      <c r="L107" s="5" t="inlineStr">
        <is>
          <t>check if groups[2k+1].K2B[6].livedWith has "me"</t>
        </is>
      </c>
      <c r="M107" s="5" t="inlineStr">
        <is>
          <t>groups[2k+1] exists and groups[2k+1].K2B.length &gt; 6</t>
        </is>
      </c>
      <c r="N107" s="5" t="inlineStr"/>
      <c r="O107" s="5" t="inlineStr"/>
    </row>
    <row r="108">
      <c r="A108" s="5" t="n">
        <v>107</v>
      </c>
      <c r="B108" s="5" t="n">
        <v>1</v>
      </c>
      <c r="C108" s="5" t="inlineStr">
        <is>
          <t>3b row 7</t>
        </is>
      </c>
      <c r="D108" s="5" t="inlineStr">
        <is>
          <t>Children lived with person in 2</t>
        </is>
      </c>
      <c r="E108" s="5" t="inlineStr">
        <is>
          <t>DV-105A[0].Page1[0].List3[0].lib[0].tblLocationChild2[0].bodyRow7[0].ChoiceChildLiveW21[1]</t>
        </is>
      </c>
      <c r="F108" s="5" t="inlineStr">
        <is>
          <t>checkbox</t>
        </is>
      </c>
      <c r="G108" s="5" t="inlineStr">
        <is>
          <t>11</t>
        </is>
      </c>
      <c r="H108" s="5" t="inlineStr"/>
      <c r="I108" s="5" t="inlineStr">
        <is>
          <t>446, 646, 455, 655</t>
        </is>
      </c>
      <c r="J108" s="5" t="inlineStr">
        <is>
          <t>question</t>
        </is>
      </c>
      <c r="K108" s="5" t="inlineStr">
        <is>
          <t>K2</t>
        </is>
      </c>
      <c r="L108" s="5" t="inlineStr">
        <is>
          <t>check if groups[2k+1].K2B[6].livedWith has "respondent"</t>
        </is>
      </c>
      <c r="M108" s="5" t="inlineStr">
        <is>
          <t>groups[2k+1] exists and groups[2k+1].K2B.length &gt; 6</t>
        </is>
      </c>
      <c r="N108" s="5" t="inlineStr"/>
      <c r="O108" s="5" t="inlineStr"/>
    </row>
    <row r="109">
      <c r="A109" s="5" t="n">
        <v>108</v>
      </c>
      <c r="B109" s="5" t="n">
        <v>1</v>
      </c>
      <c r="C109" s="5" t="inlineStr">
        <is>
          <t>3b row 7</t>
        </is>
      </c>
      <c r="D109" s="5" t="inlineStr">
        <is>
          <t>Children lived with other person</t>
        </is>
      </c>
      <c r="E109" s="5" t="inlineStr">
        <is>
          <t>DV-105A[0].Page1[0].List3[0].lib[0].tblLocationChild2[0].bodyRow7[0].ChoiceChildLiveW21[2]</t>
        </is>
      </c>
      <c r="F109" s="5" t="inlineStr">
        <is>
          <t>checkbox</t>
        </is>
      </c>
      <c r="G109" s="5" t="inlineStr">
        <is>
          <t>21</t>
        </is>
      </c>
      <c r="H109" s="5" t="inlineStr"/>
      <c r="I109" s="5" t="inlineStr">
        <is>
          <t>481, 646, 490, 655</t>
        </is>
      </c>
      <c r="J109" s="5" t="inlineStr">
        <is>
          <t>question</t>
        </is>
      </c>
      <c r="K109" s="5" t="inlineStr">
        <is>
          <t>K2</t>
        </is>
      </c>
      <c r="L109" s="5" t="inlineStr">
        <is>
          <t>check if groups[2k+1].K2B[6].livedWith has "other"</t>
        </is>
      </c>
      <c r="M109" s="5" t="inlineStr">
        <is>
          <t>groups[2k+1] exists and groups[2k+1].K2B.length &gt; 6</t>
        </is>
      </c>
      <c r="N109" s="5" t="inlineStr"/>
      <c r="O109" s="5" t="inlineStr"/>
    </row>
    <row r="110">
      <c r="A110" s="5" t="n">
        <v>109</v>
      </c>
      <c r="B110" s="5" t="n">
        <v>1</v>
      </c>
      <c r="C110" s="5" t="inlineStr">
        <is>
          <t>3b row 7</t>
        </is>
      </c>
      <c r="D110" s="5" t="inlineStr">
        <is>
          <t>Other - enter relationship to child</t>
        </is>
      </c>
      <c r="E110" s="5" t="inlineStr">
        <is>
          <t>DV-105A[0].Page1[0].List3[0].lib[0].tblLocationChild2[0].bodyRow7[0].TextField7[0]</t>
        </is>
      </c>
      <c r="F110" s="5" t="inlineStr">
        <is>
          <t>text</t>
        </is>
      </c>
      <c r="G110" s="5" t="inlineStr"/>
      <c r="H110" s="5" t="inlineStr"/>
      <c r="I110" s="5" t="inlineStr">
        <is>
          <t>491, 646, 572, 658</t>
        </is>
      </c>
      <c r="J110" s="5" t="inlineStr">
        <is>
          <t>question</t>
        </is>
      </c>
      <c r="K110" s="5" t="inlineStr">
        <is>
          <t>K2</t>
        </is>
      </c>
      <c r="L110" s="5">
        <f> groups[2k+1].K2B[6].otherRelationship</f>
        <v/>
      </c>
      <c r="M110" s="5" t="inlineStr">
        <is>
          <t>groups[2k+1] exists and groups[2k+1].K2B.length &gt; 6 and livedWith has "other"</t>
        </is>
      </c>
      <c r="N110" s="5" t="inlineStr"/>
      <c r="O110" s="5" t="inlineStr"/>
    </row>
    <row r="111">
      <c r="A111" s="6" t="n">
        <v>110</v>
      </c>
      <c r="B111" s="6" t="n">
        <v>1</v>
      </c>
      <c r="C111" s="6" t="inlineStr">
        <is>
          <t>3 more</t>
        </is>
      </c>
      <c r="D111" s="6" t="inlineStr">
        <is>
          <t>Check here to list other children with a different residence history than the children you’ve already listed. Use another form DV-105(A) and attach it to this form.</t>
        </is>
      </c>
      <c r="E111" s="6" t="inlineStr">
        <is>
          <t>DV-105A[0].Page1[0].List3[0].MultilineCheckBox[0]</t>
        </is>
      </c>
      <c r="F111" s="6" t="inlineStr">
        <is>
          <t>checkbox</t>
        </is>
      </c>
      <c r="G111" s="6" t="inlineStr">
        <is>
          <t>1</t>
        </is>
      </c>
      <c r="H111" s="6" t="inlineStr"/>
      <c r="I111" s="6" t="inlineStr">
        <is>
          <t>51, 678, 60, 687</t>
        </is>
      </c>
      <c r="J111" s="6" t="inlineStr">
        <is>
          <t>derived</t>
        </is>
      </c>
      <c r="K111" s="6" t="inlineStr">
        <is>
          <t>K2A</t>
        </is>
      </c>
      <c r="L111" s="6" t="inlineStr">
        <is>
          <t>check if groups.length &gt; 2k+2</t>
        </is>
      </c>
      <c r="M111" s="6" t="inlineStr"/>
      <c r="N111" s="6" t="inlineStr">
        <is>
          <t>Another DV-105(A) follows.</t>
        </is>
      </c>
      <c r="O111" s="6" t="inlineStr"/>
    </row>
  </sheetData>
  <autoFilter ref="A1:O111"/>
  <dataValidations count="1">
    <dataValidation sqref="J2:J111" showDropDown="0" showInputMessage="0" showErrorMessage="0" allowBlank="1" type="list">
      <formula1>"question,derived,court/clerk,server,ignore (UI button)"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6"/>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7" t="n">
        <v>1</v>
      </c>
      <c r="B2" s="7" t="n">
        <v>1</v>
      </c>
      <c r="C2" s="7" t="inlineStr">
        <is>
          <t>—</t>
        </is>
      </c>
      <c r="D2" s="7" t="inlineStr">
        <is>
          <t>COURTS DOT CA DOT GOV</t>
        </is>
      </c>
      <c r="E2" s="7" t="inlineStr">
        <is>
          <t>DV-140[0].#pageSet[0].Page1[0].FooterSub[0].Footer[0].Button1[0]</t>
        </is>
      </c>
      <c r="F2" s="7" t="inlineStr">
        <is>
          <t>button</t>
        </is>
      </c>
      <c r="G2" s="7" t="inlineStr"/>
      <c r="H2" s="7" t="inlineStr"/>
      <c r="I2" s="7" t="inlineStr">
        <is>
          <t>114, 729, 164, 738</t>
        </is>
      </c>
      <c r="J2" s="7" t="inlineStr">
        <is>
          <t>ignore (UI button)</t>
        </is>
      </c>
      <c r="K2" s="7" t="inlineStr"/>
      <c r="L2" s="7" t="inlineStr"/>
      <c r="M2" s="7" t="inlineStr"/>
      <c r="N2" s="7" t="inlineStr">
        <is>
          <t>Print/Save/Clear button. Do not fill.</t>
        </is>
      </c>
      <c r="O2" s="7" t="inlineStr"/>
    </row>
    <row r="3">
      <c r="A3" s="5" t="n">
        <v>2</v>
      </c>
      <c r="B3" s="5" t="n">
        <v>1</v>
      </c>
      <c r="C3" s="5" t="inlineStr">
        <is>
          <t>Caption</t>
        </is>
      </c>
      <c r="D3" s="5" t="inlineStr">
        <is>
          <t>Case Number</t>
        </is>
      </c>
      <c r="E3" s="5" t="inlineStr">
        <is>
          <t>DV-140[0].Page1[0].RightCaption[0].CaseNumber_ft[0]</t>
        </is>
      </c>
      <c r="F3" s="5" t="inlineStr">
        <is>
          <t>text</t>
        </is>
      </c>
      <c r="G3" s="5" t="inlineStr"/>
      <c r="H3" s="5" t="inlineStr"/>
      <c r="I3" s="5" t="inlineStr">
        <is>
          <t>399, 49, 573, 66</t>
        </is>
      </c>
      <c r="J3" s="5" t="inlineStr">
        <is>
          <t>question</t>
        </is>
      </c>
      <c r="K3" s="5" t="inlineStr">
        <is>
          <t>S3,S4</t>
        </is>
      </c>
      <c r="L3" s="5">
        <f> S4</f>
        <v/>
      </c>
      <c r="M3" s="5" t="inlineStr">
        <is>
          <t>S3 == "update"; otherwise blank for clerk</t>
        </is>
      </c>
      <c r="N3" s="5" t="inlineStr"/>
      <c r="O3" s="5" t="inlineStr"/>
    </row>
    <row r="4">
      <c r="A4" s="6" t="n">
        <v>3</v>
      </c>
      <c r="B4" s="6" t="n">
        <v>1</v>
      </c>
      <c r="C4" s="6" t="inlineStr">
        <is>
          <t>Caption</t>
        </is>
      </c>
      <c r="D4" s="6" t="inlineStr">
        <is>
          <t>Form DV-110</t>
        </is>
      </c>
      <c r="E4" s="6" t="inlineStr">
        <is>
          <t>DV-140[0].Page1[0].DV140_cb[0]</t>
        </is>
      </c>
      <c r="F4" s="6" t="inlineStr">
        <is>
          <t>checkbox</t>
        </is>
      </c>
      <c r="G4" s="6" t="inlineStr">
        <is>
          <t>1</t>
        </is>
      </c>
      <c r="H4" s="6" t="inlineStr"/>
      <c r="I4" s="6" t="inlineStr">
        <is>
          <t>217, 94, 226, 103</t>
        </is>
      </c>
      <c r="J4" s="6" t="inlineStr">
        <is>
          <t>derived</t>
        </is>
      </c>
      <c r="K4" s="6" t="inlineStr">
        <is>
          <t>(packet)</t>
        </is>
      </c>
      <c r="L4" s="6" t="inlineStr">
        <is>
          <t>check on the filing copy (attached to DV-110)</t>
        </is>
      </c>
      <c r="M4" s="6" t="inlineStr"/>
      <c r="N4" s="6" t="inlineStr">
        <is>
          <t>Export 1.</t>
        </is>
      </c>
      <c r="O4" s="6" t="inlineStr"/>
    </row>
    <row r="5">
      <c r="A5" s="6" t="n">
        <v>4</v>
      </c>
      <c r="B5" s="6" t="n">
        <v>1</v>
      </c>
      <c r="C5" s="6" t="inlineStr">
        <is>
          <t>Caption</t>
        </is>
      </c>
      <c r="D5" s="6" t="inlineStr">
        <is>
          <t>Form DV-130</t>
        </is>
      </c>
      <c r="E5" s="6" t="inlineStr">
        <is>
          <t>DV-140[0].Page1[0].DV140_cb[1]</t>
        </is>
      </c>
      <c r="F5" s="6" t="inlineStr">
        <is>
          <t>checkbox</t>
        </is>
      </c>
      <c r="G5" s="6" t="inlineStr">
        <is>
          <t>2</t>
        </is>
      </c>
      <c r="H5" s="6" t="inlineStr"/>
      <c r="I5" s="6" t="inlineStr">
        <is>
          <t>310, 94, 319, 103</t>
        </is>
      </c>
      <c r="J5" s="6" t="inlineStr">
        <is>
          <t>derived</t>
        </is>
      </c>
      <c r="K5" s="6" t="inlineStr">
        <is>
          <t>(packet)</t>
        </is>
      </c>
      <c r="L5" s="6" t="inlineStr">
        <is>
          <t>check on the after-hearing copy (attached to DV-130)</t>
        </is>
      </c>
      <c r="M5" s="6" t="inlineStr"/>
      <c r="N5" s="6" t="inlineStr">
        <is>
          <t>Export 2.</t>
        </is>
      </c>
      <c r="O5" s="6" t="inlineStr"/>
    </row>
    <row r="6">
      <c r="A6" s="5" t="n">
        <v>5</v>
      </c>
      <c r="B6" s="5" t="n">
        <v>1</v>
      </c>
      <c r="C6" s="5" t="inlineStr">
        <is>
          <t>1</t>
        </is>
      </c>
      <c r="D6" s="5" t="inlineStr">
        <is>
          <t>Name of Protected Person:</t>
        </is>
      </c>
      <c r="E6" s="5" t="inlineStr">
        <is>
          <t>DV-140[0].Page1[0].List1[0].Li1[0].FullName_ft[0]</t>
        </is>
      </c>
      <c r="F6" s="5" t="inlineStr">
        <is>
          <t>text</t>
        </is>
      </c>
      <c r="G6" s="5" t="inlineStr"/>
      <c r="H6" s="5" t="inlineStr"/>
      <c r="I6" s="5" t="inlineStr">
        <is>
          <t>220, 137, 575, 153</t>
        </is>
      </c>
      <c r="J6" s="5" t="inlineStr">
        <is>
          <t>question</t>
        </is>
      </c>
      <c r="K6" s="5" t="inlineStr">
        <is>
          <t>P1</t>
        </is>
      </c>
      <c r="L6" s="5">
        <f> P1</f>
        <v/>
      </c>
      <c r="M6" s="5" t="inlineStr"/>
      <c r="N6" s="5" t="inlineStr"/>
      <c r="O6" s="5" t="inlineStr"/>
    </row>
    <row r="7">
      <c r="A7" s="5" t="n">
        <v>6</v>
      </c>
      <c r="B7" s="5" t="n">
        <v>1</v>
      </c>
      <c r="C7" s="5" t="inlineStr">
        <is>
          <t>1</t>
        </is>
      </c>
      <c r="D7" s="5" t="inlineStr">
        <is>
          <t>Parent</t>
        </is>
      </c>
      <c r="E7" s="5" t="inlineStr">
        <is>
          <t>DV-140[0].Page1[0].List1[0].Li1[0].CheckBoxRightCaptionitem1[0]</t>
        </is>
      </c>
      <c r="F7" s="5" t="inlineStr">
        <is>
          <t>checkbox</t>
        </is>
      </c>
      <c r="G7" s="5" t="inlineStr">
        <is>
          <t>1</t>
        </is>
      </c>
      <c r="H7" s="5" t="inlineStr"/>
      <c r="I7" s="5" t="inlineStr">
        <is>
          <t>179, 160, 188, 169</t>
        </is>
      </c>
      <c r="J7" s="5" t="inlineStr">
        <is>
          <t>question</t>
        </is>
      </c>
      <c r="K7" s="5" t="inlineStr">
        <is>
          <t>PR11</t>
        </is>
      </c>
      <c r="L7" s="5" t="inlineStr">
        <is>
          <t>check if PR11 == "parent"</t>
        </is>
      </c>
      <c r="M7" s="5" t="inlineStr"/>
      <c r="N7" s="5" t="inlineStr"/>
      <c r="O7" s="5" t="inlineStr"/>
    </row>
    <row r="8">
      <c r="A8" s="5" t="n">
        <v>7</v>
      </c>
      <c r="B8" s="5" t="n">
        <v>1</v>
      </c>
      <c r="C8" s="5" t="inlineStr">
        <is>
          <t>1</t>
        </is>
      </c>
      <c r="D8" s="5" t="inlineStr">
        <is>
          <t>Legal Guardian</t>
        </is>
      </c>
      <c r="E8" s="5" t="inlineStr">
        <is>
          <t>DV-140[0].Page1[0].List1[0].Li1[0].CheckBoxRightCaptionitem1[1]</t>
        </is>
      </c>
      <c r="F8" s="5" t="inlineStr">
        <is>
          <t>checkbox</t>
        </is>
      </c>
      <c r="G8" s="5" t="inlineStr">
        <is>
          <t>11</t>
        </is>
      </c>
      <c r="H8" s="5" t="inlineStr"/>
      <c r="I8" s="5" t="inlineStr">
        <is>
          <t>234, 160, 243, 169</t>
        </is>
      </c>
      <c r="J8" s="5" t="inlineStr">
        <is>
          <t>question</t>
        </is>
      </c>
      <c r="K8" s="5" t="inlineStr">
        <is>
          <t>PR11</t>
        </is>
      </c>
      <c r="L8" s="5" t="inlineStr">
        <is>
          <t>check if PR11 == "legal guardian"</t>
        </is>
      </c>
      <c r="M8" s="5" t="inlineStr"/>
      <c r="N8" s="5" t="inlineStr"/>
      <c r="O8" s="5" t="inlineStr"/>
    </row>
    <row r="9">
      <c r="A9" s="5" t="n">
        <v>8</v>
      </c>
      <c r="B9" s="5" t="n">
        <v>1</v>
      </c>
      <c r="C9" s="5" t="inlineStr">
        <is>
          <t>1</t>
        </is>
      </c>
      <c r="D9" s="5" t="inlineStr">
        <is>
          <t>Other (describe):</t>
        </is>
      </c>
      <c r="E9" s="5" t="inlineStr">
        <is>
          <t>DV-140[0].Page1[0].List1[0].Li1[0].CheckBoxRightCaptionitem1[2]</t>
        </is>
      </c>
      <c r="F9" s="5" t="inlineStr">
        <is>
          <t>checkbox</t>
        </is>
      </c>
      <c r="G9" s="5" t="inlineStr">
        <is>
          <t>3</t>
        </is>
      </c>
      <c r="H9" s="5" t="inlineStr"/>
      <c r="I9" s="5" t="inlineStr">
        <is>
          <t>327, 160, 336, 169</t>
        </is>
      </c>
      <c r="J9" s="5" t="inlineStr">
        <is>
          <t>question</t>
        </is>
      </c>
      <c r="K9" s="5" t="inlineStr">
        <is>
          <t>PR11</t>
        </is>
      </c>
      <c r="L9" s="5" t="inlineStr">
        <is>
          <t>check if PR11 == "other"</t>
        </is>
      </c>
      <c r="M9" s="5" t="inlineStr"/>
      <c r="N9" s="5" t="inlineStr"/>
      <c r="O9" s="5" t="inlineStr"/>
    </row>
    <row r="10">
      <c r="A10" s="5" t="n">
        <v>9</v>
      </c>
      <c r="B10" s="5" t="n">
        <v>1</v>
      </c>
      <c r="C10" s="5" t="inlineStr">
        <is>
          <t>1</t>
        </is>
      </c>
      <c r="D10" s="5" t="inlineStr">
        <is>
          <t>describe other</t>
        </is>
      </c>
      <c r="E10" s="5" t="inlineStr">
        <is>
          <t>DV-140[0].Page1[0].List1[0].Li1[0].TextField[0]</t>
        </is>
      </c>
      <c r="F10" s="5" t="inlineStr">
        <is>
          <t>text</t>
        </is>
      </c>
      <c r="G10" s="5" t="inlineStr"/>
      <c r="H10" s="5" t="inlineStr"/>
      <c r="I10" s="5" t="inlineStr">
        <is>
          <t>421, 160, 575, 175</t>
        </is>
      </c>
      <c r="J10" s="5" t="inlineStr">
        <is>
          <t>question</t>
        </is>
      </c>
      <c r="K10" s="5" t="inlineStr">
        <is>
          <t>PR11</t>
        </is>
      </c>
      <c r="L10" s="5">
        <f> PR11.otherText</f>
        <v/>
      </c>
      <c r="M10" s="5" t="inlineStr">
        <is>
          <t>PR11 == "other"</t>
        </is>
      </c>
      <c r="N10" s="5" t="inlineStr"/>
      <c r="O10" s="5" t="inlineStr"/>
    </row>
    <row r="11">
      <c r="A11" s="5" t="n">
        <v>10</v>
      </c>
      <c r="B11" s="5" t="n">
        <v>1</v>
      </c>
      <c r="C11" s="5" t="inlineStr">
        <is>
          <t>2</t>
        </is>
      </c>
      <c r="D11" s="5" t="inlineStr">
        <is>
          <t>Name of Restrained Person:</t>
        </is>
      </c>
      <c r="E11" s="5" t="inlineStr">
        <is>
          <t>DV-140[0].Page1[0].List2[0].LI1[0].FullName_ft1[0]</t>
        </is>
      </c>
      <c r="F11" s="5" t="inlineStr">
        <is>
          <t>text</t>
        </is>
      </c>
      <c r="G11" s="5" t="inlineStr"/>
      <c r="H11" s="5" t="inlineStr"/>
      <c r="I11" s="5" t="inlineStr">
        <is>
          <t>226, 228, 576, 244</t>
        </is>
      </c>
      <c r="J11" s="5" t="inlineStr">
        <is>
          <t>question</t>
        </is>
      </c>
      <c r="K11" s="5" t="inlineStr">
        <is>
          <t>R1</t>
        </is>
      </c>
      <c r="L11" s="5">
        <f> R1</f>
        <v/>
      </c>
      <c r="M11" s="5" t="inlineStr"/>
      <c r="N11" s="5" t="inlineStr"/>
      <c r="O11" s="5" t="inlineStr"/>
    </row>
    <row r="12">
      <c r="A12" s="5" t="n">
        <v>11</v>
      </c>
      <c r="B12" s="5" t="n">
        <v>1</v>
      </c>
      <c r="C12" s="5" t="inlineStr">
        <is>
          <t>2</t>
        </is>
      </c>
      <c r="D12" s="5" t="inlineStr">
        <is>
          <t>Parent</t>
        </is>
      </c>
      <c r="E12" s="5" t="inlineStr">
        <is>
          <t>DV-140[0].Page1[0].List2[0].LI1[0].CheckBoxRightCaptionitemitem2[0]</t>
        </is>
      </c>
      <c r="F12" s="5" t="inlineStr">
        <is>
          <t>checkbox</t>
        </is>
      </c>
      <c r="G12" s="5" t="inlineStr">
        <is>
          <t>1</t>
        </is>
      </c>
      <c r="H12" s="5" t="inlineStr"/>
      <c r="I12" s="5" t="inlineStr">
        <is>
          <t>179, 250, 188, 259</t>
        </is>
      </c>
      <c r="J12" s="5" t="inlineStr">
        <is>
          <t>question</t>
        </is>
      </c>
      <c r="K12" s="5" t="inlineStr">
        <is>
          <t>PR12</t>
        </is>
      </c>
      <c r="L12" s="5" t="inlineStr">
        <is>
          <t>check if PR12 == "parent"</t>
        </is>
      </c>
      <c r="M12" s="5" t="inlineStr"/>
      <c r="N12" s="5" t="inlineStr"/>
      <c r="O12" s="5" t="inlineStr"/>
    </row>
    <row r="13">
      <c r="A13" s="5" t="n">
        <v>12</v>
      </c>
      <c r="B13" s="5" t="n">
        <v>1</v>
      </c>
      <c r="C13" s="5" t="inlineStr">
        <is>
          <t>2</t>
        </is>
      </c>
      <c r="D13" s="5" t="inlineStr">
        <is>
          <t>Legal Guardian</t>
        </is>
      </c>
      <c r="E13" s="5" t="inlineStr">
        <is>
          <t>DV-140[0].Page1[0].List2[0].LI1[0].CheckBoxRightCaptionitem2[0]</t>
        </is>
      </c>
      <c r="F13" s="5" t="inlineStr">
        <is>
          <t>checkbox</t>
        </is>
      </c>
      <c r="G13" s="5" t="inlineStr">
        <is>
          <t>1</t>
        </is>
      </c>
      <c r="H13" s="5" t="inlineStr"/>
      <c r="I13" s="5" t="inlineStr">
        <is>
          <t>234, 250, 243, 259</t>
        </is>
      </c>
      <c r="J13" s="5" t="inlineStr">
        <is>
          <t>question</t>
        </is>
      </c>
      <c r="K13" s="5" t="inlineStr">
        <is>
          <t>PR12</t>
        </is>
      </c>
      <c r="L13" s="5" t="inlineStr">
        <is>
          <t>check if PR12 == "legal guardian"</t>
        </is>
      </c>
      <c r="M13" s="5" t="inlineStr"/>
      <c r="N13" s="5" t="inlineStr"/>
      <c r="O13" s="5" t="inlineStr"/>
    </row>
    <row r="14">
      <c r="A14" s="5" t="n">
        <v>13</v>
      </c>
      <c r="B14" s="5" t="n">
        <v>1</v>
      </c>
      <c r="C14" s="5" t="inlineStr">
        <is>
          <t>2</t>
        </is>
      </c>
      <c r="D14" s="5" t="inlineStr">
        <is>
          <t>Other (describe):</t>
        </is>
      </c>
      <c r="E14" s="5" t="inlineStr">
        <is>
          <t>DV-140[0].Page1[0].List2[0].LI1[0].CheckBoxRightCaptionitem2[1]</t>
        </is>
      </c>
      <c r="F14" s="5" t="inlineStr">
        <is>
          <t>checkbox</t>
        </is>
      </c>
      <c r="G14" s="5" t="inlineStr">
        <is>
          <t>3</t>
        </is>
      </c>
      <c r="H14" s="5" t="inlineStr"/>
      <c r="I14" s="5" t="inlineStr">
        <is>
          <t>326, 250, 335, 259</t>
        </is>
      </c>
      <c r="J14" s="5" t="inlineStr">
        <is>
          <t>question</t>
        </is>
      </c>
      <c r="K14" s="5" t="inlineStr">
        <is>
          <t>PR12</t>
        </is>
      </c>
      <c r="L14" s="5" t="inlineStr">
        <is>
          <t>check if PR12 == "other"</t>
        </is>
      </c>
      <c r="M14" s="5" t="inlineStr"/>
      <c r="N14" s="5" t="inlineStr"/>
      <c r="O14" s="5" t="inlineStr"/>
    </row>
    <row r="15">
      <c r="A15" s="5" t="n">
        <v>14</v>
      </c>
      <c r="B15" s="5" t="n">
        <v>1</v>
      </c>
      <c r="C15" s="5" t="inlineStr">
        <is>
          <t>2</t>
        </is>
      </c>
      <c r="D15" s="5" t="inlineStr">
        <is>
          <t>describe other</t>
        </is>
      </c>
      <c r="E15" s="5" t="inlineStr">
        <is>
          <t>DV-140[0].Page1[0].List2[0].LI1[0].TextField[0]</t>
        </is>
      </c>
      <c r="F15" s="5" t="inlineStr">
        <is>
          <t>text</t>
        </is>
      </c>
      <c r="G15" s="5" t="inlineStr"/>
      <c r="H15" s="5" t="inlineStr"/>
      <c r="I15" s="5" t="inlineStr">
        <is>
          <t>420, 250, 575, 263</t>
        </is>
      </c>
      <c r="J15" s="5" t="inlineStr">
        <is>
          <t>question</t>
        </is>
      </c>
      <c r="K15" s="5" t="inlineStr">
        <is>
          <t>PR12</t>
        </is>
      </c>
      <c r="L15" s="5">
        <f> PR12.otherText</f>
        <v/>
      </c>
      <c r="M15" s="5" t="inlineStr">
        <is>
          <t>PR12 == "other"</t>
        </is>
      </c>
      <c r="N15" s="5" t="inlineStr"/>
      <c r="O15" s="5" t="inlineStr"/>
    </row>
    <row r="16">
      <c r="A16" s="6" t="n">
        <v>15</v>
      </c>
      <c r="B16" s="6" t="n">
        <v>1</v>
      </c>
      <c r="C16" s="6" t="inlineStr">
        <is>
          <t>3</t>
        </is>
      </c>
      <c r="D16" s="6" t="inlineStr">
        <is>
          <t>Children Under 18 Years Old</t>
        </is>
      </c>
      <c r="E16" s="6" t="inlineStr">
        <is>
          <t>DV-140[0].Page1[0].List3[0].CheckBoxRightCaption[0]</t>
        </is>
      </c>
      <c r="F16" s="6" t="inlineStr">
        <is>
          <t>checkbox</t>
        </is>
      </c>
      <c r="G16" s="6" t="inlineStr">
        <is>
          <t>1</t>
        </is>
      </c>
      <c r="H16" s="6" t="inlineStr"/>
      <c r="I16" s="6" t="inlineStr">
        <is>
          <t>63, 318, 72, 327</t>
        </is>
      </c>
      <c r="J16" s="6" t="inlineStr">
        <is>
          <t>derived</t>
        </is>
      </c>
      <c r="K16" s="6" t="inlineStr">
        <is>
          <t>PR7</t>
        </is>
      </c>
      <c r="L16" s="6" t="inlineStr">
        <is>
          <t>check if kids.length &gt; 0</t>
        </is>
      </c>
      <c r="M16" s="6" t="inlineStr"/>
      <c r="N16" s="6" t="inlineStr"/>
      <c r="O16" s="6" t="inlineStr"/>
    </row>
    <row r="17">
      <c r="A17" s="6" t="n">
        <v>16</v>
      </c>
      <c r="B17" s="6" t="n">
        <v>1</v>
      </c>
      <c r="C17" s="6" t="inlineStr">
        <is>
          <t>3 row 1</t>
        </is>
      </c>
      <c r="D17" s="6" t="inlineStr">
        <is>
          <t>Name:</t>
        </is>
      </c>
      <c r="E17" s="6" t="inlineStr">
        <is>
          <t>DV-140[0].Page1[0].List3[0].Li1[0].TextField2[0]</t>
        </is>
      </c>
      <c r="F17" s="6" t="inlineStr">
        <is>
          <t>text</t>
        </is>
      </c>
      <c r="G17" s="6" t="inlineStr"/>
      <c r="H17" s="6" t="inlineStr"/>
      <c r="I17" s="6" t="inlineStr">
        <is>
          <t>111, 333, 368, 348</t>
        </is>
      </c>
      <c r="J17" s="6" t="inlineStr">
        <is>
          <t>derived</t>
        </is>
      </c>
      <c r="K17" s="6" t="inlineStr">
        <is>
          <t>PR1,PR2,PR7</t>
        </is>
      </c>
      <c r="L17" s="6">
        <f> kids[0].PR1</f>
        <v/>
      </c>
      <c r="M17" s="6" t="inlineStr">
        <is>
          <t>kids.length &gt; 0</t>
        </is>
      </c>
      <c r="N17" s="6" t="inlineStr">
        <is>
          <t>kids = roster.where(PR7=="Y" and age(PR2) &lt; 18).sortBy(PR2)</t>
        </is>
      </c>
      <c r="O17" s="6" t="inlineStr"/>
    </row>
    <row r="18">
      <c r="A18" s="6" t="n">
        <v>17</v>
      </c>
      <c r="B18" s="6" t="n">
        <v>1</v>
      </c>
      <c r="C18" s="6" t="inlineStr">
        <is>
          <t>3 row 1</t>
        </is>
      </c>
      <c r="D18" s="6" t="inlineStr">
        <is>
          <t>Date of birth:</t>
        </is>
      </c>
      <c r="E18" s="6" t="inlineStr">
        <is>
          <t>DV-140[0].Page1[0].List3[0].Li1[0].TextField34[0]</t>
        </is>
      </c>
      <c r="F18" s="6" t="inlineStr">
        <is>
          <t>text</t>
        </is>
      </c>
      <c r="G18" s="6" t="inlineStr"/>
      <c r="H18" s="6" t="inlineStr"/>
      <c r="I18" s="6" t="inlineStr">
        <is>
          <t>441, 334, 576, 348</t>
        </is>
      </c>
      <c r="J18" s="6" t="inlineStr">
        <is>
          <t>derived</t>
        </is>
      </c>
      <c r="K18" s="6" t="inlineStr">
        <is>
          <t>PR2</t>
        </is>
      </c>
      <c r="L18" s="6">
        <f> fmtDate(kids[0].PR2)</f>
        <v/>
      </c>
      <c r="M18" s="6" t="inlineStr">
        <is>
          <t>kids.length &gt; 0</t>
        </is>
      </c>
      <c r="N18" s="6" t="inlineStr"/>
      <c r="O18" s="6" t="inlineStr"/>
    </row>
    <row r="19">
      <c r="A19" s="6" t="n">
        <v>18</v>
      </c>
      <c r="B19" s="6" t="n">
        <v>1</v>
      </c>
      <c r="C19" s="6" t="inlineStr">
        <is>
          <t>3 row 2</t>
        </is>
      </c>
      <c r="D19" s="6" t="inlineStr">
        <is>
          <t>Name:</t>
        </is>
      </c>
      <c r="E19" s="6" t="inlineStr">
        <is>
          <t>DV-140[0].Page1[0].List3[0].Li2[0].TextField2[0]</t>
        </is>
      </c>
      <c r="F19" s="6" t="inlineStr">
        <is>
          <t>text</t>
        </is>
      </c>
      <c r="G19" s="6" t="inlineStr"/>
      <c r="H19" s="6" t="inlineStr"/>
      <c r="I19" s="6" t="inlineStr">
        <is>
          <t>111, 350, 368, 365</t>
        </is>
      </c>
      <c r="J19" s="6" t="inlineStr">
        <is>
          <t>derived</t>
        </is>
      </c>
      <c r="K19" s="6" t="inlineStr">
        <is>
          <t>PR1,PR2,PR7</t>
        </is>
      </c>
      <c r="L19" s="6">
        <f> kids[1].PR1</f>
        <v/>
      </c>
      <c r="M19" s="6" t="inlineStr">
        <is>
          <t>kids.length &gt; 1</t>
        </is>
      </c>
      <c r="N19" s="6" t="inlineStr"/>
      <c r="O19" s="6" t="inlineStr"/>
    </row>
    <row r="20">
      <c r="A20" s="6" t="n">
        <v>19</v>
      </c>
      <c r="B20" s="6" t="n">
        <v>1</v>
      </c>
      <c r="C20" s="6" t="inlineStr">
        <is>
          <t>3 row 2</t>
        </is>
      </c>
      <c r="D20" s="6" t="inlineStr">
        <is>
          <t>Date of birth:</t>
        </is>
      </c>
      <c r="E20" s="6" t="inlineStr">
        <is>
          <t>DV-140[0].Page1[0].List3[0].Li2[0].TextField35[0]</t>
        </is>
      </c>
      <c r="F20" s="6" t="inlineStr">
        <is>
          <t>text</t>
        </is>
      </c>
      <c r="G20" s="6" t="inlineStr"/>
      <c r="H20" s="6" t="inlineStr"/>
      <c r="I20" s="6" t="inlineStr">
        <is>
          <t>441, 350, 576, 365</t>
        </is>
      </c>
      <c r="J20" s="6" t="inlineStr">
        <is>
          <t>derived</t>
        </is>
      </c>
      <c r="K20" s="6" t="inlineStr">
        <is>
          <t>PR2</t>
        </is>
      </c>
      <c r="L20" s="6">
        <f> fmtDate(kids[1].PR2)</f>
        <v/>
      </c>
      <c r="M20" s="6" t="inlineStr">
        <is>
          <t>kids.length &gt; 1</t>
        </is>
      </c>
      <c r="N20" s="6" t="inlineStr"/>
      <c r="O20" s="6" t="inlineStr"/>
    </row>
    <row r="21">
      <c r="A21" s="6" t="n">
        <v>20</v>
      </c>
      <c r="B21" s="6" t="n">
        <v>1</v>
      </c>
      <c r="C21" s="6" t="inlineStr">
        <is>
          <t>3 row 3</t>
        </is>
      </c>
      <c r="D21" s="6" t="inlineStr">
        <is>
          <t>Name:</t>
        </is>
      </c>
      <c r="E21" s="6" t="inlineStr">
        <is>
          <t>DV-140[0].Page1[0].List3[0].Li3[0].TextField2[0]</t>
        </is>
      </c>
      <c r="F21" s="6" t="inlineStr">
        <is>
          <t>text</t>
        </is>
      </c>
      <c r="G21" s="6" t="inlineStr"/>
      <c r="H21" s="6" t="inlineStr"/>
      <c r="I21" s="6" t="inlineStr">
        <is>
          <t>111, 368, 368, 382</t>
        </is>
      </c>
      <c r="J21" s="6" t="inlineStr">
        <is>
          <t>derived</t>
        </is>
      </c>
      <c r="K21" s="6" t="inlineStr">
        <is>
          <t>PR1,PR2,PR7</t>
        </is>
      </c>
      <c r="L21" s="6">
        <f> kids[2].PR1</f>
        <v/>
      </c>
      <c r="M21" s="6" t="inlineStr">
        <is>
          <t>kids.length &gt; 2</t>
        </is>
      </c>
      <c r="N21" s="6" t="inlineStr"/>
      <c r="O21" s="6" t="inlineStr"/>
    </row>
    <row r="22">
      <c r="A22" s="6" t="n">
        <v>21</v>
      </c>
      <c r="B22" s="6" t="n">
        <v>1</v>
      </c>
      <c r="C22" s="6" t="inlineStr">
        <is>
          <t>3 row 3</t>
        </is>
      </c>
      <c r="D22" s="6" t="inlineStr">
        <is>
          <t>Date of birth:</t>
        </is>
      </c>
      <c r="E22" s="6" t="inlineStr">
        <is>
          <t>DV-140[0].Page1[0].List3[0].Li3[0].TextField36[0]</t>
        </is>
      </c>
      <c r="F22" s="6" t="inlineStr">
        <is>
          <t>text</t>
        </is>
      </c>
      <c r="G22" s="6" t="inlineStr"/>
      <c r="H22" s="6" t="inlineStr"/>
      <c r="I22" s="6" t="inlineStr">
        <is>
          <t>441, 367, 576, 382</t>
        </is>
      </c>
      <c r="J22" s="6" t="inlineStr">
        <is>
          <t>derived</t>
        </is>
      </c>
      <c r="K22" s="6" t="inlineStr">
        <is>
          <t>PR2</t>
        </is>
      </c>
      <c r="L22" s="6">
        <f> fmtDate(kids[2].PR2)</f>
        <v/>
      </c>
      <c r="M22" s="6" t="inlineStr">
        <is>
          <t>kids.length &gt; 2</t>
        </is>
      </c>
      <c r="N22" s="6" t="inlineStr"/>
      <c r="O22" s="6" t="inlineStr"/>
    </row>
    <row r="23">
      <c r="A23" s="6" t="n">
        <v>22</v>
      </c>
      <c r="B23" s="6" t="n">
        <v>1</v>
      </c>
      <c r="C23" s="6" t="inlineStr">
        <is>
          <t>3 row 4</t>
        </is>
      </c>
      <c r="D23" s="6" t="inlineStr">
        <is>
          <t>Name:</t>
        </is>
      </c>
      <c r="E23" s="6" t="inlineStr">
        <is>
          <t>DV-140[0].Page1[0].List3[0].Li4[0].TextField2[0]</t>
        </is>
      </c>
      <c r="F23" s="6" t="inlineStr">
        <is>
          <t>text</t>
        </is>
      </c>
      <c r="G23" s="6" t="inlineStr"/>
      <c r="H23" s="6" t="inlineStr"/>
      <c r="I23" s="6" t="inlineStr">
        <is>
          <t>111, 386, 368, 401</t>
        </is>
      </c>
      <c r="J23" s="6" t="inlineStr">
        <is>
          <t>derived</t>
        </is>
      </c>
      <c r="K23" s="6" t="inlineStr">
        <is>
          <t>PR1,PR2,PR7</t>
        </is>
      </c>
      <c r="L23" s="6">
        <f> kids[3].PR1</f>
        <v/>
      </c>
      <c r="M23" s="6" t="inlineStr">
        <is>
          <t>kids.length &gt; 3</t>
        </is>
      </c>
      <c r="N23" s="6" t="inlineStr"/>
      <c r="O23" s="6" t="inlineStr"/>
    </row>
    <row r="24">
      <c r="A24" s="6" t="n">
        <v>23</v>
      </c>
      <c r="B24" s="6" t="n">
        <v>1</v>
      </c>
      <c r="C24" s="6" t="inlineStr">
        <is>
          <t>3 row 4</t>
        </is>
      </c>
      <c r="D24" s="6" t="inlineStr">
        <is>
          <t>Date of birth:</t>
        </is>
      </c>
      <c r="E24" s="6" t="inlineStr">
        <is>
          <t>DV-140[0].Page1[0].List3[0].Li4[0].TextField37[0]</t>
        </is>
      </c>
      <c r="F24" s="6" t="inlineStr">
        <is>
          <t>text</t>
        </is>
      </c>
      <c r="G24" s="6" t="inlineStr"/>
      <c r="H24" s="6" t="inlineStr"/>
      <c r="I24" s="6" t="inlineStr">
        <is>
          <t>441, 386, 576, 401</t>
        </is>
      </c>
      <c r="J24" s="6" t="inlineStr">
        <is>
          <t>derived</t>
        </is>
      </c>
      <c r="K24" s="6" t="inlineStr">
        <is>
          <t>PR2</t>
        </is>
      </c>
      <c r="L24" s="6">
        <f> fmtDate(kids[3].PR2)</f>
        <v/>
      </c>
      <c r="M24" s="6" t="inlineStr">
        <is>
          <t>kids.length &gt; 3</t>
        </is>
      </c>
      <c r="N24" s="6" t="inlineStr"/>
      <c r="O24" s="6" t="inlineStr"/>
    </row>
    <row r="25">
      <c r="A25" s="6" t="n">
        <v>24</v>
      </c>
      <c r="B25" s="6" t="n">
        <v>1</v>
      </c>
      <c r="C25" s="6" t="inlineStr">
        <is>
          <t>3 more</t>
        </is>
      </c>
      <c r="D25" s="6" t="inlineStr">
        <is>
          <t>(Check here if you have more children to list. On a separate piece of paper write “DV-140, Children” at the top and attach it to this form.)</t>
        </is>
      </c>
      <c r="E25" s="6" t="inlineStr">
        <is>
          <t>DV-140[0].Page1[0].List3[0].MultilineCheckBox[0]</t>
        </is>
      </c>
      <c r="F25" s="6" t="inlineStr">
        <is>
          <t>checkbox</t>
        </is>
      </c>
      <c r="G25" s="6" t="inlineStr">
        <is>
          <t>1</t>
        </is>
      </c>
      <c r="H25" s="6" t="inlineStr"/>
      <c r="I25" s="6" t="inlineStr">
        <is>
          <t>63, 406, 72, 415</t>
        </is>
      </c>
      <c r="J25" s="6" t="inlineStr">
        <is>
          <t>derived</t>
        </is>
      </c>
      <c r="K25" s="6" t="inlineStr">
        <is>
          <t>PR7</t>
        </is>
      </c>
      <c r="L25" s="6" t="inlineStr">
        <is>
          <t>check if kids.length &gt; 4</t>
        </is>
      </c>
      <c r="M25" s="6" t="inlineStr"/>
      <c r="N25" s="6" t="inlineStr">
        <is>
          <t>Attach the sheet "DV-140, Children".</t>
        </is>
      </c>
      <c r="O25" s="6" t="inlineStr"/>
    </row>
    <row r="26">
      <c r="A26" s="8" t="n">
        <v>25</v>
      </c>
      <c r="B26" s="8" t="n">
        <v>1</v>
      </c>
      <c r="C26" s="8" t="inlineStr">
        <is>
          <t>4 (court)</t>
        </is>
      </c>
      <c r="D26" s="8" t="inlineStr">
        <is>
          <t>No Travel With Children Without Permission</t>
        </is>
      </c>
      <c r="E26" s="8" t="inlineStr">
        <is>
          <t>DV-140[0].Page1[0].List4[0].CheckBoxRightCaption[0]</t>
        </is>
      </c>
      <c r="F26" s="8" t="inlineStr">
        <is>
          <t>checkbox</t>
        </is>
      </c>
      <c r="G26" s="8" t="inlineStr">
        <is>
          <t>1</t>
        </is>
      </c>
      <c r="H26" s="8" t="inlineStr"/>
      <c r="I26" s="8" t="inlineStr">
        <is>
          <t>62, 493, 71, 502</t>
        </is>
      </c>
      <c r="J26" s="8" t="inlineStr">
        <is>
          <t>court/clerk</t>
        </is>
      </c>
      <c r="K26" s="8" t="inlineStr"/>
      <c r="L26" s="8" t="inlineStr"/>
      <c r="M26" s="8" t="inlineStr"/>
      <c r="N26" s="8" t="inlineStr">
        <is>
          <t>Judge completes.</t>
        </is>
      </c>
      <c r="O26" s="8" t="inlineStr"/>
    </row>
    <row r="27">
      <c r="A27" s="8" t="n">
        <v>26</v>
      </c>
      <c r="B27" s="8" t="n">
        <v>1</v>
      </c>
      <c r="C27" s="8" t="inlineStr">
        <is>
          <t>4 (court)</t>
        </is>
      </c>
      <c r="D27" s="8" t="inlineStr">
        <is>
          <t>Person in</t>
        </is>
      </c>
      <c r="E27" s="8" t="inlineStr">
        <is>
          <t>DV-140[0].Page1[0].List4[0].CheckBoxRightCaption1[0]</t>
        </is>
      </c>
      <c r="F27" s="8" t="inlineStr">
        <is>
          <t>checkbox</t>
        </is>
      </c>
      <c r="G27" s="8" t="inlineStr">
        <is>
          <t>1</t>
        </is>
      </c>
      <c r="H27" s="8" t="inlineStr"/>
      <c r="I27" s="8" t="inlineStr">
        <is>
          <t>63, 518, 72, 527</t>
        </is>
      </c>
      <c r="J27" s="8" t="inlineStr">
        <is>
          <t>court/clerk</t>
        </is>
      </c>
      <c r="K27" s="8" t="inlineStr"/>
      <c r="L27" s="8" t="inlineStr"/>
      <c r="M27" s="8" t="inlineStr"/>
      <c r="N27" s="8" t="inlineStr">
        <is>
          <t>Judge completes.</t>
        </is>
      </c>
      <c r="O27" s="8" t="inlineStr"/>
    </row>
    <row r="28">
      <c r="A28" s="8" t="n">
        <v>27</v>
      </c>
      <c r="B28" s="8" t="n">
        <v>1</v>
      </c>
      <c r="C28" s="8" t="inlineStr">
        <is>
          <t>4 (court)</t>
        </is>
      </c>
      <c r="D28" s="8" t="inlineStr">
        <is>
          <t>Person in</t>
        </is>
      </c>
      <c r="E28" s="8" t="inlineStr">
        <is>
          <t>DV-140[0].Page1[0].List4[0].CheckBoxRightCaption2[0]</t>
        </is>
      </c>
      <c r="F28" s="8" t="inlineStr">
        <is>
          <t>checkbox</t>
        </is>
      </c>
      <c r="G28" s="8" t="inlineStr">
        <is>
          <t>1</t>
        </is>
      </c>
      <c r="H28" s="8" t="inlineStr"/>
      <c r="I28" s="8" t="inlineStr">
        <is>
          <t>161, 518, 170, 527</t>
        </is>
      </c>
      <c r="J28" s="8" t="inlineStr">
        <is>
          <t>court/clerk</t>
        </is>
      </c>
      <c r="K28" s="8" t="inlineStr"/>
      <c r="L28" s="8" t="inlineStr"/>
      <c r="M28" s="8" t="inlineStr"/>
      <c r="N28" s="8" t="inlineStr">
        <is>
          <t>Judge completes.</t>
        </is>
      </c>
      <c r="O28" s="8" t="inlineStr"/>
    </row>
    <row r="29">
      <c r="A29" s="8" t="n">
        <v>28</v>
      </c>
      <c r="B29" s="8" t="n">
        <v>1</v>
      </c>
      <c r="C29" s="8" t="inlineStr">
        <is>
          <t>4 (court)</t>
        </is>
      </c>
      <c r="D29" s="8" t="inlineStr">
        <is>
          <t>Other</t>
        </is>
      </c>
      <c r="E29" s="8" t="inlineStr">
        <is>
          <t>DV-140[0].Page1[0].List4[0].CheckBoxRightCaption3[0]</t>
        </is>
      </c>
      <c r="F29" s="8" t="inlineStr">
        <is>
          <t>checkbox</t>
        </is>
      </c>
      <c r="G29" s="8" t="inlineStr">
        <is>
          <t>1</t>
        </is>
      </c>
      <c r="H29" s="8" t="inlineStr"/>
      <c r="I29" s="8" t="inlineStr">
        <is>
          <t>265, 518, 274, 527</t>
        </is>
      </c>
      <c r="J29" s="8" t="inlineStr">
        <is>
          <t>court/clerk</t>
        </is>
      </c>
      <c r="K29" s="8" t="inlineStr"/>
      <c r="L29" s="8" t="inlineStr"/>
      <c r="M29" s="8" t="inlineStr"/>
      <c r="N29" s="8" t="inlineStr">
        <is>
          <t>Judge completes.</t>
        </is>
      </c>
      <c r="O29" s="8" t="inlineStr"/>
    </row>
    <row r="30">
      <c r="A30" s="8" t="n">
        <v>29</v>
      </c>
      <c r="B30" s="8" t="n">
        <v>1</v>
      </c>
      <c r="C30" s="8" t="inlineStr">
        <is>
          <t>4 (court)</t>
        </is>
      </c>
      <c r="D30" s="8" t="inlineStr">
        <is>
          <t>(name)</t>
        </is>
      </c>
      <c r="E30" s="8" t="inlineStr">
        <is>
          <t>DV-140[0].Page1[0].List4[0].TextField2[0]</t>
        </is>
      </c>
      <c r="F30" s="8" t="inlineStr">
        <is>
          <t>text</t>
        </is>
      </c>
      <c r="G30" s="8" t="inlineStr"/>
      <c r="H30" s="8" t="inlineStr"/>
      <c r="I30" s="8" t="inlineStr">
        <is>
          <t>344, 518, 574, 530</t>
        </is>
      </c>
      <c r="J30" s="8" t="inlineStr">
        <is>
          <t>court/clerk</t>
        </is>
      </c>
      <c r="K30" s="8" t="inlineStr"/>
      <c r="L30" s="8" t="inlineStr"/>
      <c r="M30" s="8" t="inlineStr"/>
      <c r="N30" s="8" t="inlineStr">
        <is>
          <t>Judge completes.</t>
        </is>
      </c>
      <c r="O30" s="8" t="inlineStr"/>
    </row>
    <row r="31">
      <c r="A31" s="8" t="n">
        <v>30</v>
      </c>
      <c r="B31" s="8" t="n">
        <v>1</v>
      </c>
      <c r="C31" s="8" t="inlineStr">
        <is>
          <t>4 (court)</t>
        </is>
      </c>
      <c r="D31" s="8" t="inlineStr">
        <is>
          <t>County of (list):</t>
        </is>
      </c>
      <c r="E31" s="8" t="inlineStr">
        <is>
          <t>DV-140[0].Page1[0].List4[0].Li1[0].CheckBoxRightCaption[0]</t>
        </is>
      </c>
      <c r="F31" s="8" t="inlineStr">
        <is>
          <t>checkbox</t>
        </is>
      </c>
      <c r="G31" s="8" t="inlineStr">
        <is>
          <t>1</t>
        </is>
      </c>
      <c r="H31" s="8" t="inlineStr"/>
      <c r="I31" s="8" t="inlineStr">
        <is>
          <t>78, 558, 87, 567</t>
        </is>
      </c>
      <c r="J31" s="8" t="inlineStr">
        <is>
          <t>court/clerk</t>
        </is>
      </c>
      <c r="K31" s="8" t="inlineStr"/>
      <c r="L31" s="8" t="inlineStr"/>
      <c r="M31" s="8" t="inlineStr"/>
      <c r="N31" s="8" t="inlineStr">
        <is>
          <t>Judge completes.</t>
        </is>
      </c>
      <c r="O31" s="8" t="inlineStr"/>
    </row>
    <row r="32">
      <c r="A32" s="8" t="n">
        <v>31</v>
      </c>
      <c r="B32" s="8" t="n">
        <v>1</v>
      </c>
      <c r="C32" s="8" t="inlineStr">
        <is>
          <t>4 (court)</t>
        </is>
      </c>
      <c r="D32" s="8" t="inlineStr">
        <is>
          <t>State of California</t>
        </is>
      </c>
      <c r="E32" s="8" t="inlineStr">
        <is>
          <t>DV-140[0].Page1[0].List4[0].Li2[0].CheckBoxRightCaption[0]</t>
        </is>
      </c>
      <c r="F32" s="8" t="inlineStr">
        <is>
          <t>checkbox</t>
        </is>
      </c>
      <c r="G32" s="8" t="inlineStr">
        <is>
          <t>1</t>
        </is>
      </c>
      <c r="H32" s="8" t="inlineStr"/>
      <c r="I32" s="8" t="inlineStr">
        <is>
          <t>78, 578, 87, 587</t>
        </is>
      </c>
      <c r="J32" s="8" t="inlineStr">
        <is>
          <t>court/clerk</t>
        </is>
      </c>
      <c r="K32" s="8" t="inlineStr"/>
      <c r="L32" s="8" t="inlineStr"/>
      <c r="M32" s="8" t="inlineStr"/>
      <c r="N32" s="8" t="inlineStr">
        <is>
          <t>Judge completes.</t>
        </is>
      </c>
      <c r="O32" s="8" t="inlineStr"/>
    </row>
    <row r="33">
      <c r="A33" s="8" t="n">
        <v>32</v>
      </c>
      <c r="B33" s="8" t="n">
        <v>1</v>
      </c>
      <c r="C33" s="8" t="inlineStr">
        <is>
          <t>4 (court)</t>
        </is>
      </c>
      <c r="D33" s="8" t="inlineStr">
        <is>
          <t>United States</t>
        </is>
      </c>
      <c r="E33" s="8" t="inlineStr">
        <is>
          <t>DV-140[0].Page1[0].List4[0].Li3[0].CheckBoxRightCaption[0]</t>
        </is>
      </c>
      <c r="F33" s="8" t="inlineStr">
        <is>
          <t>checkbox</t>
        </is>
      </c>
      <c r="G33" s="8" t="inlineStr">
        <is>
          <t>1</t>
        </is>
      </c>
      <c r="H33" s="8" t="inlineStr"/>
      <c r="I33" s="8" t="inlineStr">
        <is>
          <t>78, 598, 87, 607</t>
        </is>
      </c>
      <c r="J33" s="8" t="inlineStr">
        <is>
          <t>court/clerk</t>
        </is>
      </c>
      <c r="K33" s="8" t="inlineStr"/>
      <c r="L33" s="8" t="inlineStr"/>
      <c r="M33" s="8" t="inlineStr"/>
      <c r="N33" s="8" t="inlineStr">
        <is>
          <t>Judge completes.</t>
        </is>
      </c>
      <c r="O33" s="8" t="inlineStr"/>
    </row>
    <row r="34">
      <c r="A34" s="8" t="n">
        <v>33</v>
      </c>
      <c r="B34" s="8" t="n">
        <v>1</v>
      </c>
      <c r="C34" s="8" t="inlineStr">
        <is>
          <t>4 (court)</t>
        </is>
      </c>
      <c r="D34" s="8" t="inlineStr">
        <is>
          <t>Other places</t>
        </is>
      </c>
      <c r="E34" s="8" t="inlineStr">
        <is>
          <t>DV-140[0].Page1[0].List4[0].Li4[0].CheckBoxRightCaption[0]</t>
        </is>
      </c>
      <c r="F34" s="8" t="inlineStr">
        <is>
          <t>checkbox</t>
        </is>
      </c>
      <c r="G34" s="8" t="inlineStr">
        <is>
          <t>1</t>
        </is>
      </c>
      <c r="H34" s="8" t="inlineStr"/>
      <c r="I34" s="8" t="inlineStr">
        <is>
          <t>78, 619, 87, 628</t>
        </is>
      </c>
      <c r="J34" s="8" t="inlineStr">
        <is>
          <t>court/clerk</t>
        </is>
      </c>
      <c r="K34" s="8" t="inlineStr"/>
      <c r="L34" s="8" t="inlineStr"/>
      <c r="M34" s="8" t="inlineStr"/>
      <c r="N34" s="8" t="inlineStr">
        <is>
          <t>Judge completes.</t>
        </is>
      </c>
      <c r="O34" s="8" t="inlineStr"/>
    </row>
    <row r="35">
      <c r="A35" s="8" t="n">
        <v>34</v>
      </c>
      <c r="B35" s="8" t="n">
        <v>1</v>
      </c>
      <c r="C35" s="8" t="inlineStr">
        <is>
          <t>4 (court)</t>
        </is>
      </c>
      <c r="D35" s="8" t="inlineStr">
        <is>
          <t>Other place(s) (list):</t>
        </is>
      </c>
      <c r="E35" s="8" t="inlineStr">
        <is>
          <t>DV-140[0].Page1[0].List4[0].Li4[0].TextField2[0]</t>
        </is>
      </c>
      <c r="F35" s="8" t="inlineStr">
        <is>
          <t>text</t>
        </is>
      </c>
      <c r="G35" s="8" t="inlineStr"/>
      <c r="H35" s="8" t="inlineStr"/>
      <c r="I35" s="8" t="inlineStr">
        <is>
          <t>185, 619, 549, 631</t>
        </is>
      </c>
      <c r="J35" s="8" t="inlineStr">
        <is>
          <t>court/clerk</t>
        </is>
      </c>
      <c r="K35" s="8" t="inlineStr"/>
      <c r="L35" s="8" t="inlineStr"/>
      <c r="M35" s="8" t="inlineStr"/>
      <c r="N35" s="8" t="inlineStr">
        <is>
          <t>Judge completes.</t>
        </is>
      </c>
      <c r="O35" s="8" t="inlineStr"/>
    </row>
    <row r="36">
      <c r="A36" s="8" t="n">
        <v>35</v>
      </c>
      <c r="B36" s="8" t="n">
        <v>1</v>
      </c>
      <c r="C36" s="8" t="inlineStr">
        <is>
          <t>4 (court)</t>
        </is>
      </c>
      <c r="D36" s="8" t="inlineStr">
        <is>
          <t>County of (list):</t>
        </is>
      </c>
      <c r="E36" s="8" t="inlineStr">
        <is>
          <t>DV-140[0].Page1[0].List4[0].TextField[0]</t>
        </is>
      </c>
      <c r="F36" s="8" t="inlineStr">
        <is>
          <t>text</t>
        </is>
      </c>
      <c r="G36" s="8" t="inlineStr"/>
      <c r="H36" s="8" t="inlineStr"/>
      <c r="I36" s="8" t="inlineStr">
        <is>
          <t>166, 558, 549, 571</t>
        </is>
      </c>
      <c r="J36" s="8" t="inlineStr">
        <is>
          <t>court/clerk</t>
        </is>
      </c>
      <c r="K36" s="8" t="inlineStr"/>
      <c r="L36" s="8" t="inlineStr"/>
      <c r="M36" s="8" t="inlineStr"/>
      <c r="N36" s="8" t="inlineStr">
        <is>
          <t>Judge completes.</t>
        </is>
      </c>
      <c r="O36" s="8" t="inlineStr"/>
    </row>
    <row r="37">
      <c r="A37" s="6" t="n">
        <v>36</v>
      </c>
      <c r="B37" s="6" t="n">
        <v>1</v>
      </c>
      <c r="C37" s="6" t="inlineStr">
        <is>
          <t>Caption</t>
        </is>
      </c>
      <c r="D37" s="6" t="inlineStr">
        <is>
          <t>Form DV-310</t>
        </is>
      </c>
      <c r="E37" s="6" t="inlineStr">
        <is>
          <t>DV-140[0].Page1[0].DV140_cb[2]</t>
        </is>
      </c>
      <c r="F37" s="6" t="inlineStr">
        <is>
          <t>checkbox</t>
        </is>
      </c>
      <c r="G37" s="6" t="inlineStr">
        <is>
          <t>12</t>
        </is>
      </c>
      <c r="H37" s="6" t="inlineStr"/>
      <c r="I37" s="6" t="inlineStr">
        <is>
          <t>403, 94, 412, 103</t>
        </is>
      </c>
      <c r="J37" s="6" t="inlineStr">
        <is>
          <t>derived</t>
        </is>
      </c>
      <c r="K37" s="6" t="inlineStr">
        <is>
          <t>(fixed)</t>
        </is>
      </c>
      <c r="L37" s="6" t="inlineStr">
        <is>
          <t>never</t>
        </is>
      </c>
      <c r="M37" s="6" t="inlineStr"/>
      <c r="N37" s="6" t="inlineStr">
        <is>
          <t>DV-310 is for change requests.</t>
        </is>
      </c>
      <c r="O37" s="6" t="inlineStr"/>
    </row>
    <row r="38">
      <c r="A38" s="5" t="n">
        <v>37</v>
      </c>
      <c r="B38" s="5" t="n">
        <v>2</v>
      </c>
      <c r="C38" s="5" t="inlineStr">
        <is>
          <t>Caption</t>
        </is>
      </c>
      <c r="D38" s="5" t="inlineStr">
        <is>
          <t>Case Number</t>
        </is>
      </c>
      <c r="E38" s="5" t="inlineStr">
        <is>
          <t>DV-140[0].Page2[0].Caption[0].PxCaption[0].CaseNumber_ft[0]</t>
        </is>
      </c>
      <c r="F38" s="5" t="inlineStr">
        <is>
          <t>text</t>
        </is>
      </c>
      <c r="G38" s="5" t="inlineStr"/>
      <c r="H38" s="5" t="inlineStr"/>
      <c r="I38" s="5" t="inlineStr">
        <is>
          <t>399, 50, 572, 62</t>
        </is>
      </c>
      <c r="J38" s="5" t="inlineStr">
        <is>
          <t>question</t>
        </is>
      </c>
      <c r="K38" s="5" t="inlineStr">
        <is>
          <t>S3,S4</t>
        </is>
      </c>
      <c r="L38" s="5">
        <f> S4</f>
        <v/>
      </c>
      <c r="M38" s="5" t="inlineStr">
        <is>
          <t>S3 == "update"; otherwise blank for clerk</t>
        </is>
      </c>
      <c r="N38" s="5" t="inlineStr"/>
      <c r="O38" s="5" t="inlineStr"/>
    </row>
    <row r="39">
      <c r="A39" s="8" t="n">
        <v>38</v>
      </c>
      <c r="B39" s="8" t="n">
        <v>2</v>
      </c>
      <c r="C39" s="8" t="inlineStr">
        <is>
          <t>5 (court)</t>
        </is>
      </c>
      <c r="D39" s="8" t="inlineStr">
        <is>
          <t>Stop Access to Children's School, Health, and Other Information</t>
        </is>
      </c>
      <c r="E39" s="8" t="inlineStr">
        <is>
          <t>DV-140[0].Page2[0].List5[0].CheckBoxRightCaption[0]</t>
        </is>
      </c>
      <c r="F39" s="8" t="inlineStr">
        <is>
          <t>checkbox</t>
        </is>
      </c>
      <c r="G39" s="8" t="inlineStr">
        <is>
          <t>1</t>
        </is>
      </c>
      <c r="H39" s="8" t="inlineStr"/>
      <c r="I39" s="8" t="inlineStr">
        <is>
          <t>64, 97, 73, 106</t>
        </is>
      </c>
      <c r="J39" s="8" t="inlineStr">
        <is>
          <t>court/clerk</t>
        </is>
      </c>
      <c r="K39" s="8" t="inlineStr"/>
      <c r="L39" s="8" t="inlineStr"/>
      <c r="M39" s="8" t="inlineStr"/>
      <c r="N39" s="8" t="inlineStr">
        <is>
          <t>Judge completes.</t>
        </is>
      </c>
      <c r="O39" s="8" t="inlineStr"/>
    </row>
    <row r="40">
      <c r="A40" s="8" t="n">
        <v>39</v>
      </c>
      <c r="B40" s="8" t="n">
        <v>2</v>
      </c>
      <c r="C40" s="8" t="inlineStr">
        <is>
          <t>5 (court)</t>
        </is>
      </c>
      <c r="D40" s="8" t="inlineStr">
        <is>
          <t>Only the children listed here (names):</t>
        </is>
      </c>
      <c r="E40" s="8" t="inlineStr">
        <is>
          <t>DV-140[0].Page2[0].List5[0].Li1[0].TextField[0]</t>
        </is>
      </c>
      <c r="F40" s="8" t="inlineStr">
        <is>
          <t>text</t>
        </is>
      </c>
      <c r="G40" s="8" t="inlineStr"/>
      <c r="H40" s="8" t="inlineStr"/>
      <c r="I40" s="8" t="inlineStr">
        <is>
          <t>262, 148, 576, 163</t>
        </is>
      </c>
      <c r="J40" s="8" t="inlineStr">
        <is>
          <t>court/clerk</t>
        </is>
      </c>
      <c r="K40" s="8" t="inlineStr"/>
      <c r="L40" s="8" t="inlineStr"/>
      <c r="M40" s="8" t="inlineStr"/>
      <c r="N40" s="8" t="inlineStr">
        <is>
          <t>Judge completes.</t>
        </is>
      </c>
      <c r="O40" s="8" t="inlineStr"/>
    </row>
    <row r="41">
      <c r="A41" s="8" t="n">
        <v>40</v>
      </c>
      <c r="B41" s="8" t="n">
        <v>2</v>
      </c>
      <c r="C41" s="8" t="inlineStr">
        <is>
          <t>5 (court)</t>
        </is>
      </c>
      <c r="D41" s="8" t="inlineStr">
        <is>
          <t>All the children listed in 3.</t>
        </is>
      </c>
      <c r="E41" s="8" t="inlineStr">
        <is>
          <t>DV-140[0].Page2[0].List5[0].Li1[0].CheckBoxRightCaptionitem5a[0]</t>
        </is>
      </c>
      <c r="F41" s="8" t="inlineStr">
        <is>
          <t>checkbox</t>
        </is>
      </c>
      <c r="G41" s="8" t="inlineStr">
        <is>
          <t>1</t>
        </is>
      </c>
      <c r="H41" s="8" t="inlineStr"/>
      <c r="I41" s="8" t="inlineStr">
        <is>
          <t>79, 134, 88, 143</t>
        </is>
      </c>
      <c r="J41" s="8" t="inlineStr">
        <is>
          <t>court/clerk</t>
        </is>
      </c>
      <c r="K41" s="8" t="inlineStr"/>
      <c r="L41" s="8" t="inlineStr"/>
      <c r="M41" s="8" t="inlineStr"/>
      <c r="N41" s="8" t="inlineStr">
        <is>
          <t>Judge completes.</t>
        </is>
      </c>
      <c r="O41" s="8" t="inlineStr"/>
    </row>
    <row r="42">
      <c r="A42" s="8" t="n">
        <v>41</v>
      </c>
      <c r="B42" s="8" t="n">
        <v>2</v>
      </c>
      <c r="C42" s="8" t="inlineStr">
        <is>
          <t>5 (court)</t>
        </is>
      </c>
      <c r="D42" s="8" t="inlineStr">
        <is>
          <t>Only the children listed here (names):</t>
        </is>
      </c>
      <c r="E42" s="8" t="inlineStr">
        <is>
          <t>DV-140[0].Page2[0].List5[0].Li1[0].CheckBoxRightCaptionitem5a[1]</t>
        </is>
      </c>
      <c r="F42" s="8" t="inlineStr">
        <is>
          <t>checkbox</t>
        </is>
      </c>
      <c r="G42" s="8" t="inlineStr">
        <is>
          <t>21</t>
        </is>
      </c>
      <c r="H42" s="8" t="inlineStr"/>
      <c r="I42" s="8" t="inlineStr">
        <is>
          <t>78, 148, 87, 157</t>
        </is>
      </c>
      <c r="J42" s="8" t="inlineStr">
        <is>
          <t>court/clerk</t>
        </is>
      </c>
      <c r="K42" s="8" t="inlineStr"/>
      <c r="L42" s="8" t="inlineStr"/>
      <c r="M42" s="8" t="inlineStr"/>
      <c r="N42" s="8" t="inlineStr">
        <is>
          <t>Judge completes.</t>
        </is>
      </c>
      <c r="O42" s="8" t="inlineStr"/>
    </row>
    <row r="43">
      <c r="A43" s="8" t="n">
        <v>42</v>
      </c>
      <c r="B43" s="8" t="n">
        <v>2</v>
      </c>
      <c r="C43" s="8" t="inlineStr">
        <is>
          <t>5 (court)</t>
        </is>
      </c>
      <c r="D43" s="8" t="inlineStr">
        <is>
          <t>Medical, dental, and mental health providers</t>
        </is>
      </c>
      <c r="E43" s="8" t="inlineStr">
        <is>
          <t>DV-140[0].Page2[0].List5[0].Li2[0].CheckBoxRightCaption[0]</t>
        </is>
      </c>
      <c r="F43" s="8" t="inlineStr">
        <is>
          <t>checkbox</t>
        </is>
      </c>
      <c r="G43" s="8" t="inlineStr">
        <is>
          <t>1</t>
        </is>
      </c>
      <c r="H43" s="8" t="inlineStr"/>
      <c r="I43" s="8" t="inlineStr">
        <is>
          <t>78, 193, 87, 202</t>
        </is>
      </c>
      <c r="J43" s="8" t="inlineStr">
        <is>
          <t>court/clerk</t>
        </is>
      </c>
      <c r="K43" s="8" t="inlineStr"/>
      <c r="L43" s="8" t="inlineStr"/>
      <c r="M43" s="8" t="inlineStr"/>
      <c r="N43" s="8" t="inlineStr">
        <is>
          <t>Judge completes.</t>
        </is>
      </c>
      <c r="O43" s="8" t="inlineStr"/>
    </row>
    <row r="44">
      <c r="A44" s="8" t="n">
        <v>43</v>
      </c>
      <c r="B44" s="8" t="n">
        <v>2</v>
      </c>
      <c r="C44" s="8" t="inlineStr">
        <is>
          <t>5 (court)</t>
        </is>
      </c>
      <c r="D44" s="8" t="inlineStr">
        <is>
          <t>School and daycare providers</t>
        </is>
      </c>
      <c r="E44" s="8" t="inlineStr">
        <is>
          <t>DV-140[0].Page2[0].List5[0].Li2[0].CheckBoxRightCaption1[0]</t>
        </is>
      </c>
      <c r="F44" s="8" t="inlineStr">
        <is>
          <t>checkbox</t>
        </is>
      </c>
      <c r="G44" s="8" t="inlineStr">
        <is>
          <t>1</t>
        </is>
      </c>
      <c r="H44" s="8" t="inlineStr"/>
      <c r="I44" s="8" t="inlineStr">
        <is>
          <t>78, 210, 87, 219</t>
        </is>
      </c>
      <c r="J44" s="8" t="inlineStr">
        <is>
          <t>court/clerk</t>
        </is>
      </c>
      <c r="K44" s="8" t="inlineStr"/>
      <c r="L44" s="8" t="inlineStr"/>
      <c r="M44" s="8" t="inlineStr"/>
      <c r="N44" s="8" t="inlineStr">
        <is>
          <t>Judge completes.</t>
        </is>
      </c>
      <c r="O44" s="8" t="inlineStr"/>
    </row>
    <row r="45">
      <c r="A45" s="8" t="n">
        <v>44</v>
      </c>
      <c r="B45" s="8" t="n">
        <v>2</v>
      </c>
      <c r="C45" s="8" t="inlineStr">
        <is>
          <t>5 (court)</t>
        </is>
      </c>
      <c r="D45" s="8" t="inlineStr">
        <is>
          <t>Extracurricular activity providers (including  summer camps and sports teams)</t>
        </is>
      </c>
      <c r="E45" s="8" t="inlineStr">
        <is>
          <t>DV-140[0].Page2[0].List5[0].Li2[0].MultilineCheckBox[0]</t>
        </is>
      </c>
      <c r="F45" s="8" t="inlineStr">
        <is>
          <t>checkbox</t>
        </is>
      </c>
      <c r="G45" s="8" t="inlineStr">
        <is>
          <t>1</t>
        </is>
      </c>
      <c r="H45" s="8" t="inlineStr"/>
      <c r="I45" s="8" t="inlineStr">
        <is>
          <t>78, 226, 87, 235</t>
        </is>
      </c>
      <c r="J45" s="8" t="inlineStr">
        <is>
          <t>court/clerk</t>
        </is>
      </c>
      <c r="K45" s="8" t="inlineStr"/>
      <c r="L45" s="8" t="inlineStr"/>
      <c r="M45" s="8" t="inlineStr"/>
      <c r="N45" s="8" t="inlineStr">
        <is>
          <t>Judge completes.</t>
        </is>
      </c>
      <c r="O45" s="8" t="inlineStr"/>
    </row>
    <row r="46">
      <c r="A46" s="8" t="n">
        <v>45</v>
      </c>
      <c r="B46" s="8" t="n">
        <v>2</v>
      </c>
      <c r="C46" s="8" t="inlineStr">
        <is>
          <t>5 (court)</t>
        </is>
      </c>
      <c r="D46" s="8" t="inlineStr">
        <is>
          <t>Child’s employers (including volunteer and unpaid positions)</t>
        </is>
      </c>
      <c r="E46" s="8" t="inlineStr">
        <is>
          <t>DV-140[0].Page2[0].List5[0].Li2[0].MultilineCheckBox[1]</t>
        </is>
      </c>
      <c r="F46" s="8" t="inlineStr">
        <is>
          <t>checkbox</t>
        </is>
      </c>
      <c r="G46" s="8" t="inlineStr">
        <is>
          <t>1</t>
        </is>
      </c>
      <c r="H46" s="8" t="inlineStr"/>
      <c r="I46" s="8" t="inlineStr">
        <is>
          <t>322, 193, 331, 202</t>
        </is>
      </c>
      <c r="J46" s="8" t="inlineStr">
        <is>
          <t>court/clerk</t>
        </is>
      </c>
      <c r="K46" s="8" t="inlineStr"/>
      <c r="L46" s="8" t="inlineStr"/>
      <c r="M46" s="8" t="inlineStr"/>
      <c r="N46" s="8" t="inlineStr">
        <is>
          <t>Judge completes.</t>
        </is>
      </c>
      <c r="O46" s="8" t="inlineStr"/>
    </row>
    <row r="47">
      <c r="A47" s="8" t="n">
        <v>46</v>
      </c>
      <c r="B47" s="8" t="n">
        <v>2</v>
      </c>
      <c r="C47" s="8" t="inlineStr">
        <is>
          <t>5 (court)</t>
        </is>
      </c>
      <c r="D47" s="8" t="inlineStr">
        <is>
          <t>Other (describe):</t>
        </is>
      </c>
      <c r="E47" s="8" t="inlineStr">
        <is>
          <t>DV-140[0].Page2[0].List5[0].Li2[0].CheckBoxRightCaption4[0]</t>
        </is>
      </c>
      <c r="F47" s="8" t="inlineStr">
        <is>
          <t>checkbox</t>
        </is>
      </c>
      <c r="G47" s="8" t="inlineStr">
        <is>
          <t>1</t>
        </is>
      </c>
      <c r="H47" s="8" t="inlineStr"/>
      <c r="I47" s="8" t="inlineStr">
        <is>
          <t>322, 226, 331, 235</t>
        </is>
      </c>
      <c r="J47" s="8" t="inlineStr">
        <is>
          <t>court/clerk</t>
        </is>
      </c>
      <c r="K47" s="8" t="inlineStr"/>
      <c r="L47" s="8" t="inlineStr"/>
      <c r="M47" s="8" t="inlineStr"/>
      <c r="N47" s="8" t="inlineStr">
        <is>
          <t>Judge completes.</t>
        </is>
      </c>
      <c r="O47" s="8" t="inlineStr"/>
    </row>
    <row r="48">
      <c r="A48" s="8" t="n">
        <v>47</v>
      </c>
      <c r="B48" s="8" t="n">
        <v>2</v>
      </c>
      <c r="C48" s="8" t="inlineStr">
        <is>
          <t>5 (court)</t>
        </is>
      </c>
      <c r="D48" s="8" t="inlineStr">
        <is>
          <t>describe other</t>
        </is>
      </c>
      <c r="E48" s="8" t="inlineStr">
        <is>
          <t>DV-140[0].Page2[0].List5[0].Li2[0].TextField[0]</t>
        </is>
      </c>
      <c r="F48" s="8" t="inlineStr">
        <is>
          <t>text</t>
        </is>
      </c>
      <c r="G48" s="8" t="inlineStr"/>
      <c r="H48" s="8" t="inlineStr"/>
      <c r="I48" s="8" t="inlineStr">
        <is>
          <t>322, 239, 556, 252</t>
        </is>
      </c>
      <c r="J48" s="8" t="inlineStr">
        <is>
          <t>court/clerk</t>
        </is>
      </c>
      <c r="K48" s="8" t="inlineStr"/>
      <c r="L48" s="8" t="inlineStr"/>
      <c r="M48" s="8" t="inlineStr"/>
      <c r="N48" s="8" t="inlineStr">
        <is>
          <t>Judge completes.</t>
        </is>
      </c>
      <c r="O48" s="8" t="inlineStr"/>
    </row>
    <row r="49">
      <c r="A49" s="8" t="n">
        <v>48</v>
      </c>
      <c r="B49" s="8" t="n">
        <v>2</v>
      </c>
      <c r="C49" s="8" t="inlineStr">
        <is>
          <t>6 (court)</t>
        </is>
      </c>
      <c r="D49" s="8" t="inlineStr">
        <is>
          <t>Judge's Decision on Request for Orders to Prevent Child Abduction (attach form DV-145)</t>
        </is>
      </c>
      <c r="E49" s="8" t="inlineStr">
        <is>
          <t>DV-140[0].Page2[0].List6[0].Li1[0].CheckBoxRightCaption[0]</t>
        </is>
      </c>
      <c r="F49" s="8" t="inlineStr">
        <is>
          <t>checkbox</t>
        </is>
      </c>
      <c r="G49" s="8" t="inlineStr">
        <is>
          <t>1</t>
        </is>
      </c>
      <c r="H49" s="8" t="inlineStr"/>
      <c r="I49" s="8" t="inlineStr">
        <is>
          <t>64, 340, 73, 349</t>
        </is>
      </c>
      <c r="J49" s="8" t="inlineStr">
        <is>
          <t>court/clerk</t>
        </is>
      </c>
      <c r="K49" s="8" t="inlineStr"/>
      <c r="L49" s="8" t="inlineStr"/>
      <c r="M49" s="8" t="inlineStr"/>
      <c r="N49" s="8" t="inlineStr">
        <is>
          <t>Judge completes.</t>
        </is>
      </c>
      <c r="O49" s="8" t="inlineStr"/>
    </row>
    <row r="50">
      <c r="A50" s="8" t="n">
        <v>49</v>
      </c>
      <c r="B50" s="8" t="n">
        <v>2</v>
      </c>
      <c r="C50" s="8" t="inlineStr">
        <is>
          <t>7 (court)</t>
        </is>
      </c>
      <c r="D50" s="8" t="inlineStr">
        <is>
          <t>Child Custody</t>
        </is>
      </c>
      <c r="E50" s="8" t="inlineStr">
        <is>
          <t>DV-140[0].Page2[0].List7[0].CheckBoxRightCaption[0]</t>
        </is>
      </c>
      <c r="F50" s="8" t="inlineStr">
        <is>
          <t>checkbox</t>
        </is>
      </c>
      <c r="G50" s="8" t="inlineStr">
        <is>
          <t>1</t>
        </is>
      </c>
      <c r="H50" s="8" t="inlineStr"/>
      <c r="I50" s="8" t="inlineStr">
        <is>
          <t>63, 400, 72, 409</t>
        </is>
      </c>
      <c r="J50" s="8" t="inlineStr">
        <is>
          <t>court/clerk</t>
        </is>
      </c>
      <c r="K50" s="8" t="inlineStr"/>
      <c r="L50" s="8" t="inlineStr"/>
      <c r="M50" s="8" t="inlineStr"/>
      <c r="N50" s="8" t="inlineStr">
        <is>
          <t>Judge completes.</t>
        </is>
      </c>
      <c r="O50" s="8" t="inlineStr"/>
    </row>
    <row r="51">
      <c r="A51" s="8" t="n">
        <v>50</v>
      </c>
      <c r="B51" s="8" t="n">
        <v>2</v>
      </c>
      <c r="C51" s="8" t="inlineStr">
        <is>
          <t>7 (court)</t>
        </is>
      </c>
      <c r="D51" s="8" t="inlineStr">
        <is>
          <t>Sole to Person in</t>
        </is>
      </c>
      <c r="E51" s="8" t="inlineStr">
        <is>
          <t>DV-140[0].Page2[0].List7[0].Li1[0].CheckBoxRightCaptionitem7a[0]</t>
        </is>
      </c>
      <c r="F51" s="8" t="inlineStr">
        <is>
          <t>checkbox</t>
        </is>
      </c>
      <c r="G51" s="8" t="inlineStr">
        <is>
          <t>1</t>
        </is>
      </c>
      <c r="H51" s="8" t="inlineStr"/>
      <c r="I51" s="8" t="inlineStr">
        <is>
          <t>80, 437, 89, 446</t>
        </is>
      </c>
      <c r="J51" s="8" t="inlineStr">
        <is>
          <t>court/clerk</t>
        </is>
      </c>
      <c r="K51" s="8" t="inlineStr"/>
      <c r="L51" s="8" t="inlineStr"/>
      <c r="M51" s="8" t="inlineStr"/>
      <c r="N51" s="8" t="inlineStr">
        <is>
          <t>Judge completes.</t>
        </is>
      </c>
      <c r="O51" s="8" t="inlineStr"/>
    </row>
    <row r="52">
      <c r="A52" s="8" t="n">
        <v>51</v>
      </c>
      <c r="B52" s="8" t="n">
        <v>2</v>
      </c>
      <c r="C52" s="8" t="inlineStr">
        <is>
          <t>7 (court)</t>
        </is>
      </c>
      <c r="D52" s="8" t="inlineStr">
        <is>
          <t>Jointly (shared) by persons in 1 and 2.</t>
        </is>
      </c>
      <c r="E52" s="8" t="inlineStr">
        <is>
          <t>DV-140[0].Page2[0].List7[0].Li1[0].CheckBoxRightCaptionitem7a[1]</t>
        </is>
      </c>
      <c r="F52" s="8" t="inlineStr">
        <is>
          <t>checkbox</t>
        </is>
      </c>
      <c r="G52" s="8" t="inlineStr">
        <is>
          <t>21</t>
        </is>
      </c>
      <c r="H52" s="8" t="inlineStr"/>
      <c r="I52" s="8" t="inlineStr">
        <is>
          <t>226, 438, 235, 447</t>
        </is>
      </c>
      <c r="J52" s="8" t="inlineStr">
        <is>
          <t>court/clerk</t>
        </is>
      </c>
      <c r="K52" s="8" t="inlineStr"/>
      <c r="L52" s="8" t="inlineStr"/>
      <c r="M52" s="8" t="inlineStr"/>
      <c r="N52" s="8" t="inlineStr">
        <is>
          <t>Judge completes.</t>
        </is>
      </c>
      <c r="O52" s="8" t="inlineStr"/>
    </row>
    <row r="53">
      <c r="A53" s="8" t="n">
        <v>52</v>
      </c>
      <c r="B53" s="8" t="n">
        <v>2</v>
      </c>
      <c r="C53" s="8" t="inlineStr">
        <is>
          <t>7 (court)</t>
        </is>
      </c>
      <c r="D53" s="8" t="inlineStr">
        <is>
          <t>Sole to Person in</t>
        </is>
      </c>
      <c r="E53" s="8" t="inlineStr">
        <is>
          <t>DV-140[0].Page2[0].List7[0].Li1[0].CheckBoxRightCaptionitem7a[2]</t>
        </is>
      </c>
      <c r="F53" s="8" t="inlineStr">
        <is>
          <t>checkbox</t>
        </is>
      </c>
      <c r="G53" s="8" t="inlineStr">
        <is>
          <t>11</t>
        </is>
      </c>
      <c r="H53" s="8" t="inlineStr"/>
      <c r="I53" s="8" t="inlineStr">
        <is>
          <t>80, 452, 89, 461</t>
        </is>
      </c>
      <c r="J53" s="8" t="inlineStr">
        <is>
          <t>court/clerk</t>
        </is>
      </c>
      <c r="K53" s="8" t="inlineStr"/>
      <c r="L53" s="8" t="inlineStr"/>
      <c r="M53" s="8" t="inlineStr"/>
      <c r="N53" s="8" t="inlineStr">
        <is>
          <t>Judge completes.</t>
        </is>
      </c>
      <c r="O53" s="8" t="inlineStr"/>
    </row>
    <row r="54">
      <c r="A54" s="8" t="n">
        <v>53</v>
      </c>
      <c r="B54" s="8" t="n">
        <v>2</v>
      </c>
      <c r="C54" s="8" t="inlineStr">
        <is>
          <t>7 (court)</t>
        </is>
      </c>
      <c r="D54" s="8" t="inlineStr">
        <is>
          <t>Other (describe):</t>
        </is>
      </c>
      <c r="E54" s="8" t="inlineStr">
        <is>
          <t>DV-140[0].Page2[0].List7[0].Li1[0].CheckBoxRightCaptionitem7a[3]</t>
        </is>
      </c>
      <c r="F54" s="8" t="inlineStr">
        <is>
          <t>checkbox</t>
        </is>
      </c>
      <c r="G54" s="8" t="inlineStr">
        <is>
          <t>23</t>
        </is>
      </c>
      <c r="H54" s="8" t="inlineStr"/>
      <c r="I54" s="8" t="inlineStr">
        <is>
          <t>226, 453, 235, 462</t>
        </is>
      </c>
      <c r="J54" s="8" t="inlineStr">
        <is>
          <t>court/clerk</t>
        </is>
      </c>
      <c r="K54" s="8" t="inlineStr"/>
      <c r="L54" s="8" t="inlineStr"/>
      <c r="M54" s="8" t="inlineStr"/>
      <c r="N54" s="8" t="inlineStr">
        <is>
          <t>Judge completes.</t>
        </is>
      </c>
      <c r="O54" s="8" t="inlineStr"/>
    </row>
    <row r="55">
      <c r="A55" s="8" t="n">
        <v>54</v>
      </c>
      <c r="B55" s="8" t="n">
        <v>2</v>
      </c>
      <c r="C55" s="8" t="inlineStr">
        <is>
          <t>7 (court)</t>
        </is>
      </c>
      <c r="D55" s="8" t="inlineStr">
        <is>
          <t>Other (describe):</t>
        </is>
      </c>
      <c r="E55" s="8" t="inlineStr">
        <is>
          <t>DV-140[0].Page2[0].List7[0].Li1[0].TextField[0]</t>
        </is>
      </c>
      <c r="F55" s="8" t="inlineStr">
        <is>
          <t>text</t>
        </is>
      </c>
      <c r="G55" s="8" t="inlineStr"/>
      <c r="H55" s="8" t="inlineStr"/>
      <c r="I55" s="8" t="inlineStr">
        <is>
          <t>319, 453, 575, 468</t>
        </is>
      </c>
      <c r="J55" s="8" t="inlineStr">
        <is>
          <t>court/clerk</t>
        </is>
      </c>
      <c r="K55" s="8" t="inlineStr"/>
      <c r="L55" s="8" t="inlineStr"/>
      <c r="M55" s="8" t="inlineStr"/>
      <c r="N55" s="8" t="inlineStr">
        <is>
          <t>Judge completes.</t>
        </is>
      </c>
      <c r="O55" s="8" t="inlineStr"/>
    </row>
    <row r="56">
      <c r="A56" s="8" t="n">
        <v>55</v>
      </c>
      <c r="B56" s="8" t="n">
        <v>2</v>
      </c>
      <c r="C56" s="8" t="inlineStr">
        <is>
          <t>7 (court)</t>
        </is>
      </c>
      <c r="D56" s="8" t="inlineStr">
        <is>
          <t>Sole to Person in</t>
        </is>
      </c>
      <c r="E56" s="8" t="inlineStr">
        <is>
          <t>DV-140[0].Page2[0].List7[0].Li2[0].CheckBoxRightCaptionitem7b[0]</t>
        </is>
      </c>
      <c r="F56" s="8" t="inlineStr">
        <is>
          <t>checkbox</t>
        </is>
      </c>
      <c r="G56" s="8" t="inlineStr">
        <is>
          <t>1</t>
        </is>
      </c>
      <c r="H56" s="8" t="inlineStr"/>
      <c r="I56" s="8" t="inlineStr">
        <is>
          <t>79, 497, 88, 506</t>
        </is>
      </c>
      <c r="J56" s="8" t="inlineStr">
        <is>
          <t>court/clerk</t>
        </is>
      </c>
      <c r="K56" s="8" t="inlineStr"/>
      <c r="L56" s="8" t="inlineStr"/>
      <c r="M56" s="8" t="inlineStr"/>
      <c r="N56" s="8" t="inlineStr">
        <is>
          <t>Judge completes.</t>
        </is>
      </c>
      <c r="O56" s="8" t="inlineStr"/>
    </row>
    <row r="57">
      <c r="A57" s="8" t="n">
        <v>56</v>
      </c>
      <c r="B57" s="8" t="n">
        <v>2</v>
      </c>
      <c r="C57" s="8" t="inlineStr">
        <is>
          <t>7 (court)</t>
        </is>
      </c>
      <c r="D57" s="8" t="inlineStr">
        <is>
          <t>Jointly (shared) by persons in 1 and 2.</t>
        </is>
      </c>
      <c r="E57" s="8" t="inlineStr">
        <is>
          <t>DV-140[0].Page2[0].List7[0].Li2[0].CheckBoxRightCaptionitem7b[1]</t>
        </is>
      </c>
      <c r="F57" s="8" t="inlineStr">
        <is>
          <t>checkbox</t>
        </is>
      </c>
      <c r="G57" s="8" t="inlineStr">
        <is>
          <t>15</t>
        </is>
      </c>
      <c r="H57" s="8" t="inlineStr"/>
      <c r="I57" s="8" t="inlineStr">
        <is>
          <t>225, 497, 234, 506</t>
        </is>
      </c>
      <c r="J57" s="8" t="inlineStr">
        <is>
          <t>court/clerk</t>
        </is>
      </c>
      <c r="K57" s="8" t="inlineStr"/>
      <c r="L57" s="8" t="inlineStr"/>
      <c r="M57" s="8" t="inlineStr"/>
      <c r="N57" s="8" t="inlineStr">
        <is>
          <t>Judge completes.</t>
        </is>
      </c>
      <c r="O57" s="8" t="inlineStr"/>
    </row>
    <row r="58">
      <c r="A58" s="8" t="n">
        <v>57</v>
      </c>
      <c r="B58" s="8" t="n">
        <v>2</v>
      </c>
      <c r="C58" s="8" t="inlineStr">
        <is>
          <t>7 (court)</t>
        </is>
      </c>
      <c r="D58" s="8" t="inlineStr">
        <is>
          <t>Sole to Person in</t>
        </is>
      </c>
      <c r="E58" s="8" t="inlineStr">
        <is>
          <t>DV-140[0].Page2[0].List7[0].Li2[0].CheckBoxRightCaptionitem7b[2]</t>
        </is>
      </c>
      <c r="F58" s="8" t="inlineStr">
        <is>
          <t>checkbox</t>
        </is>
      </c>
      <c r="G58" s="8" t="inlineStr">
        <is>
          <t>11</t>
        </is>
      </c>
      <c r="H58" s="8" t="inlineStr"/>
      <c r="I58" s="8" t="inlineStr">
        <is>
          <t>79, 512, 88, 521</t>
        </is>
      </c>
      <c r="J58" s="8" t="inlineStr">
        <is>
          <t>court/clerk</t>
        </is>
      </c>
      <c r="K58" s="8" t="inlineStr"/>
      <c r="L58" s="8" t="inlineStr"/>
      <c r="M58" s="8" t="inlineStr"/>
      <c r="N58" s="8" t="inlineStr">
        <is>
          <t>Judge completes.</t>
        </is>
      </c>
      <c r="O58" s="8" t="inlineStr"/>
    </row>
    <row r="59">
      <c r="A59" s="8" t="n">
        <v>58</v>
      </c>
      <c r="B59" s="8" t="n">
        <v>2</v>
      </c>
      <c r="C59" s="8" t="inlineStr">
        <is>
          <t>7 (court)</t>
        </is>
      </c>
      <c r="D59" s="8" t="inlineStr">
        <is>
          <t>Other (describe):</t>
        </is>
      </c>
      <c r="E59" s="8" t="inlineStr">
        <is>
          <t>DV-140[0].Page2[0].List7[0].Li2[0].CheckBoxRightCaptionitem7b[3]</t>
        </is>
      </c>
      <c r="F59" s="8" t="inlineStr">
        <is>
          <t>checkbox</t>
        </is>
      </c>
      <c r="G59" s="8" t="inlineStr">
        <is>
          <t>23</t>
        </is>
      </c>
      <c r="H59" s="8" t="inlineStr"/>
      <c r="I59" s="8" t="inlineStr">
        <is>
          <t>225, 513, 234, 522</t>
        </is>
      </c>
      <c r="J59" s="8" t="inlineStr">
        <is>
          <t>court/clerk</t>
        </is>
      </c>
      <c r="K59" s="8" t="inlineStr"/>
      <c r="L59" s="8" t="inlineStr"/>
      <c r="M59" s="8" t="inlineStr"/>
      <c r="N59" s="8" t="inlineStr">
        <is>
          <t>Judge completes.</t>
        </is>
      </c>
      <c r="O59" s="8" t="inlineStr"/>
    </row>
    <row r="60">
      <c r="A60" s="8" t="n">
        <v>59</v>
      </c>
      <c r="B60" s="8" t="n">
        <v>2</v>
      </c>
      <c r="C60" s="8" t="inlineStr">
        <is>
          <t>7 (court)</t>
        </is>
      </c>
      <c r="D60" s="8" t="inlineStr">
        <is>
          <t>Other (describe):</t>
        </is>
      </c>
      <c r="E60" s="8" t="inlineStr">
        <is>
          <t>DV-140[0].Page2[0].List7[0].Li2[0].TextField[0]</t>
        </is>
      </c>
      <c r="F60" s="8" t="inlineStr">
        <is>
          <t>text</t>
        </is>
      </c>
      <c r="G60" s="8" t="inlineStr"/>
      <c r="H60" s="8" t="inlineStr"/>
      <c r="I60" s="8" t="inlineStr">
        <is>
          <t>317, 513, 573, 528</t>
        </is>
      </c>
      <c r="J60" s="8" t="inlineStr">
        <is>
          <t>court/clerk</t>
        </is>
      </c>
      <c r="K60" s="8" t="inlineStr"/>
      <c r="L60" s="8" t="inlineStr"/>
      <c r="M60" s="8" t="inlineStr"/>
      <c r="N60" s="8" t="inlineStr">
        <is>
          <t>Judge completes.</t>
        </is>
      </c>
      <c r="O60" s="8" t="inlineStr"/>
    </row>
    <row r="61">
      <c r="A61" s="8" t="n">
        <v>60</v>
      </c>
      <c r="B61" s="8" t="n">
        <v>2</v>
      </c>
      <c r="C61" s="8" t="inlineStr">
        <is>
          <t>8 (court)</t>
        </is>
      </c>
      <c r="D61" s="8" t="inlineStr">
        <is>
          <t>Person in 2 must have no visitation with the children in 3 until further order of the court.</t>
        </is>
      </c>
      <c r="E61" s="8" t="inlineStr">
        <is>
          <t>DV-140[0].Page2[0].List8[0].Li1[0].MultilineCheckBox[0]</t>
        </is>
      </c>
      <c r="F61" s="8" t="inlineStr">
        <is>
          <t>checkbox</t>
        </is>
      </c>
      <c r="G61" s="8" t="inlineStr">
        <is>
          <t>1</t>
        </is>
      </c>
      <c r="H61" s="8" t="inlineStr"/>
      <c r="I61" s="8" t="inlineStr">
        <is>
          <t>63, 605, 72, 614</t>
        </is>
      </c>
      <c r="J61" s="8" t="inlineStr">
        <is>
          <t>court/clerk</t>
        </is>
      </c>
      <c r="K61" s="8" t="inlineStr"/>
      <c r="L61" s="8" t="inlineStr"/>
      <c r="M61" s="8" t="inlineStr"/>
      <c r="N61" s="8" t="inlineStr">
        <is>
          <t>Judge completes.</t>
        </is>
      </c>
      <c r="O61" s="8" t="inlineStr"/>
    </row>
    <row r="62">
      <c r="A62" s="5" t="n">
        <v>61</v>
      </c>
      <c r="B62" s="5" t="n">
        <v>3</v>
      </c>
      <c r="C62" s="5" t="inlineStr">
        <is>
          <t>Caption</t>
        </is>
      </c>
      <c r="D62" s="5" t="inlineStr">
        <is>
          <t>Case Number</t>
        </is>
      </c>
      <c r="E62" s="5" t="inlineStr">
        <is>
          <t>DV-140[0].Page3[0].Caption[0].PxCaption[0].CaseNumber_ft[0]</t>
        </is>
      </c>
      <c r="F62" s="5" t="inlineStr">
        <is>
          <t>text</t>
        </is>
      </c>
      <c r="G62" s="5" t="inlineStr"/>
      <c r="H62" s="5" t="inlineStr"/>
      <c r="I62" s="5" t="inlineStr">
        <is>
          <t>400, 51, 572, 62</t>
        </is>
      </c>
      <c r="J62" s="5" t="inlineStr">
        <is>
          <t>question</t>
        </is>
      </c>
      <c r="K62" s="5" t="inlineStr">
        <is>
          <t>S3,S4</t>
        </is>
      </c>
      <c r="L62" s="5">
        <f> S4</f>
        <v/>
      </c>
      <c r="M62" s="5" t="inlineStr">
        <is>
          <t>S3 == "update"; otherwise blank for clerk</t>
        </is>
      </c>
      <c r="N62" s="5" t="inlineStr"/>
      <c r="O62" s="5" t="inlineStr"/>
    </row>
    <row r="63">
      <c r="A63" s="8" t="n">
        <v>62</v>
      </c>
      <c r="B63" s="8" t="n">
        <v>3</v>
      </c>
      <c r="C63" s="8" t="inlineStr">
        <is>
          <t>9 (court)</t>
        </is>
      </c>
      <c r="D63" s="8" t="inlineStr">
        <is>
          <t>Professional Supervised (Monitored) Visits With Children</t>
        </is>
      </c>
      <c r="E63" s="8" t="inlineStr">
        <is>
          <t>DV-140[0].Page3[0].List9[0].CheckBoxRightCaption[0]</t>
        </is>
      </c>
      <c r="F63" s="8" t="inlineStr">
        <is>
          <t>checkbox</t>
        </is>
      </c>
      <c r="G63" s="8" t="inlineStr">
        <is>
          <t>1</t>
        </is>
      </c>
      <c r="H63" s="8" t="inlineStr"/>
      <c r="I63" s="8" t="inlineStr">
        <is>
          <t>63, 100, 72, 109</t>
        </is>
      </c>
      <c r="J63" s="8" t="inlineStr">
        <is>
          <t>court/clerk</t>
        </is>
      </c>
      <c r="K63" s="8" t="inlineStr"/>
      <c r="L63" s="8" t="inlineStr"/>
      <c r="M63" s="8" t="inlineStr"/>
      <c r="N63" s="8" t="inlineStr">
        <is>
          <t>Judge completes.</t>
        </is>
      </c>
      <c r="O63" s="8" t="inlineStr"/>
    </row>
    <row r="64">
      <c r="A64" s="8" t="n">
        <v>63</v>
      </c>
      <c r="B64" s="8" t="n">
        <v>3</v>
      </c>
      <c r="C64" s="8" t="inlineStr">
        <is>
          <t>9 (court)</t>
        </is>
      </c>
      <c r="D64" s="8" t="inlineStr">
        <is>
          <t>Person in</t>
        </is>
      </c>
      <c r="E64" s="8" t="inlineStr">
        <is>
          <t>DV-140[0].Page3[0].List9[0].Li1[0].CheckBoxRightCaption1[0]</t>
        </is>
      </c>
      <c r="F64" s="8" t="inlineStr">
        <is>
          <t>checkbox</t>
        </is>
      </c>
      <c r="G64" s="8" t="inlineStr">
        <is>
          <t>1</t>
        </is>
      </c>
      <c r="H64" s="8" t="inlineStr"/>
      <c r="I64" s="8" t="inlineStr">
        <is>
          <t>193, 130, 202, 139</t>
        </is>
      </c>
      <c r="J64" s="8" t="inlineStr">
        <is>
          <t>court/clerk</t>
        </is>
      </c>
      <c r="K64" s="8" t="inlineStr"/>
      <c r="L64" s="8" t="inlineStr"/>
      <c r="M64" s="8" t="inlineStr"/>
      <c r="N64" s="8" t="inlineStr">
        <is>
          <t>Judge completes.</t>
        </is>
      </c>
      <c r="O64" s="8" t="inlineStr"/>
    </row>
    <row r="65">
      <c r="A65" s="8" t="n">
        <v>64</v>
      </c>
      <c r="B65" s="8" t="n">
        <v>3</v>
      </c>
      <c r="C65" s="8" t="inlineStr">
        <is>
          <t>9 (court)</t>
        </is>
      </c>
      <c r="D65" s="8" t="inlineStr">
        <is>
          <t>Person in</t>
        </is>
      </c>
      <c r="E65" s="8" t="inlineStr">
        <is>
          <t>DV-140[0].Page3[0].List9[0].Li1[0].CheckBoxRightCaption11[0]</t>
        </is>
      </c>
      <c r="F65" s="8" t="inlineStr">
        <is>
          <t>checkbox</t>
        </is>
      </c>
      <c r="G65" s="8" t="inlineStr">
        <is>
          <t>1</t>
        </is>
      </c>
      <c r="H65" s="8" t="inlineStr"/>
      <c r="I65" s="8" t="inlineStr">
        <is>
          <t>280, 130, 289, 139</t>
        </is>
      </c>
      <c r="J65" s="8" t="inlineStr">
        <is>
          <t>court/clerk</t>
        </is>
      </c>
      <c r="K65" s="8" t="inlineStr"/>
      <c r="L65" s="8" t="inlineStr"/>
      <c r="M65" s="8" t="inlineStr"/>
      <c r="N65" s="8" t="inlineStr">
        <is>
          <t>Judge completes.</t>
        </is>
      </c>
      <c r="O65" s="8" t="inlineStr"/>
    </row>
    <row r="66">
      <c r="A66" s="8" t="n">
        <v>65</v>
      </c>
      <c r="B66" s="8" t="n">
        <v>3</v>
      </c>
      <c r="C66" s="8" t="inlineStr">
        <is>
          <t>9 (court)</t>
        </is>
      </c>
      <c r="D66" s="8" t="inlineStr">
        <is>
          <t>Person in 1 must contact chosen provider by (date):</t>
        </is>
      </c>
      <c r="E66" s="8" t="inlineStr">
        <is>
          <t>DV-140[0].Page3[0].List9[0].Li2[0].List[0].Li1[0].DateField1[0]</t>
        </is>
      </c>
      <c r="F66" s="8" t="inlineStr">
        <is>
          <t>text</t>
        </is>
      </c>
      <c r="G66" s="8" t="inlineStr"/>
      <c r="H66" s="8" t="inlineStr"/>
      <c r="I66" s="8" t="inlineStr">
        <is>
          <t>351, 285, 576, 298</t>
        </is>
      </c>
      <c r="J66" s="8" t="inlineStr">
        <is>
          <t>court/clerk</t>
        </is>
      </c>
      <c r="K66" s="8" t="inlineStr"/>
      <c r="L66" s="8" t="inlineStr"/>
      <c r="M66" s="8" t="inlineStr"/>
      <c r="N66" s="8" t="inlineStr">
        <is>
          <t>Judge completes.</t>
        </is>
      </c>
      <c r="O66" s="8" t="inlineStr"/>
    </row>
    <row r="67">
      <c r="A67" s="8" t="n">
        <v>66</v>
      </c>
      <c r="B67" s="8" t="n">
        <v>3</v>
      </c>
      <c r="C67" s="8" t="inlineStr">
        <is>
          <t>9 (court)</t>
        </is>
      </c>
      <c r="D67" s="8" t="inlineStr">
        <is>
          <t>Person in 2 must contact chosen provider by (date):</t>
        </is>
      </c>
      <c r="E67" s="8" t="inlineStr">
        <is>
          <t>DV-140[0].Page3[0].List9[0].Li2[0].List[0].Li1[0].DateField2[0]</t>
        </is>
      </c>
      <c r="F67" s="8" t="inlineStr">
        <is>
          <t>text</t>
        </is>
      </c>
      <c r="G67" s="8" t="inlineStr"/>
      <c r="H67" s="8" t="inlineStr"/>
      <c r="I67" s="8" t="inlineStr">
        <is>
          <t>351, 300, 576, 313</t>
        </is>
      </c>
      <c r="J67" s="8" t="inlineStr">
        <is>
          <t>court/clerk</t>
        </is>
      </c>
      <c r="K67" s="8" t="inlineStr"/>
      <c r="L67" s="8" t="inlineStr"/>
      <c r="M67" s="8" t="inlineStr"/>
      <c r="N67" s="8" t="inlineStr">
        <is>
          <t>Judge completes.</t>
        </is>
      </c>
      <c r="O67" s="8" t="inlineStr"/>
    </row>
    <row r="68">
      <c r="A68" s="8" t="n">
        <v>67</v>
      </c>
      <c r="B68" s="8" t="n">
        <v>3</v>
      </c>
      <c r="C68" s="8" t="inlineStr">
        <is>
          <t>9 (court)</t>
        </is>
      </c>
      <c r="D68" s="8" t="inlineStr">
        <is>
          <t>Telephone:</t>
        </is>
      </c>
      <c r="E68" s="8" t="inlineStr">
        <is>
          <t>DV-140[0].Page3[0].List9[0].Li2[0].List[0].Li1[0].phonetf[0]</t>
        </is>
      </c>
      <c r="F68" s="8" t="inlineStr">
        <is>
          <t>text</t>
        </is>
      </c>
      <c r="G68" s="8" t="inlineStr"/>
      <c r="H68" s="8" t="inlineStr"/>
      <c r="I68" s="8" t="inlineStr">
        <is>
          <t>466, 178, 573, 193</t>
        </is>
      </c>
      <c r="J68" s="8" t="inlineStr">
        <is>
          <t>court/clerk</t>
        </is>
      </c>
      <c r="K68" s="8" t="inlineStr"/>
      <c r="L68" s="8" t="inlineStr"/>
      <c r="M68" s="8" t="inlineStr"/>
      <c r="N68" s="8" t="inlineStr">
        <is>
          <t>Judge completes.</t>
        </is>
      </c>
      <c r="O68" s="8" t="inlineStr"/>
    </row>
    <row r="69">
      <c r="A69" s="8" t="n">
        <v>68</v>
      </c>
      <c r="B69" s="8" t="n">
        <v>3</v>
      </c>
      <c r="C69" s="8" t="inlineStr">
        <is>
          <t>9 (court)</t>
        </is>
      </c>
      <c r="D69" s="8" t="inlineStr">
        <is>
          <t>Address (if known):</t>
        </is>
      </c>
      <c r="E69" s="8" t="inlineStr">
        <is>
          <t>DV-140[0].Page3[0].List9[0].Li2[0].List[0].Li1[0].addresstf[0]</t>
        </is>
      </c>
      <c r="F69" s="8" t="inlineStr">
        <is>
          <t>text</t>
        </is>
      </c>
      <c r="G69" s="8" t="inlineStr"/>
      <c r="H69" s="8" t="inlineStr"/>
      <c r="I69" s="8" t="inlineStr">
        <is>
          <t>201, 195, 574, 210</t>
        </is>
      </c>
      <c r="J69" s="8" t="inlineStr">
        <is>
          <t>court/clerk</t>
        </is>
      </c>
      <c r="K69" s="8" t="inlineStr"/>
      <c r="L69" s="8" t="inlineStr"/>
      <c r="M69" s="8" t="inlineStr"/>
      <c r="N69" s="8" t="inlineStr">
        <is>
          <t>Judge completes.</t>
        </is>
      </c>
      <c r="O69" s="8" t="inlineStr"/>
    </row>
    <row r="70">
      <c r="A70" s="8" t="n">
        <v>69</v>
      </c>
      <c r="B70" s="8" t="n">
        <v>3</v>
      </c>
      <c r="C70" s="8" t="inlineStr">
        <is>
          <t>9 (court)</t>
        </is>
      </c>
      <c r="D70" s="8" t="inlineStr">
        <is>
          <t>Chosen provider:</t>
        </is>
      </c>
      <c r="E70" s="8" t="inlineStr">
        <is>
          <t>DV-140[0].Page3[0].List9[0].Li2[0].List[0].Li1[0].TextField[0]</t>
        </is>
      </c>
      <c r="F70" s="8" t="inlineStr">
        <is>
          <t>text</t>
        </is>
      </c>
      <c r="G70" s="8" t="inlineStr"/>
      <c r="H70" s="8" t="inlineStr"/>
      <c r="I70" s="8" t="inlineStr">
        <is>
          <t>189, 177, 413, 190</t>
        </is>
      </c>
      <c r="J70" s="8" t="inlineStr">
        <is>
          <t>court/clerk</t>
        </is>
      </c>
      <c r="K70" s="8" t="inlineStr"/>
      <c r="L70" s="8" t="inlineStr"/>
      <c r="M70" s="8" t="inlineStr"/>
      <c r="N70" s="8" t="inlineStr">
        <is>
          <t>Judge completes.</t>
        </is>
      </c>
      <c r="O70" s="8" t="inlineStr"/>
    </row>
    <row r="71">
      <c r="A71" s="8" t="n">
        <v>70</v>
      </c>
      <c r="B71" s="8" t="n">
        <v>3</v>
      </c>
      <c r="C71" s="8" t="inlineStr">
        <is>
          <t>9 (court)</t>
        </is>
      </c>
      <c r="D71" s="8" t="inlineStr">
        <is>
          <t>Chosen provider:</t>
        </is>
      </c>
      <c r="E71" s="8" t="inlineStr">
        <is>
          <t>DV-140[0].Page3[0].List9[0].Li2[0].List[0].Li1[0].CheckBoxRightCaption[0]</t>
        </is>
      </c>
      <c r="F71" s="8" t="inlineStr">
        <is>
          <t>checkbox</t>
        </is>
      </c>
      <c r="G71" s="8" t="inlineStr">
        <is>
          <t>1</t>
        </is>
      </c>
      <c r="H71" s="8" t="inlineStr"/>
      <c r="I71" s="8" t="inlineStr">
        <is>
          <t>99, 177, 108, 186</t>
        </is>
      </c>
      <c r="J71" s="8" t="inlineStr">
        <is>
          <t>court/clerk</t>
        </is>
      </c>
      <c r="K71" s="8" t="inlineStr"/>
      <c r="L71" s="8" t="inlineStr"/>
      <c r="M71" s="8" t="inlineStr"/>
      <c r="N71" s="8" t="inlineStr">
        <is>
          <t>Judge completes.</t>
        </is>
      </c>
      <c r="O71" s="8" t="inlineStr"/>
    </row>
    <row r="72">
      <c r="A72" s="8" t="n">
        <v>71</v>
      </c>
      <c r="B72" s="8" t="n">
        <v>3</v>
      </c>
      <c r="C72" s="8" t="inlineStr">
        <is>
          <t>9 (court)</t>
        </is>
      </c>
      <c r="D72" s="8" t="inlineStr">
        <is>
          <t>Alternate provider:</t>
        </is>
      </c>
      <c r="E72" s="8" t="inlineStr">
        <is>
          <t>DV-140[0].Page3[0].List9[0].Li2[0].List[0].Li1[0].tf1[0]</t>
        </is>
      </c>
      <c r="F72" s="8" t="inlineStr">
        <is>
          <t>text</t>
        </is>
      </c>
      <c r="G72" s="8" t="inlineStr"/>
      <c r="H72" s="8" t="inlineStr"/>
      <c r="I72" s="8" t="inlineStr">
        <is>
          <t>198, 244, 411, 255</t>
        </is>
      </c>
      <c r="J72" s="8" t="inlineStr">
        <is>
          <t>court/clerk</t>
        </is>
      </c>
      <c r="K72" s="8" t="inlineStr"/>
      <c r="L72" s="8" t="inlineStr"/>
      <c r="M72" s="8" t="inlineStr"/>
      <c r="N72" s="8" t="inlineStr">
        <is>
          <t>Judge completes.</t>
        </is>
      </c>
      <c r="O72" s="8" t="inlineStr"/>
    </row>
    <row r="73">
      <c r="A73" s="8" t="n">
        <v>72</v>
      </c>
      <c r="B73" s="8" t="n">
        <v>3</v>
      </c>
      <c r="C73" s="8" t="inlineStr">
        <is>
          <t>9 (court)</t>
        </is>
      </c>
      <c r="D73" s="8" t="inlineStr">
        <is>
          <t>Telephone:</t>
        </is>
      </c>
      <c r="E73" s="8" t="inlineStr">
        <is>
          <t>DV-140[0].Page3[0].List9[0].Li2[0].List[0].Li1[0].phonetf1[0]</t>
        </is>
      </c>
      <c r="F73" s="8" t="inlineStr">
        <is>
          <t>text</t>
        </is>
      </c>
      <c r="G73" s="8" t="inlineStr"/>
      <c r="H73" s="8" t="inlineStr"/>
      <c r="I73" s="8" t="inlineStr">
        <is>
          <t>465, 243, 573, 258</t>
        </is>
      </c>
      <c r="J73" s="8" t="inlineStr">
        <is>
          <t>court/clerk</t>
        </is>
      </c>
      <c r="K73" s="8" t="inlineStr"/>
      <c r="L73" s="8" t="inlineStr"/>
      <c r="M73" s="8" t="inlineStr"/>
      <c r="N73" s="8" t="inlineStr">
        <is>
          <t>Judge completes.</t>
        </is>
      </c>
      <c r="O73" s="8" t="inlineStr"/>
    </row>
    <row r="74">
      <c r="A74" s="8" t="n">
        <v>73</v>
      </c>
      <c r="B74" s="8" t="n">
        <v>3</v>
      </c>
      <c r="C74" s="8" t="inlineStr">
        <is>
          <t>9 (court)</t>
        </is>
      </c>
      <c r="D74" s="8" t="inlineStr">
        <is>
          <t>Address (if known):</t>
        </is>
      </c>
      <c r="E74" s="8" t="inlineStr">
        <is>
          <t>DV-140[0].Page3[0].List9[0].Li2[0].List[0].Li1[0].addresstf1[0]</t>
        </is>
      </c>
      <c r="F74" s="8" t="inlineStr">
        <is>
          <t>text</t>
        </is>
      </c>
      <c r="G74" s="8" t="inlineStr"/>
      <c r="H74" s="8" t="inlineStr"/>
      <c r="I74" s="8" t="inlineStr">
        <is>
          <t>201, 257, 574, 272</t>
        </is>
      </c>
      <c r="J74" s="8" t="inlineStr">
        <is>
          <t>court/clerk</t>
        </is>
      </c>
      <c r="K74" s="8" t="inlineStr"/>
      <c r="L74" s="8" t="inlineStr"/>
      <c r="M74" s="8" t="inlineStr"/>
      <c r="N74" s="8" t="inlineStr">
        <is>
          <t>Judge completes.</t>
        </is>
      </c>
      <c r="O74" s="8" t="inlineStr"/>
    </row>
    <row r="75">
      <c r="A75" s="8" t="n">
        <v>74</v>
      </c>
      <c r="B75" s="8" t="n">
        <v>3</v>
      </c>
      <c r="C75" s="8" t="inlineStr">
        <is>
          <t>9 (court)</t>
        </is>
      </c>
      <c r="D75" s="8" t="inlineStr">
        <is>
          <t>Person in</t>
        </is>
      </c>
      <c r="E75" s="8" t="inlineStr">
        <is>
          <t>DV-140[0].Page3[0].List9[0].Li2[0].List[0].Li2[0].CheckBoxitem9b2person[0]</t>
        </is>
      </c>
      <c r="F75" s="8" t="inlineStr">
        <is>
          <t>checkbox</t>
        </is>
      </c>
      <c r="G75" s="8" t="inlineStr">
        <is>
          <t>31</t>
        </is>
      </c>
      <c r="H75" s="8" t="inlineStr"/>
      <c r="I75" s="8" t="inlineStr">
        <is>
          <t>212, 362, 221, 371</t>
        </is>
      </c>
      <c r="J75" s="8" t="inlineStr">
        <is>
          <t>court/clerk</t>
        </is>
      </c>
      <c r="K75" s="8" t="inlineStr"/>
      <c r="L75" s="8" t="inlineStr"/>
      <c r="M75" s="8" t="inlineStr"/>
      <c r="N75" s="8" t="inlineStr">
        <is>
          <t>Judge completes.</t>
        </is>
      </c>
      <c r="O75" s="8" t="inlineStr"/>
    </row>
    <row r="76">
      <c r="A76" s="8" t="n">
        <v>75</v>
      </c>
      <c r="B76" s="8" t="n">
        <v>3</v>
      </c>
      <c r="C76" s="8" t="inlineStr">
        <is>
          <t>9 (court)</t>
        </is>
      </c>
      <c r="D76" s="8" t="inlineStr">
        <is>
          <t>Person in</t>
        </is>
      </c>
      <c r="E76" s="8" t="inlineStr">
        <is>
          <t>DV-140[0].Page3[0].List9[0].Li2[0].List[0].Li2[0].CheckBoxitem9b2person2[0]</t>
        </is>
      </c>
      <c r="F76" s="8" t="inlineStr">
        <is>
          <t>checkbox</t>
        </is>
      </c>
      <c r="G76" s="8" t="inlineStr">
        <is>
          <t>31</t>
        </is>
      </c>
      <c r="H76" s="8" t="inlineStr"/>
      <c r="I76" s="8" t="inlineStr">
        <is>
          <t>302, 361, 311, 370</t>
        </is>
      </c>
      <c r="J76" s="8" t="inlineStr">
        <is>
          <t>court/clerk</t>
        </is>
      </c>
      <c r="K76" s="8" t="inlineStr"/>
      <c r="L76" s="8" t="inlineStr"/>
      <c r="M76" s="8" t="inlineStr"/>
      <c r="N76" s="8" t="inlineStr">
        <is>
          <t>Judge completes.</t>
        </is>
      </c>
      <c r="O76" s="8" t="inlineStr"/>
    </row>
    <row r="77">
      <c r="A77" s="8" t="n">
        <v>76</v>
      </c>
      <c r="B77" s="8" t="n">
        <v>3</v>
      </c>
      <c r="C77" s="8" t="inlineStr">
        <is>
          <t>9 (court)</t>
        </is>
      </c>
      <c r="D77" s="8" t="inlineStr">
        <is>
          <t>is attached to this order.</t>
        </is>
      </c>
      <c r="E77" s="8" t="inlineStr">
        <is>
          <t>DV-140[0].Page3[0].List9[0].Li2[0].List[0].Li2[0].item9b2[0]</t>
        </is>
      </c>
      <c r="F77" s="8" t="inlineStr">
        <is>
          <t>checkbox</t>
        </is>
      </c>
      <c r="G77" s="8" t="inlineStr">
        <is>
          <t>1</t>
        </is>
      </c>
      <c r="H77" s="8" t="inlineStr"/>
      <c r="I77" s="8" t="inlineStr">
        <is>
          <t>112, 348, 121, 357</t>
        </is>
      </c>
      <c r="J77" s="8" t="inlineStr">
        <is>
          <t>court/clerk</t>
        </is>
      </c>
      <c r="K77" s="8" t="inlineStr"/>
      <c r="L77" s="8" t="inlineStr"/>
      <c r="M77" s="8" t="inlineStr"/>
      <c r="N77" s="8" t="inlineStr">
        <is>
          <t>Judge completes.</t>
        </is>
      </c>
      <c r="O77" s="8" t="inlineStr"/>
    </row>
    <row r="78">
      <c r="A78" s="8" t="n">
        <v>77</v>
      </c>
      <c r="B78" s="8" t="n">
        <v>3</v>
      </c>
      <c r="C78" s="8" t="inlineStr">
        <is>
          <t>9 (court)</t>
        </is>
      </c>
      <c r="D78" s="8" t="inlineStr">
        <is>
          <t>given in court to</t>
        </is>
      </c>
      <c r="E78" s="8" t="inlineStr">
        <is>
          <t>DV-140[0].Page3[0].List9[0].Li2[0].List[0].Li2[0].item9b2[1]</t>
        </is>
      </c>
      <c r="F78" s="8" t="inlineStr">
        <is>
          <t>checkbox</t>
        </is>
      </c>
      <c r="G78" s="8" t="inlineStr">
        <is>
          <t>11</t>
        </is>
      </c>
      <c r="H78" s="8" t="inlineStr"/>
      <c r="I78" s="8" t="inlineStr">
        <is>
          <t>112, 361, 121, 370</t>
        </is>
      </c>
      <c r="J78" s="8" t="inlineStr">
        <is>
          <t>court/clerk</t>
        </is>
      </c>
      <c r="K78" s="8" t="inlineStr"/>
      <c r="L78" s="8" t="inlineStr"/>
      <c r="M78" s="8" t="inlineStr"/>
      <c r="N78" s="8" t="inlineStr">
        <is>
          <t>Judge completes.</t>
        </is>
      </c>
      <c r="O78" s="8" t="inlineStr"/>
    </row>
    <row r="79">
      <c r="A79" s="8" t="n">
        <v>78</v>
      </c>
      <c r="B79" s="8" t="n">
        <v>3</v>
      </c>
      <c r="C79" s="8" t="inlineStr">
        <is>
          <t>9 (court)</t>
        </is>
      </c>
      <c r="D79" s="8" t="inlineStr">
        <is>
          <t>Person in</t>
        </is>
      </c>
      <c r="E79" s="8" t="inlineStr">
        <is>
          <t>DV-140[0].Page3[0].List9[0].Li2[0].List[0].Li2[0].CheckBoxitem9b2person3[0]</t>
        </is>
      </c>
      <c r="F79" s="8" t="inlineStr">
        <is>
          <t>checkbox</t>
        </is>
      </c>
      <c r="G79" s="8" t="inlineStr">
        <is>
          <t>31</t>
        </is>
      </c>
      <c r="H79" s="8" t="inlineStr"/>
      <c r="I79" s="8" t="inlineStr">
        <is>
          <t>99, 377, 108, 386</t>
        </is>
      </c>
      <c r="J79" s="8" t="inlineStr">
        <is>
          <t>court/clerk</t>
        </is>
      </c>
      <c r="K79" s="8" t="inlineStr"/>
      <c r="L79" s="8" t="inlineStr"/>
      <c r="M79" s="8" t="inlineStr"/>
      <c r="N79" s="8" t="inlineStr">
        <is>
          <t>Judge completes.</t>
        </is>
      </c>
      <c r="O79" s="8" t="inlineStr"/>
    </row>
    <row r="80">
      <c r="A80" s="8" t="n">
        <v>79</v>
      </c>
      <c r="B80" s="8" t="n">
        <v>3</v>
      </c>
      <c r="C80" s="8" t="inlineStr">
        <is>
          <t>9 (court)</t>
        </is>
      </c>
      <c r="D80" s="8" t="inlineStr">
        <is>
          <t>Person in</t>
        </is>
      </c>
      <c r="E80" s="8" t="inlineStr">
        <is>
          <t>DV-140[0].Page3[0].List9[0].Li2[0].List[0].Li2[0].CheckBoxitem9b2person4[0]</t>
        </is>
      </c>
      <c r="F80" s="8" t="inlineStr">
        <is>
          <t>checkbox</t>
        </is>
      </c>
      <c r="G80" s="8" t="inlineStr">
        <is>
          <t>31</t>
        </is>
      </c>
      <c r="H80" s="8" t="inlineStr"/>
      <c r="I80" s="8" t="inlineStr">
        <is>
          <t>182, 377, 191, 386</t>
        </is>
      </c>
      <c r="J80" s="8" t="inlineStr">
        <is>
          <t>court/clerk</t>
        </is>
      </c>
      <c r="K80" s="8" t="inlineStr"/>
      <c r="L80" s="8" t="inlineStr"/>
      <c r="M80" s="8" t="inlineStr"/>
      <c r="N80" s="8" t="inlineStr">
        <is>
          <t>Judge completes.</t>
        </is>
      </c>
      <c r="O80" s="8" t="inlineStr"/>
    </row>
    <row r="81">
      <c r="A81" s="8" t="n">
        <v>80</v>
      </c>
      <c r="B81" s="8" t="n">
        <v>3</v>
      </c>
      <c r="C81" s="8" t="inlineStr">
        <is>
          <t>9 (court)</t>
        </is>
      </c>
      <c r="D81" s="8" t="inlineStr">
        <is>
          <t>(date):</t>
        </is>
      </c>
      <c r="E81" s="8" t="inlineStr">
        <is>
          <t>DV-140[0].Page3[0].List9[0].Li2[0].List[0].Li2[0].addresstf[0]</t>
        </is>
      </c>
      <c r="F81" s="8" t="inlineStr">
        <is>
          <t>text</t>
        </is>
      </c>
      <c r="G81" s="8" t="inlineStr"/>
      <c r="H81" s="8" t="inlineStr"/>
      <c r="I81" s="8" t="inlineStr">
        <is>
          <t>463, 377, 572, 389</t>
        </is>
      </c>
      <c r="J81" s="8" t="inlineStr">
        <is>
          <t>court/clerk</t>
        </is>
      </c>
      <c r="K81" s="8" t="inlineStr"/>
      <c r="L81" s="8" t="inlineStr"/>
      <c r="M81" s="8" t="inlineStr"/>
      <c r="N81" s="8" t="inlineStr">
        <is>
          <t>Judge completes.</t>
        </is>
      </c>
      <c r="O81" s="8" t="inlineStr"/>
    </row>
    <row r="82">
      <c r="A82" s="8" t="n">
        <v>81</v>
      </c>
      <c r="B82" s="8" t="n">
        <v>3</v>
      </c>
      <c r="C82" s="8" t="inlineStr">
        <is>
          <t>9 (court)</t>
        </is>
      </c>
      <c r="D82" s="8" t="inlineStr">
        <is>
          <t>A list of providers (check one):</t>
        </is>
      </c>
      <c r="E82" s="8" t="inlineStr">
        <is>
          <t>DV-140[0].Page3[0].List9[0].Li2[0].List[0].Li2[0].CheckBoxRightCaption[0]</t>
        </is>
      </c>
      <c r="F82" s="8" t="inlineStr">
        <is>
          <t>checkbox</t>
        </is>
      </c>
      <c r="G82" s="8" t="inlineStr">
        <is>
          <t>1</t>
        </is>
      </c>
      <c r="H82" s="8" t="inlineStr"/>
      <c r="I82" s="8" t="inlineStr">
        <is>
          <t>98, 332, 107, 341</t>
        </is>
      </c>
      <c r="J82" s="8" t="inlineStr">
        <is>
          <t>court/clerk</t>
        </is>
      </c>
      <c r="K82" s="8" t="inlineStr"/>
      <c r="L82" s="8" t="inlineStr"/>
      <c r="M82" s="8" t="inlineStr"/>
      <c r="N82" s="8" t="inlineStr">
        <is>
          <t>Judge completes.</t>
        </is>
      </c>
      <c r="O82" s="8" t="inlineStr"/>
    </row>
    <row r="83">
      <c r="A83" s="8" t="n">
        <v>82</v>
      </c>
      <c r="B83" s="8" t="n">
        <v>3</v>
      </c>
      <c r="C83" s="8" t="inlineStr">
        <is>
          <t>9 (court)</t>
        </is>
      </c>
      <c r="D83" s="8" t="inlineStr">
        <is>
          <t>Other</t>
        </is>
      </c>
      <c r="E83" s="8" t="inlineStr">
        <is>
          <t>DV-140[0].Page3[0].List9[0].Li2[0].List[0].Li3[0].item9b3[0]</t>
        </is>
      </c>
      <c r="F83" s="8" t="inlineStr">
        <is>
          <t>text</t>
        </is>
      </c>
      <c r="G83" s="8" t="inlineStr"/>
      <c r="H83" s="8" t="inlineStr"/>
      <c r="I83" s="8" t="inlineStr">
        <is>
          <t>144, 411, 575, 424</t>
        </is>
      </c>
      <c r="J83" s="8" t="inlineStr">
        <is>
          <t>court/clerk</t>
        </is>
      </c>
      <c r="K83" s="8" t="inlineStr"/>
      <c r="L83" s="8" t="inlineStr"/>
      <c r="M83" s="8" t="inlineStr"/>
      <c r="N83" s="8" t="inlineStr">
        <is>
          <t>Judge completes.</t>
        </is>
      </c>
      <c r="O83" s="8" t="inlineStr"/>
    </row>
    <row r="84">
      <c r="A84" s="8" t="n">
        <v>83</v>
      </c>
      <c r="B84" s="8" t="n">
        <v>3</v>
      </c>
      <c r="C84" s="8" t="inlineStr">
        <is>
          <t>9 (court)</t>
        </is>
      </c>
      <c r="D84" s="8" t="inlineStr">
        <is>
          <t>Other</t>
        </is>
      </c>
      <c r="E84" s="8" t="inlineStr">
        <is>
          <t>DV-140[0].Page3[0].List9[0].Li2[0].List[0].Li3[0].item9b3cont[0]</t>
        </is>
      </c>
      <c r="F84" s="8" t="inlineStr">
        <is>
          <t>text</t>
        </is>
      </c>
      <c r="G84" s="8" t="inlineStr"/>
      <c r="H84" s="8" t="inlineStr"/>
      <c r="I84" s="8" t="inlineStr">
        <is>
          <t>98, 425, 575, 440</t>
        </is>
      </c>
      <c r="J84" s="8" t="inlineStr">
        <is>
          <t>court/clerk</t>
        </is>
      </c>
      <c r="K84" s="8" t="inlineStr"/>
      <c r="L84" s="8" t="inlineStr"/>
      <c r="M84" s="8" t="inlineStr"/>
      <c r="N84" s="8" t="inlineStr">
        <is>
          <t>Judge completes.</t>
        </is>
      </c>
      <c r="O84" s="8" t="inlineStr"/>
    </row>
    <row r="85">
      <c r="A85" s="8" t="n">
        <v>84</v>
      </c>
      <c r="B85" s="8" t="n">
        <v>3</v>
      </c>
      <c r="C85" s="8" t="inlineStr">
        <is>
          <t>9 (court)</t>
        </is>
      </c>
      <c r="D85" s="8" t="inlineStr">
        <is>
          <t>Other:</t>
        </is>
      </c>
      <c r="E85" s="8" t="inlineStr">
        <is>
          <t>DV-140[0].Page3[0].List9[0].Li2[0].List[0].Li3[0].CheckBoxRightCaption[0]</t>
        </is>
      </c>
      <c r="F85" s="8" t="inlineStr">
        <is>
          <t>checkbox</t>
        </is>
      </c>
      <c r="G85" s="8" t="inlineStr">
        <is>
          <t>1</t>
        </is>
      </c>
      <c r="H85" s="8" t="inlineStr"/>
      <c r="I85" s="8" t="inlineStr">
        <is>
          <t>98, 410, 107, 419</t>
        </is>
      </c>
      <c r="J85" s="8" t="inlineStr">
        <is>
          <t>court/clerk</t>
        </is>
      </c>
      <c r="K85" s="8" t="inlineStr"/>
      <c r="L85" s="8" t="inlineStr"/>
      <c r="M85" s="8" t="inlineStr"/>
      <c r="N85" s="8" t="inlineStr">
        <is>
          <t>Judge completes.</t>
        </is>
      </c>
      <c r="O85" s="8" t="inlineStr"/>
    </row>
    <row r="86">
      <c r="A86" s="8" t="n">
        <v>85</v>
      </c>
      <c r="B86" s="8" t="n">
        <v>3</v>
      </c>
      <c r="C86" s="8" t="inlineStr">
        <is>
          <t>9 (court)</t>
        </is>
      </c>
      <c r="D86" s="8" t="inlineStr">
        <is>
          <t>Once a week, for (number of hours):</t>
        </is>
      </c>
      <c r="E86" s="8" t="inlineStr">
        <is>
          <t>DV-140[0].Page3[0].List9[0].Li3[0].CheckBoxitem9c[0]</t>
        </is>
      </c>
      <c r="F86" s="8" t="inlineStr">
        <is>
          <t>checkbox</t>
        </is>
      </c>
      <c r="G86" s="8" t="inlineStr">
        <is>
          <t>1</t>
        </is>
      </c>
      <c r="H86" s="8" t="inlineStr"/>
      <c r="I86" s="8" t="inlineStr">
        <is>
          <t>79, 480, 88, 489</t>
        </is>
      </c>
      <c r="J86" s="8" t="inlineStr">
        <is>
          <t>court/clerk</t>
        </is>
      </c>
      <c r="K86" s="8" t="inlineStr"/>
      <c r="L86" s="8" t="inlineStr"/>
      <c r="M86" s="8" t="inlineStr"/>
      <c r="N86" s="8" t="inlineStr">
        <is>
          <t>Judge completes.</t>
        </is>
      </c>
      <c r="O86" s="8" t="inlineStr"/>
    </row>
    <row r="87">
      <c r="A87" s="8" t="n">
        <v>86</v>
      </c>
      <c r="B87" s="8" t="n">
        <v>3</v>
      </c>
      <c r="C87" s="8" t="inlineStr">
        <is>
          <t>9 (court)</t>
        </is>
      </c>
      <c r="D87" s="8" t="inlineStr">
        <is>
          <t>number of hours</t>
        </is>
      </c>
      <c r="E87" s="8" t="inlineStr">
        <is>
          <t>DV-140[0].Page3[0].List9[0].Li3[0].DecimalField1[0]</t>
        </is>
      </c>
      <c r="F87" s="8" t="inlineStr">
        <is>
          <t>text</t>
        </is>
      </c>
      <c r="G87" s="8" t="inlineStr"/>
      <c r="H87" s="8" t="inlineStr"/>
      <c r="I87" s="8" t="inlineStr">
        <is>
          <t>261, 480, 312, 495</t>
        </is>
      </c>
      <c r="J87" s="8" t="inlineStr">
        <is>
          <t>court/clerk</t>
        </is>
      </c>
      <c r="K87" s="8" t="inlineStr"/>
      <c r="L87" s="8" t="inlineStr"/>
      <c r="M87" s="8" t="inlineStr"/>
      <c r="N87" s="8" t="inlineStr">
        <is>
          <t>Judge completes.</t>
        </is>
      </c>
      <c r="O87" s="8" t="inlineStr"/>
    </row>
    <row r="88">
      <c r="A88" s="8" t="n">
        <v>87</v>
      </c>
      <c r="B88" s="8" t="n">
        <v>3</v>
      </c>
      <c r="C88" s="8" t="inlineStr">
        <is>
          <t>9 (court)</t>
        </is>
      </c>
      <c r="D88" s="8" t="inlineStr">
        <is>
          <t>Twice a week, for (number of hours):</t>
        </is>
      </c>
      <c r="E88" s="8" t="inlineStr">
        <is>
          <t>DV-140[0].Page3[0].List9[0].Li3[0].CheckBoxitem9c[1]</t>
        </is>
      </c>
      <c r="F88" s="8" t="inlineStr">
        <is>
          <t>checkbox</t>
        </is>
      </c>
      <c r="G88" s="8" t="inlineStr">
        <is>
          <t>11</t>
        </is>
      </c>
      <c r="H88" s="8" t="inlineStr"/>
      <c r="I88" s="8" t="inlineStr">
        <is>
          <t>79, 497, 88, 506</t>
        </is>
      </c>
      <c r="J88" s="8" t="inlineStr">
        <is>
          <t>court/clerk</t>
        </is>
      </c>
      <c r="K88" s="8" t="inlineStr"/>
      <c r="L88" s="8" t="inlineStr"/>
      <c r="M88" s="8" t="inlineStr"/>
      <c r="N88" s="8" t="inlineStr">
        <is>
          <t>Judge completes.</t>
        </is>
      </c>
      <c r="O88" s="8" t="inlineStr"/>
    </row>
    <row r="89">
      <c r="A89" s="8" t="n">
        <v>88</v>
      </c>
      <c r="B89" s="8" t="n">
        <v>3</v>
      </c>
      <c r="C89" s="8" t="inlineStr">
        <is>
          <t>9 (court)</t>
        </is>
      </c>
      <c r="D89" s="8" t="inlineStr">
        <is>
          <t>number of hours</t>
        </is>
      </c>
      <c r="E89" s="8" t="inlineStr">
        <is>
          <t>DV-140[0].Page3[0].List9[0].Li3[0].DecimalField2[0]</t>
        </is>
      </c>
      <c r="F89" s="8" t="inlineStr">
        <is>
          <t>text</t>
        </is>
      </c>
      <c r="G89" s="8" t="inlineStr"/>
      <c r="H89" s="8" t="inlineStr"/>
      <c r="I89" s="8" t="inlineStr">
        <is>
          <t>261, 497, 313, 512</t>
        </is>
      </c>
      <c r="J89" s="8" t="inlineStr">
        <is>
          <t>court/clerk</t>
        </is>
      </c>
      <c r="K89" s="8" t="inlineStr"/>
      <c r="L89" s="8" t="inlineStr"/>
      <c r="M89" s="8" t="inlineStr"/>
      <c r="N89" s="8" t="inlineStr">
        <is>
          <t>Judge completes.</t>
        </is>
      </c>
      <c r="O89" s="8" t="inlineStr"/>
    </row>
    <row r="90">
      <c r="A90" s="8" t="n">
        <v>89</v>
      </c>
      <c r="B90" s="8" t="n">
        <v>3</v>
      </c>
      <c r="C90" s="8" t="inlineStr">
        <is>
          <t>9 (court)</t>
        </is>
      </c>
      <c r="D90" s="8" t="inlineStr">
        <is>
          <t>Other (describe):</t>
        </is>
      </c>
      <c r="E90" s="8" t="inlineStr">
        <is>
          <t>DV-140[0].Page3[0].List9[0].Li3[0].CheckBoxitem9c[2]</t>
        </is>
      </c>
      <c r="F90" s="8" t="inlineStr">
        <is>
          <t>checkbox</t>
        </is>
      </c>
      <c r="G90" s="8" t="inlineStr">
        <is>
          <t>31</t>
        </is>
      </c>
      <c r="H90" s="8" t="inlineStr"/>
      <c r="I90" s="8" t="inlineStr">
        <is>
          <t>79, 513, 88, 522</t>
        </is>
      </c>
      <c r="J90" s="8" t="inlineStr">
        <is>
          <t>court/clerk</t>
        </is>
      </c>
      <c r="K90" s="8" t="inlineStr"/>
      <c r="L90" s="8" t="inlineStr"/>
      <c r="M90" s="8" t="inlineStr"/>
      <c r="N90" s="8" t="inlineStr">
        <is>
          <t>Judge completes.</t>
        </is>
      </c>
      <c r="O90" s="8" t="inlineStr"/>
    </row>
    <row r="91">
      <c r="A91" s="8" t="n">
        <v>90</v>
      </c>
      <c r="B91" s="8" t="n">
        <v>3</v>
      </c>
      <c r="C91" s="8" t="inlineStr">
        <is>
          <t>9 (court)</t>
        </is>
      </c>
      <c r="D91" s="8" t="inlineStr">
        <is>
          <t>Other (describe):</t>
        </is>
      </c>
      <c r="E91" s="8" t="inlineStr">
        <is>
          <t>DV-140[0].Page3[0].List9[0].Li3[0].TextField3[0]</t>
        </is>
      </c>
      <c r="F91" s="8" t="inlineStr">
        <is>
          <t>text</t>
        </is>
      </c>
      <c r="G91" s="8" t="inlineStr"/>
      <c r="H91" s="8" t="inlineStr"/>
      <c r="I91" s="8" t="inlineStr">
        <is>
          <t>174, 513, 575, 528</t>
        </is>
      </c>
      <c r="J91" s="8" t="inlineStr">
        <is>
          <t>court/clerk</t>
        </is>
      </c>
      <c r="K91" s="8" t="inlineStr"/>
      <c r="L91" s="8" t="inlineStr"/>
      <c r="M91" s="8" t="inlineStr"/>
      <c r="N91" s="8" t="inlineStr">
        <is>
          <t>Judge completes.</t>
        </is>
      </c>
      <c r="O91" s="8" t="inlineStr"/>
    </row>
    <row r="92">
      <c r="A92" s="8" t="n">
        <v>91</v>
      </c>
      <c r="B92" s="8" t="n">
        <v>3</v>
      </c>
      <c r="C92" s="8" t="inlineStr">
        <is>
          <t>9 (court)</t>
        </is>
      </c>
      <c r="D92" s="8" t="inlineStr">
        <is>
          <t>%</t>
        </is>
      </c>
      <c r="E92" s="8" t="inlineStr">
        <is>
          <t>DV-140[0].Page3[0].List9[0].Li4[0].NumericField3[0]</t>
        </is>
      </c>
      <c r="F92" s="8" t="inlineStr">
        <is>
          <t>text</t>
        </is>
      </c>
      <c r="G92" s="8" t="inlineStr"/>
      <c r="H92" s="8" t="inlineStr"/>
      <c r="I92" s="8" t="inlineStr">
        <is>
          <t>204, 548, 228, 564</t>
        </is>
      </c>
      <c r="J92" s="8" t="inlineStr">
        <is>
          <t>court/clerk</t>
        </is>
      </c>
      <c r="K92" s="8" t="inlineStr"/>
      <c r="L92" s="8" t="inlineStr"/>
      <c r="M92" s="8" t="inlineStr"/>
      <c r="N92" s="8" t="inlineStr">
        <is>
          <t>Judge completes.</t>
        </is>
      </c>
      <c r="O92" s="8" t="inlineStr"/>
    </row>
    <row r="93">
      <c r="A93" s="8" t="n">
        <v>92</v>
      </c>
      <c r="B93" s="8" t="n">
        <v>3</v>
      </c>
      <c r="C93" s="8" t="inlineStr">
        <is>
          <t>9 (court)</t>
        </is>
      </c>
      <c r="D93" s="8" t="inlineStr">
        <is>
          <t>%</t>
        </is>
      </c>
      <c r="E93" s="8" t="inlineStr">
        <is>
          <t>DV-140[0].Page3[0].List9[0].Li4[0].NumericField31[0]</t>
        </is>
      </c>
      <c r="F93" s="8" t="inlineStr">
        <is>
          <t>text</t>
        </is>
      </c>
      <c r="G93" s="8" t="inlineStr"/>
      <c r="H93" s="8" t="inlineStr"/>
      <c r="I93" s="8" t="inlineStr">
        <is>
          <t>318, 548, 342, 564</t>
        </is>
      </c>
      <c r="J93" s="8" t="inlineStr">
        <is>
          <t>court/clerk</t>
        </is>
      </c>
      <c r="K93" s="8" t="inlineStr"/>
      <c r="L93" s="8" t="inlineStr"/>
      <c r="M93" s="8" t="inlineStr"/>
      <c r="N93" s="8" t="inlineStr">
        <is>
          <t>Judge completes.</t>
        </is>
      </c>
      <c r="O93" s="8" t="inlineStr"/>
    </row>
    <row r="94">
      <c r="A94" s="8" t="n">
        <v>93</v>
      </c>
      <c r="B94" s="8" t="n">
        <v>3</v>
      </c>
      <c r="C94" s="8" t="inlineStr">
        <is>
          <t>9 (court)</t>
        </is>
      </c>
      <c r="D94" s="8" t="inlineStr">
        <is>
          <t>Other</t>
        </is>
      </c>
      <c r="E94" s="8" t="inlineStr">
        <is>
          <t>DV-140[0].Page3[0].List9[0].Li4[0].TextField2[0]</t>
        </is>
      </c>
      <c r="F94" s="8" t="inlineStr">
        <is>
          <t>text</t>
        </is>
      </c>
      <c r="G94" s="8" t="inlineStr"/>
      <c r="H94" s="8" t="inlineStr"/>
      <c r="I94" s="8" t="inlineStr">
        <is>
          <t>396, 548, 525, 564</t>
        </is>
      </c>
      <c r="J94" s="8" t="inlineStr">
        <is>
          <t>court/clerk</t>
        </is>
      </c>
      <c r="K94" s="8" t="inlineStr"/>
      <c r="L94" s="8" t="inlineStr"/>
      <c r="M94" s="8" t="inlineStr"/>
      <c r="N94" s="8" t="inlineStr">
        <is>
          <t>Judge completes.</t>
        </is>
      </c>
      <c r="O94" s="8" t="inlineStr"/>
    </row>
    <row r="95">
      <c r="A95" s="8" t="n">
        <v>94</v>
      </c>
      <c r="B95" s="8" t="n">
        <v>3</v>
      </c>
      <c r="C95" s="8" t="inlineStr">
        <is>
          <t>9 (court)</t>
        </is>
      </c>
      <c r="D95" s="8" t="inlineStr">
        <is>
          <t>%</t>
        </is>
      </c>
      <c r="E95" s="8" t="inlineStr">
        <is>
          <t>DV-140[0].Page3[0].List9[0].Li4[0].NumericField32[0]</t>
        </is>
      </c>
      <c r="F95" s="8" t="inlineStr">
        <is>
          <t>text</t>
        </is>
      </c>
      <c r="G95" s="8" t="inlineStr"/>
      <c r="H95" s="8" t="inlineStr"/>
      <c r="I95" s="8" t="inlineStr">
        <is>
          <t>536, 548, 560, 564</t>
        </is>
      </c>
      <c r="J95" s="8" t="inlineStr">
        <is>
          <t>court/clerk</t>
        </is>
      </c>
      <c r="K95" s="8" t="inlineStr"/>
      <c r="L95" s="8" t="inlineStr"/>
      <c r="M95" s="8" t="inlineStr"/>
      <c r="N95" s="8" t="inlineStr">
        <is>
          <t>Judge completes.</t>
        </is>
      </c>
      <c r="O95" s="8" t="inlineStr"/>
    </row>
    <row r="96">
      <c r="A96" s="8" t="n">
        <v>95</v>
      </c>
      <c r="B96" s="8" t="n">
        <v>3</v>
      </c>
      <c r="C96" s="8" t="inlineStr">
        <is>
          <t>9 (court)</t>
        </is>
      </c>
      <c r="D96" s="8" t="inlineStr">
        <is>
          <t>Virtual (not in person). (Before a provider is chosen, confirm that the provider offers virtual visits.)</t>
        </is>
      </c>
      <c r="E96" s="8" t="inlineStr">
        <is>
          <t>DV-140[0].Page3[0].List9[0].Li5[0].CheckBoxRightCaption[0]</t>
        </is>
      </c>
      <c r="F96" s="8" t="inlineStr">
        <is>
          <t>checkbox</t>
        </is>
      </c>
      <c r="G96" s="8" t="inlineStr">
        <is>
          <t>1</t>
        </is>
      </c>
      <c r="H96" s="8" t="inlineStr"/>
      <c r="I96" s="8" t="inlineStr">
        <is>
          <t>78, 623, 87, 632</t>
        </is>
      </c>
      <c r="J96" s="8" t="inlineStr">
        <is>
          <t>court/clerk</t>
        </is>
      </c>
      <c r="K96" s="8" t="inlineStr"/>
      <c r="L96" s="8" t="inlineStr"/>
      <c r="M96" s="8" t="inlineStr"/>
      <c r="N96" s="8" t="inlineStr">
        <is>
          <t>Judge completes.</t>
        </is>
      </c>
      <c r="O96" s="8" t="inlineStr"/>
    </row>
    <row r="97">
      <c r="A97" s="8" t="n">
        <v>96</v>
      </c>
      <c r="B97" s="8" t="n">
        <v>3</v>
      </c>
      <c r="C97" s="8" t="inlineStr">
        <is>
          <t>9 (court)</t>
        </is>
      </c>
      <c r="D97" s="8" t="inlineStr">
        <is>
          <t>In person at a safe location.</t>
        </is>
      </c>
      <c r="E97" s="8" t="inlineStr">
        <is>
          <t>DV-140[0].Page3[0].List9[0].Li5[0].CheckBoxRightCaption[1]</t>
        </is>
      </c>
      <c r="F97" s="8" t="inlineStr">
        <is>
          <t>checkbox</t>
        </is>
      </c>
      <c r="G97" s="8" t="inlineStr">
        <is>
          <t>1</t>
        </is>
      </c>
      <c r="H97" s="8" t="inlineStr"/>
      <c r="I97" s="8" t="inlineStr">
        <is>
          <t>78, 606, 87, 615</t>
        </is>
      </c>
      <c r="J97" s="8" t="inlineStr">
        <is>
          <t>court/clerk</t>
        </is>
      </c>
      <c r="K97" s="8" t="inlineStr"/>
      <c r="L97" s="8" t="inlineStr"/>
      <c r="M97" s="8" t="inlineStr"/>
      <c r="N97" s="8" t="inlineStr">
        <is>
          <t>Judge completes.</t>
        </is>
      </c>
      <c r="O97" s="8" t="inlineStr"/>
    </row>
    <row r="98">
      <c r="A98" s="8" t="n">
        <v>97</v>
      </c>
      <c r="B98" s="8" t="n">
        <v>3</v>
      </c>
      <c r="C98" s="8" t="inlineStr">
        <is>
          <t>9 (court)</t>
        </is>
      </c>
      <c r="D98" s="8" t="inlineStr">
        <is>
          <t>Other:</t>
        </is>
      </c>
      <c r="E98" s="8" t="inlineStr">
        <is>
          <t>DV-140[0].Page3[0].List9[0].Li5[0].CheckBoxRightCaption[2]</t>
        </is>
      </c>
      <c r="F98" s="8" t="inlineStr">
        <is>
          <t>checkbox</t>
        </is>
      </c>
      <c r="G98" s="8" t="inlineStr">
        <is>
          <t>1</t>
        </is>
      </c>
      <c r="H98" s="8" t="inlineStr"/>
      <c r="I98" s="8" t="inlineStr">
        <is>
          <t>78, 641, 87, 650</t>
        </is>
      </c>
      <c r="J98" s="8" t="inlineStr">
        <is>
          <t>court/clerk</t>
        </is>
      </c>
      <c r="K98" s="8" t="inlineStr"/>
      <c r="L98" s="8" t="inlineStr"/>
      <c r="M98" s="8" t="inlineStr"/>
      <c r="N98" s="8" t="inlineStr">
        <is>
          <t>Judge completes.</t>
        </is>
      </c>
      <c r="O98" s="8" t="inlineStr"/>
    </row>
    <row r="99">
      <c r="A99" s="8" t="n">
        <v>98</v>
      </c>
      <c r="B99" s="8" t="n">
        <v>3</v>
      </c>
      <c r="C99" s="8" t="inlineStr">
        <is>
          <t>9 (court)</t>
        </is>
      </c>
      <c r="D99" s="8" t="inlineStr">
        <is>
          <t>Other:</t>
        </is>
      </c>
      <c r="E99" s="8" t="inlineStr">
        <is>
          <t>DV-140[0].Page3[0].List9[0].Li5[0].TextField[0]</t>
        </is>
      </c>
      <c r="F99" s="8" t="inlineStr">
        <is>
          <t>text</t>
        </is>
      </c>
      <c r="G99" s="8" t="inlineStr"/>
      <c r="H99" s="8" t="inlineStr"/>
      <c r="I99" s="8" t="inlineStr">
        <is>
          <t>126, 641, 569, 656</t>
        </is>
      </c>
      <c r="J99" s="8" t="inlineStr">
        <is>
          <t>court/clerk</t>
        </is>
      </c>
      <c r="K99" s="8" t="inlineStr"/>
      <c r="L99" s="8" t="inlineStr"/>
      <c r="M99" s="8" t="inlineStr"/>
      <c r="N99" s="8" t="inlineStr">
        <is>
          <t>Judge completes.</t>
        </is>
      </c>
      <c r="O99" s="8" t="inlineStr"/>
    </row>
    <row r="100">
      <c r="A100" s="5" t="n">
        <v>99</v>
      </c>
      <c r="B100" s="5" t="n">
        <v>4</v>
      </c>
      <c r="C100" s="5" t="inlineStr">
        <is>
          <t>Caption</t>
        </is>
      </c>
      <c r="D100" s="5" t="inlineStr">
        <is>
          <t>Case Number</t>
        </is>
      </c>
      <c r="E100" s="5" t="inlineStr">
        <is>
          <t>DV-140[0].Page4[0].Caption[0].PxCaption[0].CaseNumber_ft[0]</t>
        </is>
      </c>
      <c r="F100" s="5" t="inlineStr">
        <is>
          <t>text</t>
        </is>
      </c>
      <c r="G100" s="5" t="inlineStr"/>
      <c r="H100" s="5" t="inlineStr"/>
      <c r="I100" s="5" t="inlineStr">
        <is>
          <t>400, 51, 572, 62</t>
        </is>
      </c>
      <c r="J100" s="5" t="inlineStr">
        <is>
          <t>question</t>
        </is>
      </c>
      <c r="K100" s="5" t="inlineStr">
        <is>
          <t>S3,S4</t>
        </is>
      </c>
      <c r="L100" s="5">
        <f> S4</f>
        <v/>
      </c>
      <c r="M100" s="5" t="inlineStr">
        <is>
          <t>S3 == "update"; otherwise blank for clerk</t>
        </is>
      </c>
      <c r="N100" s="5" t="inlineStr"/>
      <c r="O100" s="5" t="inlineStr"/>
    </row>
    <row r="101">
      <c r="A101" s="8" t="n">
        <v>100</v>
      </c>
      <c r="B101" s="8" t="n">
        <v>4</v>
      </c>
      <c r="C101" s="8" t="inlineStr">
        <is>
          <t>10 (court)</t>
        </is>
      </c>
      <c r="D101" s="8" t="inlineStr">
        <is>
          <t>Nonprofessional Supervised (Monitored) Visits With Children</t>
        </is>
      </c>
      <c r="E101" s="8" t="inlineStr">
        <is>
          <t>DV-140[0].Page4[0].List10[0].CheckBoxRightCaption[0]</t>
        </is>
      </c>
      <c r="F101" s="8" t="inlineStr">
        <is>
          <t>checkbox</t>
        </is>
      </c>
      <c r="G101" s="8" t="inlineStr">
        <is>
          <t>1</t>
        </is>
      </c>
      <c r="H101" s="8" t="inlineStr"/>
      <c r="I101" s="8" t="inlineStr">
        <is>
          <t>64, 87, 73, 96</t>
        </is>
      </c>
      <c r="J101" s="8" t="inlineStr">
        <is>
          <t>court/clerk</t>
        </is>
      </c>
      <c r="K101" s="8" t="inlineStr"/>
      <c r="L101" s="8" t="inlineStr"/>
      <c r="M101" s="8" t="inlineStr"/>
      <c r="N101" s="8" t="inlineStr">
        <is>
          <t>Judge completes.</t>
        </is>
      </c>
      <c r="O101" s="8" t="inlineStr"/>
    </row>
    <row r="102">
      <c r="A102" s="8" t="n">
        <v>101</v>
      </c>
      <c r="B102" s="8" t="n">
        <v>4</v>
      </c>
      <c r="C102" s="8" t="inlineStr">
        <is>
          <t>10 (court)</t>
        </is>
      </c>
      <c r="D102" s="8" t="inlineStr">
        <is>
          <t>Person in</t>
        </is>
      </c>
      <c r="E102" s="8" t="inlineStr">
        <is>
          <t>DV-140[0].Page4[0].List10[0].Li1[0].item10a[0]</t>
        </is>
      </c>
      <c r="F102" s="8" t="inlineStr">
        <is>
          <t>checkbox</t>
        </is>
      </c>
      <c r="G102" s="8" t="inlineStr">
        <is>
          <t>1</t>
        </is>
      </c>
      <c r="H102" s="8" t="inlineStr"/>
      <c r="I102" s="8" t="inlineStr">
        <is>
          <t>192, 108, 201, 117</t>
        </is>
      </c>
      <c r="J102" s="8" t="inlineStr">
        <is>
          <t>court/clerk</t>
        </is>
      </c>
      <c r="K102" s="8" t="inlineStr"/>
      <c r="L102" s="8" t="inlineStr"/>
      <c r="M102" s="8" t="inlineStr"/>
      <c r="N102" s="8" t="inlineStr">
        <is>
          <t>Judge completes.</t>
        </is>
      </c>
      <c r="O102" s="8" t="inlineStr"/>
    </row>
    <row r="103">
      <c r="A103" s="8" t="n">
        <v>102</v>
      </c>
      <c r="B103" s="8" t="n">
        <v>4</v>
      </c>
      <c r="C103" s="8" t="inlineStr">
        <is>
          <t>10 (court)</t>
        </is>
      </c>
      <c r="D103" s="8" t="inlineStr">
        <is>
          <t>Person in</t>
        </is>
      </c>
      <c r="E103" s="8" t="inlineStr">
        <is>
          <t>DV-140[0].Page4[0].List10[0].Li1[0].item10a[1]</t>
        </is>
      </c>
      <c r="F103" s="8" t="inlineStr">
        <is>
          <t>checkbox</t>
        </is>
      </c>
      <c r="G103" s="8" t="inlineStr">
        <is>
          <t>11</t>
        </is>
      </c>
      <c r="H103" s="8" t="inlineStr"/>
      <c r="I103" s="8" t="inlineStr">
        <is>
          <t>280, 107, 289, 116</t>
        </is>
      </c>
      <c r="J103" s="8" t="inlineStr">
        <is>
          <t>court/clerk</t>
        </is>
      </c>
      <c r="K103" s="8" t="inlineStr"/>
      <c r="L103" s="8" t="inlineStr"/>
      <c r="M103" s="8" t="inlineStr"/>
      <c r="N103" s="8" t="inlineStr">
        <is>
          <t>Judge completes.</t>
        </is>
      </c>
      <c r="O103" s="8" t="inlineStr"/>
    </row>
    <row r="104">
      <c r="A104" s="8" t="n">
        <v>103</v>
      </c>
      <c r="B104" s="8" t="n">
        <v>4</v>
      </c>
      <c r="C104" s="8" t="inlineStr">
        <is>
          <t>10 (court)</t>
        </is>
      </c>
      <c r="D104" s="8" t="inlineStr">
        <is>
          <t>Name:</t>
        </is>
      </c>
      <c r="E104" s="8" t="inlineStr">
        <is>
          <t>DV-140[0].Page4[0].List10[0].Li2[0].TextField[0]</t>
        </is>
      </c>
      <c r="F104" s="8" t="inlineStr">
        <is>
          <t>text</t>
        </is>
      </c>
      <c r="G104" s="8" t="inlineStr"/>
      <c r="H104" s="8" t="inlineStr"/>
      <c r="I104" s="8" t="inlineStr">
        <is>
          <t>112, 148, 346, 163</t>
        </is>
      </c>
      <c r="J104" s="8" t="inlineStr">
        <is>
          <t>court/clerk</t>
        </is>
      </c>
      <c r="K104" s="8" t="inlineStr"/>
      <c r="L104" s="8" t="inlineStr"/>
      <c r="M104" s="8" t="inlineStr"/>
      <c r="N104" s="8" t="inlineStr">
        <is>
          <t>Judge completes.</t>
        </is>
      </c>
      <c r="O104" s="8" t="inlineStr"/>
    </row>
    <row r="105">
      <c r="A105" s="8" t="n">
        <v>104</v>
      </c>
      <c r="B105" s="8" t="n">
        <v>4</v>
      </c>
      <c r="C105" s="8" t="inlineStr">
        <is>
          <t>10 (court)</t>
        </is>
      </c>
      <c r="D105" s="8" t="inlineStr">
        <is>
          <t>Relationship to child:</t>
        </is>
      </c>
      <c r="E105" s="8" t="inlineStr">
        <is>
          <t>DV-140[0].Page4[0].List10[0].Li2[0].TextField1[0]</t>
        </is>
      </c>
      <c r="F105" s="8" t="inlineStr">
        <is>
          <t>text</t>
        </is>
      </c>
      <c r="G105" s="8" t="inlineStr"/>
      <c r="H105" s="8" t="inlineStr"/>
      <c r="I105" s="8" t="inlineStr">
        <is>
          <t>447, 148, 574, 163</t>
        </is>
      </c>
      <c r="J105" s="8" t="inlineStr">
        <is>
          <t>court/clerk</t>
        </is>
      </c>
      <c r="K105" s="8" t="inlineStr"/>
      <c r="L105" s="8" t="inlineStr"/>
      <c r="M105" s="8" t="inlineStr"/>
      <c r="N105" s="8" t="inlineStr">
        <is>
          <t>Judge completes.</t>
        </is>
      </c>
      <c r="O105" s="8" t="inlineStr"/>
    </row>
    <row r="106">
      <c r="A106" s="8" t="n">
        <v>105</v>
      </c>
      <c r="B106" s="8" t="n">
        <v>4</v>
      </c>
      <c r="C106" s="8" t="inlineStr">
        <is>
          <t>10 (court)</t>
        </is>
      </c>
      <c r="D106" s="8" t="inlineStr">
        <is>
          <t>Telephone (if known):</t>
        </is>
      </c>
      <c r="E106" s="8" t="inlineStr">
        <is>
          <t>DV-140[0].Page4[0].List10[0].Li2[0].phonetf[0]</t>
        </is>
      </c>
      <c r="F106" s="8" t="inlineStr">
        <is>
          <t>text</t>
        </is>
      </c>
      <c r="G106" s="8" t="inlineStr"/>
      <c r="H106" s="8" t="inlineStr"/>
      <c r="I106" s="8" t="inlineStr">
        <is>
          <t>479, 164, 576, 179</t>
        </is>
      </c>
      <c r="J106" s="8" t="inlineStr">
        <is>
          <t>court/clerk</t>
        </is>
      </c>
      <c r="K106" s="8" t="inlineStr"/>
      <c r="L106" s="8" t="inlineStr"/>
      <c r="M106" s="8" t="inlineStr"/>
      <c r="N106" s="8" t="inlineStr">
        <is>
          <t>Judge completes.</t>
        </is>
      </c>
      <c r="O106" s="8" t="inlineStr"/>
    </row>
    <row r="107">
      <c r="A107" s="8" t="n">
        <v>106</v>
      </c>
      <c r="B107" s="8" t="n">
        <v>4</v>
      </c>
      <c r="C107" s="8" t="inlineStr">
        <is>
          <t>10 (court)</t>
        </is>
      </c>
      <c r="D107" s="8" t="inlineStr">
        <is>
          <t>Address (if known):</t>
        </is>
      </c>
      <c r="E107" s="8" t="inlineStr">
        <is>
          <t>DV-140[0].Page4[0].List10[0].Li2[0].addresstf[0]</t>
        </is>
      </c>
      <c r="F107" s="8" t="inlineStr">
        <is>
          <t>text</t>
        </is>
      </c>
      <c r="G107" s="8" t="inlineStr"/>
      <c r="H107" s="8" t="inlineStr"/>
      <c r="I107" s="8" t="inlineStr">
        <is>
          <t>168, 163, 376, 180</t>
        </is>
      </c>
      <c r="J107" s="8" t="inlineStr">
        <is>
          <t>court/clerk</t>
        </is>
      </c>
      <c r="K107" s="8" t="inlineStr"/>
      <c r="L107" s="8" t="inlineStr"/>
      <c r="M107" s="8" t="inlineStr"/>
      <c r="N107" s="8" t="inlineStr">
        <is>
          <t>Judge completes.</t>
        </is>
      </c>
      <c r="O107" s="8" t="inlineStr"/>
    </row>
    <row r="108">
      <c r="A108" s="8" t="n">
        <v>107</v>
      </c>
      <c r="B108" s="8" t="n">
        <v>4</v>
      </c>
      <c r="C108" s="8" t="inlineStr">
        <is>
          <t>10 (court)</t>
        </is>
      </c>
      <c r="D108" s="8" t="inlineStr">
        <is>
          <t>Follow the Visitation Plan listed in .</t>
        </is>
      </c>
      <c r="E108" s="8" t="inlineStr">
        <is>
          <t>DV-140[0].Page4[0].List10[0].Li3[0].CheckBoxitem10c[0]</t>
        </is>
      </c>
      <c r="F108" s="8" t="inlineStr">
        <is>
          <t>checkbox</t>
        </is>
      </c>
      <c r="G108" s="8" t="inlineStr">
        <is>
          <t>21</t>
        </is>
      </c>
      <c r="H108" s="8" t="inlineStr"/>
      <c r="I108" s="8" t="inlineStr">
        <is>
          <t>79, 208, 88, 217</t>
        </is>
      </c>
      <c r="J108" s="8" t="inlineStr">
        <is>
          <t>court/clerk</t>
        </is>
      </c>
      <c r="K108" s="8" t="inlineStr"/>
      <c r="L108" s="8" t="inlineStr"/>
      <c r="M108" s="8" t="inlineStr"/>
      <c r="N108" s="8" t="inlineStr">
        <is>
          <t>Judge completes.</t>
        </is>
      </c>
      <c r="O108" s="8" t="inlineStr"/>
    </row>
    <row r="109">
      <c r="A109" s="8" t="n">
        <v>108</v>
      </c>
      <c r="B109" s="8" t="n">
        <v>4</v>
      </c>
      <c r="C109" s="8" t="inlineStr">
        <is>
          <t>10 (court)</t>
        </is>
      </c>
      <c r="D109" s="8" t="inlineStr">
        <is>
          <t>Other schedule (give a detailed schedule):</t>
        </is>
      </c>
      <c r="E109" s="8" t="inlineStr">
        <is>
          <t>DV-140[0].Page4[0].List10[0].Li3[0].CheckBoxitem10c[1]</t>
        </is>
      </c>
      <c r="F109" s="8" t="inlineStr">
        <is>
          <t>checkbox</t>
        </is>
      </c>
      <c r="G109" s="8" t="inlineStr">
        <is>
          <t>31</t>
        </is>
      </c>
      <c r="H109" s="8" t="inlineStr"/>
      <c r="I109" s="8" t="inlineStr">
        <is>
          <t>79, 223, 88, 232</t>
        </is>
      </c>
      <c r="J109" s="8" t="inlineStr">
        <is>
          <t>court/clerk</t>
        </is>
      </c>
      <c r="K109" s="8" t="inlineStr"/>
      <c r="L109" s="8" t="inlineStr"/>
      <c r="M109" s="8" t="inlineStr"/>
      <c r="N109" s="8" t="inlineStr">
        <is>
          <t>Judge completes.</t>
        </is>
      </c>
      <c r="O109" s="8" t="inlineStr"/>
    </row>
    <row r="110">
      <c r="A110" s="8" t="n">
        <v>109</v>
      </c>
      <c r="B110" s="8" t="n">
        <v>4</v>
      </c>
      <c r="C110" s="8" t="inlineStr">
        <is>
          <t>10 (court)</t>
        </is>
      </c>
      <c r="D110" s="8" t="inlineStr">
        <is>
          <t>Other schedule (give a detailed schedule):</t>
        </is>
      </c>
      <c r="E110" s="8" t="inlineStr">
        <is>
          <t>DV-140[0].Page4[0].List10[0].Li3[0].item10c[0]</t>
        </is>
      </c>
      <c r="F110" s="8" t="inlineStr">
        <is>
          <t>text</t>
        </is>
      </c>
      <c r="G110" s="8" t="inlineStr"/>
      <c r="H110" s="8" t="inlineStr"/>
      <c r="I110" s="8" t="inlineStr">
        <is>
          <t>283, 223, 573, 238</t>
        </is>
      </c>
      <c r="J110" s="8" t="inlineStr">
        <is>
          <t>court/clerk</t>
        </is>
      </c>
      <c r="K110" s="8" t="inlineStr"/>
      <c r="L110" s="8" t="inlineStr"/>
      <c r="M110" s="8" t="inlineStr"/>
      <c r="N110" s="8" t="inlineStr">
        <is>
          <t>Judge completes.</t>
        </is>
      </c>
      <c r="O110" s="8" t="inlineStr"/>
    </row>
    <row r="111">
      <c r="A111" s="8" t="n">
        <v>110</v>
      </c>
      <c r="B111" s="8" t="n">
        <v>4</v>
      </c>
      <c r="C111" s="8" t="inlineStr">
        <is>
          <t>10 (court)</t>
        </is>
      </c>
      <c r="D111" s="8" t="inlineStr">
        <is>
          <t>Other schedule (give a detailed schedule):</t>
        </is>
      </c>
      <c r="E111" s="8" t="inlineStr">
        <is>
          <t>DV-140[0].Page4[0].List10[0].Li3[0].item10cCont[0]</t>
        </is>
      </c>
      <c r="F111" s="8" t="inlineStr">
        <is>
          <t>text</t>
        </is>
      </c>
      <c r="G111" s="8" t="inlineStr"/>
      <c r="H111" s="8" t="inlineStr"/>
      <c r="I111" s="8" t="inlineStr">
        <is>
          <t>79, 236, 573, 251</t>
        </is>
      </c>
      <c r="J111" s="8" t="inlineStr">
        <is>
          <t>court/clerk</t>
        </is>
      </c>
      <c r="K111" s="8" t="inlineStr"/>
      <c r="L111" s="8" t="inlineStr"/>
      <c r="M111" s="8" t="inlineStr"/>
      <c r="N111" s="8" t="inlineStr">
        <is>
          <t>Judge completes.</t>
        </is>
      </c>
      <c r="O111" s="8" t="inlineStr"/>
    </row>
    <row r="112">
      <c r="A112" s="8" t="n">
        <v>111</v>
      </c>
      <c r="B112" s="8" t="n">
        <v>4</v>
      </c>
      <c r="C112" s="8" t="inlineStr">
        <is>
          <t>10 (court)</t>
        </is>
      </c>
      <c r="D112" s="8" t="inlineStr">
        <is>
          <t>In person at a safe location (give location):</t>
        </is>
      </c>
      <c r="E112" s="8" t="inlineStr">
        <is>
          <t>DV-140[0].Page4[0].List10[0].Li4[0].CheckBoxRightCaption1[0]</t>
        </is>
      </c>
      <c r="F112" s="8" t="inlineStr">
        <is>
          <t>checkbox</t>
        </is>
      </c>
      <c r="G112" s="8" t="inlineStr">
        <is>
          <t>1</t>
        </is>
      </c>
      <c r="H112" s="8" t="inlineStr"/>
      <c r="I112" s="8" t="inlineStr">
        <is>
          <t>79, 279, 88, 288</t>
        </is>
      </c>
      <c r="J112" s="8" t="inlineStr">
        <is>
          <t>court/clerk</t>
        </is>
      </c>
      <c r="K112" s="8" t="inlineStr"/>
      <c r="L112" s="8" t="inlineStr"/>
      <c r="M112" s="8" t="inlineStr"/>
      <c r="N112" s="8" t="inlineStr">
        <is>
          <t>Judge completes.</t>
        </is>
      </c>
      <c r="O112" s="8" t="inlineStr"/>
    </row>
    <row r="113">
      <c r="A113" s="8" t="n">
        <v>112</v>
      </c>
      <c r="B113" s="8" t="n">
        <v>4</v>
      </c>
      <c r="C113" s="8" t="inlineStr">
        <is>
          <t>10 (court)</t>
        </is>
      </c>
      <c r="D113" s="8" t="inlineStr">
        <is>
          <t>In person at a safe location (give location):</t>
        </is>
      </c>
      <c r="E113" s="8" t="inlineStr">
        <is>
          <t>DV-140[0].Page4[0].List10[0].Li4[0].tf1[0]</t>
        </is>
      </c>
      <c r="F113" s="8" t="inlineStr">
        <is>
          <t>text</t>
        </is>
      </c>
      <c r="G113" s="8" t="inlineStr"/>
      <c r="H113" s="8" t="inlineStr"/>
      <c r="I113" s="8" t="inlineStr">
        <is>
          <t>283, 279, 568, 294</t>
        </is>
      </c>
      <c r="J113" s="8" t="inlineStr">
        <is>
          <t>court/clerk</t>
        </is>
      </c>
      <c r="K113" s="8" t="inlineStr"/>
      <c r="L113" s="8" t="inlineStr"/>
      <c r="M113" s="8" t="inlineStr"/>
      <c r="N113" s="8" t="inlineStr">
        <is>
          <t>Judge completes.</t>
        </is>
      </c>
      <c r="O113" s="8" t="inlineStr"/>
    </row>
    <row r="114">
      <c r="A114" s="8" t="n">
        <v>113</v>
      </c>
      <c r="B114" s="8" t="n">
        <v>4</v>
      </c>
      <c r="C114" s="8" t="inlineStr">
        <is>
          <t>10 (court)</t>
        </is>
      </c>
      <c r="D114" s="8" t="inlineStr">
        <is>
          <t>Virtual (not in person). (Provider, child, and visiting parent may need access to internet.)</t>
        </is>
      </c>
      <c r="E114" s="8" t="inlineStr">
        <is>
          <t>DV-140[0].Page4[0].List10[0].Li4[0].CheckBoxRightCaption2[0]</t>
        </is>
      </c>
      <c r="F114" s="8" t="inlineStr">
        <is>
          <t>checkbox</t>
        </is>
      </c>
      <c r="G114" s="8" t="inlineStr">
        <is>
          <t>1</t>
        </is>
      </c>
      <c r="H114" s="8" t="inlineStr"/>
      <c r="I114" s="8" t="inlineStr">
        <is>
          <t>79, 292, 88, 301</t>
        </is>
      </c>
      <c r="J114" s="8" t="inlineStr">
        <is>
          <t>court/clerk</t>
        </is>
      </c>
      <c r="K114" s="8" t="inlineStr"/>
      <c r="L114" s="8" t="inlineStr"/>
      <c r="M114" s="8" t="inlineStr"/>
      <c r="N114" s="8" t="inlineStr">
        <is>
          <t>Judge completes.</t>
        </is>
      </c>
      <c r="O114" s="8" t="inlineStr"/>
    </row>
    <row r="115">
      <c r="A115" s="8" t="n">
        <v>114</v>
      </c>
      <c r="B115" s="8" t="n">
        <v>4</v>
      </c>
      <c r="C115" s="8" t="inlineStr">
        <is>
          <t>10 (court)</t>
        </is>
      </c>
      <c r="D115" s="8" t="inlineStr">
        <is>
          <t>Other:</t>
        </is>
      </c>
      <c r="E115" s="8" t="inlineStr">
        <is>
          <t>DV-140[0].Page4[0].List10[0].Li4[0].CheckBoxRightCaption3[0]</t>
        </is>
      </c>
      <c r="F115" s="8" t="inlineStr">
        <is>
          <t>checkbox</t>
        </is>
      </c>
      <c r="G115" s="8" t="inlineStr">
        <is>
          <t>1</t>
        </is>
      </c>
      <c r="H115" s="8" t="inlineStr"/>
      <c r="I115" s="8" t="inlineStr">
        <is>
          <t>79, 305, 88, 314</t>
        </is>
      </c>
      <c r="J115" s="8" t="inlineStr">
        <is>
          <t>court/clerk</t>
        </is>
      </c>
      <c r="K115" s="8" t="inlineStr"/>
      <c r="L115" s="8" t="inlineStr"/>
      <c r="M115" s="8" t="inlineStr"/>
      <c r="N115" s="8" t="inlineStr">
        <is>
          <t>Judge completes.</t>
        </is>
      </c>
      <c r="O115" s="8" t="inlineStr"/>
    </row>
    <row r="116">
      <c r="A116" s="8" t="n">
        <v>115</v>
      </c>
      <c r="B116" s="8" t="n">
        <v>4</v>
      </c>
      <c r="C116" s="8" t="inlineStr">
        <is>
          <t>10 (court)</t>
        </is>
      </c>
      <c r="D116" s="8" t="inlineStr">
        <is>
          <t>Other:</t>
        </is>
      </c>
      <c r="E116" s="8" t="inlineStr">
        <is>
          <t>DV-140[0].Page4[0].List10[0].Li4[0].TextField[0]</t>
        </is>
      </c>
      <c r="F116" s="8" t="inlineStr">
        <is>
          <t>text</t>
        </is>
      </c>
      <c r="G116" s="8" t="inlineStr"/>
      <c r="H116" s="8" t="inlineStr"/>
      <c r="I116" s="8" t="inlineStr">
        <is>
          <t>127, 305, 569, 319</t>
        </is>
      </c>
      <c r="J116" s="8" t="inlineStr">
        <is>
          <t>court/clerk</t>
        </is>
      </c>
      <c r="K116" s="8" t="inlineStr"/>
      <c r="L116" s="8" t="inlineStr"/>
      <c r="M116" s="8" t="inlineStr"/>
      <c r="N116" s="8" t="inlineStr">
        <is>
          <t>Judge completes.</t>
        </is>
      </c>
      <c r="O116" s="8" t="inlineStr"/>
    </row>
    <row r="117">
      <c r="A117" s="8" t="n">
        <v>116</v>
      </c>
      <c r="B117" s="8" t="n">
        <v>4</v>
      </c>
      <c r="C117" s="8" t="inlineStr">
        <is>
          <t>11 (court)</t>
        </is>
      </c>
      <c r="D117" s="8" t="inlineStr">
        <is>
          <t>Supervised Exchanges (Drop-Off and Pick-up of Children)</t>
        </is>
      </c>
      <c r="E117" s="8" t="inlineStr">
        <is>
          <t>DV-140[0].Page4[0].List11[0].CheckBoxRightCaption[0]</t>
        </is>
      </c>
      <c r="F117" s="8" t="inlineStr">
        <is>
          <t>checkbox</t>
        </is>
      </c>
      <c r="G117" s="8" t="inlineStr">
        <is>
          <t>1</t>
        </is>
      </c>
      <c r="H117" s="8" t="inlineStr"/>
      <c r="I117" s="8" t="inlineStr">
        <is>
          <t>63, 368, 72, 377</t>
        </is>
      </c>
      <c r="J117" s="8" t="inlineStr">
        <is>
          <t>court/clerk</t>
        </is>
      </c>
      <c r="K117" s="8" t="inlineStr"/>
      <c r="L117" s="8" t="inlineStr"/>
      <c r="M117" s="8" t="inlineStr"/>
      <c r="N117" s="8" t="inlineStr">
        <is>
          <t>Judge completes.</t>
        </is>
      </c>
      <c r="O117" s="8" t="inlineStr"/>
    </row>
    <row r="118">
      <c r="A118" s="8" t="n">
        <v>117</v>
      </c>
      <c r="B118" s="8" t="n">
        <v>4</v>
      </c>
      <c r="C118" s="8" t="inlineStr">
        <is>
          <t>11 (court)</t>
        </is>
      </c>
      <c r="D118" s="8" t="inlineStr">
        <is>
          <t>Person in</t>
        </is>
      </c>
      <c r="E118" s="8" t="inlineStr">
        <is>
          <t>DV-140[0].Page4[0].List11[0].Li1[0].item11a[0]</t>
        </is>
      </c>
      <c r="F118" s="8" t="inlineStr">
        <is>
          <t>checkbox</t>
        </is>
      </c>
      <c r="G118" s="8" t="inlineStr">
        <is>
          <t>1</t>
        </is>
      </c>
      <c r="H118" s="8" t="inlineStr"/>
      <c r="I118" s="8" t="inlineStr">
        <is>
          <t>189, 409, 198, 418</t>
        </is>
      </c>
      <c r="J118" s="8" t="inlineStr">
        <is>
          <t>court/clerk</t>
        </is>
      </c>
      <c r="K118" s="8" t="inlineStr"/>
      <c r="L118" s="8" t="inlineStr"/>
      <c r="M118" s="8" t="inlineStr"/>
      <c r="N118" s="8" t="inlineStr">
        <is>
          <t>Judge completes.</t>
        </is>
      </c>
      <c r="O118" s="8" t="inlineStr"/>
    </row>
    <row r="119">
      <c r="A119" s="8" t="n">
        <v>118</v>
      </c>
      <c r="B119" s="8" t="n">
        <v>4</v>
      </c>
      <c r="C119" s="8" t="inlineStr">
        <is>
          <t>11 (court)</t>
        </is>
      </c>
      <c r="D119" s="8" t="inlineStr">
        <is>
          <t>Person in</t>
        </is>
      </c>
      <c r="E119" s="8" t="inlineStr">
        <is>
          <t>DV-140[0].Page4[0].List11[0].Li1[0].item11a[1]</t>
        </is>
      </c>
      <c r="F119" s="8" t="inlineStr">
        <is>
          <t>checkbox</t>
        </is>
      </c>
      <c r="G119" s="8" t="inlineStr">
        <is>
          <t>11</t>
        </is>
      </c>
      <c r="H119" s="8" t="inlineStr"/>
      <c r="I119" s="8" t="inlineStr">
        <is>
          <t>276, 409, 285, 418</t>
        </is>
      </c>
      <c r="J119" s="8" t="inlineStr">
        <is>
          <t>court/clerk</t>
        </is>
      </c>
      <c r="K119" s="8" t="inlineStr"/>
      <c r="L119" s="8" t="inlineStr"/>
      <c r="M119" s="8" t="inlineStr"/>
      <c r="N119" s="8" t="inlineStr">
        <is>
          <t>Judge completes.</t>
        </is>
      </c>
      <c r="O119" s="8" t="inlineStr"/>
    </row>
    <row r="120">
      <c r="A120" s="8" t="n">
        <v>119</v>
      </c>
      <c r="B120" s="8" t="n">
        <v>4</v>
      </c>
      <c r="C120" s="8" t="inlineStr">
        <is>
          <t>11 (court)</t>
        </is>
      </c>
      <c r="D120" s="8" t="inlineStr">
        <is>
          <t>Professional Provider</t>
        </is>
      </c>
      <c r="E120" s="8" t="inlineStr">
        <is>
          <t>DV-140[0].Page4[0].List11[0].Li2[0].List[0].Li1[0].CheckBox31[0]</t>
        </is>
      </c>
      <c r="F120" s="8" t="inlineStr">
        <is>
          <t>checkbox</t>
        </is>
      </c>
      <c r="G120" s="8" t="inlineStr">
        <is>
          <t>1</t>
        </is>
      </c>
      <c r="H120" s="8" t="inlineStr"/>
      <c r="I120" s="8" t="inlineStr">
        <is>
          <t>102, 454, 111, 463</t>
        </is>
      </c>
      <c r="J120" s="8" t="inlineStr">
        <is>
          <t>court/clerk</t>
        </is>
      </c>
      <c r="K120" s="8" t="inlineStr"/>
      <c r="L120" s="8" t="inlineStr"/>
      <c r="M120" s="8" t="inlineStr"/>
      <c r="N120" s="8" t="inlineStr">
        <is>
          <t>Judge completes.</t>
        </is>
      </c>
      <c r="O120" s="8" t="inlineStr"/>
    </row>
    <row r="121">
      <c r="A121" s="8" t="n">
        <v>120</v>
      </c>
      <c r="B121" s="8" t="n">
        <v>4</v>
      </c>
      <c r="C121" s="8" t="inlineStr">
        <is>
          <t>11 (court)</t>
        </is>
      </c>
      <c r="D121" s="8" t="inlineStr">
        <is>
          <t>Name of provider (if known):</t>
        </is>
      </c>
      <c r="E121" s="8" t="inlineStr">
        <is>
          <t>DV-140[0].Page4[0].List11[0].Li2[0].List[0].Li1[0].TextField[0]</t>
        </is>
      </c>
      <c r="F121" s="8" t="inlineStr">
        <is>
          <t>text</t>
        </is>
      </c>
      <c r="G121" s="8" t="inlineStr"/>
      <c r="H121" s="8" t="inlineStr"/>
      <c r="I121" s="8" t="inlineStr">
        <is>
          <t>232, 468, 576, 483</t>
        </is>
      </c>
      <c r="J121" s="8" t="inlineStr">
        <is>
          <t>court/clerk</t>
        </is>
      </c>
      <c r="K121" s="8" t="inlineStr"/>
      <c r="L121" s="8" t="inlineStr"/>
      <c r="M121" s="8" t="inlineStr"/>
      <c r="N121" s="8" t="inlineStr">
        <is>
          <t>Judge completes.</t>
        </is>
      </c>
      <c r="O121" s="8" t="inlineStr"/>
    </row>
    <row r="122">
      <c r="A122" s="8" t="n">
        <v>121</v>
      </c>
      <c r="B122" s="8" t="n">
        <v>4</v>
      </c>
      <c r="C122" s="8" t="inlineStr">
        <is>
          <t>11 (court)</t>
        </is>
      </c>
      <c r="D122" s="8" t="inlineStr">
        <is>
          <t>Telephone (if known):</t>
        </is>
      </c>
      <c r="E122" s="8" t="inlineStr">
        <is>
          <t>DV-140[0].Page4[0].List11[0].Li2[0].List[0].Li1[0].phonetf[0]</t>
        </is>
      </c>
      <c r="F122" s="8" t="inlineStr">
        <is>
          <t>text</t>
        </is>
      </c>
      <c r="G122" s="8" t="inlineStr"/>
      <c r="H122" s="8" t="inlineStr"/>
      <c r="I122" s="8" t="inlineStr">
        <is>
          <t>201, 499, 576, 514</t>
        </is>
      </c>
      <c r="J122" s="8" t="inlineStr">
        <is>
          <t>court/clerk</t>
        </is>
      </c>
      <c r="K122" s="8" t="inlineStr"/>
      <c r="L122" s="8" t="inlineStr"/>
      <c r="M122" s="8" t="inlineStr"/>
      <c r="N122" s="8" t="inlineStr">
        <is>
          <t>Judge completes.</t>
        </is>
      </c>
      <c r="O122" s="8" t="inlineStr"/>
    </row>
    <row r="123">
      <c r="A123" s="8" t="n">
        <v>122</v>
      </c>
      <c r="B123" s="8" t="n">
        <v>4</v>
      </c>
      <c r="C123" s="8" t="inlineStr">
        <is>
          <t>11 (court)</t>
        </is>
      </c>
      <c r="D123" s="8" t="inlineStr">
        <is>
          <t>Address (if known):</t>
        </is>
      </c>
      <c r="E123" s="8" t="inlineStr">
        <is>
          <t>DV-140[0].Page4[0].List11[0].Li2[0].List[0].Li1[0].addresstf[0]</t>
        </is>
      </c>
      <c r="F123" s="8" t="inlineStr">
        <is>
          <t>text</t>
        </is>
      </c>
      <c r="G123" s="8" t="inlineStr"/>
      <c r="H123" s="8" t="inlineStr"/>
      <c r="I123" s="8" t="inlineStr">
        <is>
          <t>190, 483, 576, 498</t>
        </is>
      </c>
      <c r="J123" s="8" t="inlineStr">
        <is>
          <t>court/clerk</t>
        </is>
      </c>
      <c r="K123" s="8" t="inlineStr"/>
      <c r="L123" s="8" t="inlineStr"/>
      <c r="M123" s="8" t="inlineStr"/>
      <c r="N123" s="8" t="inlineStr">
        <is>
          <t>Judge completes.</t>
        </is>
      </c>
      <c r="O123" s="8" t="inlineStr"/>
    </row>
    <row r="124">
      <c r="A124" s="8" t="n">
        <v>123</v>
      </c>
      <c r="B124" s="8" t="n">
        <v>4</v>
      </c>
      <c r="C124" s="8" t="inlineStr">
        <is>
          <t>11 (court)</t>
        </is>
      </c>
      <c r="D124" s="8" t="inlineStr">
        <is>
          <t>%</t>
        </is>
      </c>
      <c r="E124" s="8" t="inlineStr">
        <is>
          <t>DV-140[0].Page4[0].List11[0].Li2[0].List[0].Li1[0].NumericField3[0]</t>
        </is>
      </c>
      <c r="F124" s="8" t="inlineStr">
        <is>
          <t>text</t>
        </is>
      </c>
      <c r="G124" s="8" t="inlineStr"/>
      <c r="H124" s="8" t="inlineStr"/>
      <c r="I124" s="8" t="inlineStr">
        <is>
          <t>226, 515, 250, 531</t>
        </is>
      </c>
      <c r="J124" s="8" t="inlineStr">
        <is>
          <t>court/clerk</t>
        </is>
      </c>
      <c r="K124" s="8" t="inlineStr"/>
      <c r="L124" s="8" t="inlineStr"/>
      <c r="M124" s="8" t="inlineStr"/>
      <c r="N124" s="8" t="inlineStr">
        <is>
          <t>Judge completes.</t>
        </is>
      </c>
      <c r="O124" s="8" t="inlineStr"/>
    </row>
    <row r="125">
      <c r="A125" s="8" t="n">
        <v>124</v>
      </c>
      <c r="B125" s="8" t="n">
        <v>4</v>
      </c>
      <c r="C125" s="8" t="inlineStr">
        <is>
          <t>11 (court)</t>
        </is>
      </c>
      <c r="D125" s="8" t="inlineStr">
        <is>
          <t>%</t>
        </is>
      </c>
      <c r="E125" s="8" t="inlineStr">
        <is>
          <t>DV-140[0].Page4[0].List11[0].Li2[0].List[0].Li1[0].NumericField31[0]</t>
        </is>
      </c>
      <c r="F125" s="8" t="inlineStr">
        <is>
          <t>text</t>
        </is>
      </c>
      <c r="G125" s="8" t="inlineStr"/>
      <c r="H125" s="8" t="inlineStr"/>
      <c r="I125" s="8" t="inlineStr">
        <is>
          <t>335, 515, 360, 531</t>
        </is>
      </c>
      <c r="J125" s="8" t="inlineStr">
        <is>
          <t>court/clerk</t>
        </is>
      </c>
      <c r="K125" s="8" t="inlineStr"/>
      <c r="L125" s="8" t="inlineStr"/>
      <c r="M125" s="8" t="inlineStr"/>
      <c r="N125" s="8" t="inlineStr">
        <is>
          <t>Judge completes.</t>
        </is>
      </c>
      <c r="O125" s="8" t="inlineStr"/>
    </row>
    <row r="126">
      <c r="A126" s="8" t="n">
        <v>125</v>
      </c>
      <c r="B126" s="8" t="n">
        <v>4</v>
      </c>
      <c r="C126" s="8" t="inlineStr">
        <is>
          <t>11 (court)</t>
        </is>
      </c>
      <c r="D126" s="8" t="inlineStr">
        <is>
          <t>Other</t>
        </is>
      </c>
      <c r="E126" s="8" t="inlineStr">
        <is>
          <t>DV-140[0].Page4[0].List11[0].Li2[0].List[0].Li1[0].TextField2[0]</t>
        </is>
      </c>
      <c r="F126" s="8" t="inlineStr">
        <is>
          <t>text</t>
        </is>
      </c>
      <c r="G126" s="8" t="inlineStr"/>
      <c r="H126" s="8" t="inlineStr"/>
      <c r="I126" s="8" t="inlineStr">
        <is>
          <t>413, 515, 528, 531</t>
        </is>
      </c>
      <c r="J126" s="8" t="inlineStr">
        <is>
          <t>court/clerk</t>
        </is>
      </c>
      <c r="K126" s="8" t="inlineStr"/>
      <c r="L126" s="8" t="inlineStr"/>
      <c r="M126" s="8" t="inlineStr"/>
      <c r="N126" s="8" t="inlineStr">
        <is>
          <t>Judge completes.</t>
        </is>
      </c>
      <c r="O126" s="8" t="inlineStr"/>
    </row>
    <row r="127">
      <c r="A127" s="8" t="n">
        <v>126</v>
      </c>
      <c r="B127" s="8" t="n">
        <v>4</v>
      </c>
      <c r="C127" s="8" t="inlineStr">
        <is>
          <t>11 (court)</t>
        </is>
      </c>
      <c r="D127" s="8" t="inlineStr">
        <is>
          <t>%</t>
        </is>
      </c>
      <c r="E127" s="8" t="inlineStr">
        <is>
          <t>DV-140[0].Page4[0].List11[0].Li2[0].List[0].Li1[0].NumericField32[0]</t>
        </is>
      </c>
      <c r="F127" s="8" t="inlineStr">
        <is>
          <t>text</t>
        </is>
      </c>
      <c r="G127" s="8" t="inlineStr"/>
      <c r="H127" s="8" t="inlineStr"/>
      <c r="I127" s="8" t="inlineStr">
        <is>
          <t>536, 515, 561, 531</t>
        </is>
      </c>
      <c r="J127" s="8" t="inlineStr">
        <is>
          <t>court/clerk</t>
        </is>
      </c>
      <c r="K127" s="8" t="inlineStr"/>
      <c r="L127" s="8" t="inlineStr"/>
      <c r="M127" s="8" t="inlineStr"/>
      <c r="N127" s="8" t="inlineStr">
        <is>
          <t>Judge completes.</t>
        </is>
      </c>
      <c r="O127" s="8" t="inlineStr"/>
    </row>
    <row r="128">
      <c r="A128" s="8" t="n">
        <v>127</v>
      </c>
      <c r="B128" s="8" t="n">
        <v>4</v>
      </c>
      <c r="C128" s="8" t="inlineStr">
        <is>
          <t>11 (court)</t>
        </is>
      </c>
      <c r="D128" s="8" t="inlineStr">
        <is>
          <t>Person in 1 must contact provider by (date):</t>
        </is>
      </c>
      <c r="E128" s="8" t="inlineStr">
        <is>
          <t>DV-140[0].Page4[0].List11[0].Li2[0].List[0].Li1[0].DateField3[0]</t>
        </is>
      </c>
      <c r="F128" s="8" t="inlineStr">
        <is>
          <t>text</t>
        </is>
      </c>
      <c r="G128" s="8" t="inlineStr"/>
      <c r="H128" s="8" t="inlineStr"/>
      <c r="I128" s="8" t="inlineStr">
        <is>
          <t>305, 536, 576, 551</t>
        </is>
      </c>
      <c r="J128" s="8" t="inlineStr">
        <is>
          <t>court/clerk</t>
        </is>
      </c>
      <c r="K128" s="8" t="inlineStr"/>
      <c r="L128" s="8" t="inlineStr"/>
      <c r="M128" s="8" t="inlineStr"/>
      <c r="N128" s="8" t="inlineStr">
        <is>
          <t>Judge completes.</t>
        </is>
      </c>
      <c r="O128" s="8" t="inlineStr"/>
    </row>
    <row r="129">
      <c r="A129" s="8" t="n">
        <v>128</v>
      </c>
      <c r="B129" s="8" t="n">
        <v>4</v>
      </c>
      <c r="C129" s="8" t="inlineStr">
        <is>
          <t>11 (court)</t>
        </is>
      </c>
      <c r="D129" s="8" t="inlineStr">
        <is>
          <t>Person in 2 must contact provider by (date):</t>
        </is>
      </c>
      <c r="E129" s="8" t="inlineStr">
        <is>
          <t>DV-140[0].Page4[0].List11[0].Li2[0].List[0].Li1[0].DateField4[0]</t>
        </is>
      </c>
      <c r="F129" s="8" t="inlineStr">
        <is>
          <t>text</t>
        </is>
      </c>
      <c r="G129" s="8" t="inlineStr"/>
      <c r="H129" s="8" t="inlineStr"/>
      <c r="I129" s="8" t="inlineStr">
        <is>
          <t>304, 552, 576, 567</t>
        </is>
      </c>
      <c r="J129" s="8" t="inlineStr">
        <is>
          <t>court/clerk</t>
        </is>
      </c>
      <c r="K129" s="8" t="inlineStr"/>
      <c r="L129" s="8" t="inlineStr"/>
      <c r="M129" s="8" t="inlineStr"/>
      <c r="N129" s="8" t="inlineStr">
        <is>
          <t>Judge completes.</t>
        </is>
      </c>
      <c r="O129" s="8" t="inlineStr"/>
    </row>
    <row r="130">
      <c r="A130" s="8" t="n">
        <v>129</v>
      </c>
      <c r="B130" s="8" t="n">
        <v>4</v>
      </c>
      <c r="C130" s="8" t="inlineStr">
        <is>
          <t>11 (court)</t>
        </is>
      </c>
      <c r="D130" s="8" t="inlineStr">
        <is>
          <t>Nonprofessional Provider</t>
        </is>
      </c>
      <c r="E130" s="8" t="inlineStr">
        <is>
          <t>DV-140[0].Page4[0].List11[0].Li2[0].List[0].Li2[0].CheckBox3[0]</t>
        </is>
      </c>
      <c r="F130" s="8" t="inlineStr">
        <is>
          <t>checkbox</t>
        </is>
      </c>
      <c r="G130" s="8" t="inlineStr">
        <is>
          <t>1</t>
        </is>
      </c>
      <c r="H130" s="8" t="inlineStr"/>
      <c r="I130" s="8" t="inlineStr">
        <is>
          <t>102, 602, 111, 611</t>
        </is>
      </c>
      <c r="J130" s="8" t="inlineStr">
        <is>
          <t>court/clerk</t>
        </is>
      </c>
      <c r="K130" s="8" t="inlineStr"/>
      <c r="L130" s="8" t="inlineStr"/>
      <c r="M130" s="8" t="inlineStr"/>
      <c r="N130" s="8" t="inlineStr">
        <is>
          <t>Judge completes.</t>
        </is>
      </c>
      <c r="O130" s="8" t="inlineStr"/>
    </row>
    <row r="131">
      <c r="A131" s="8" t="n">
        <v>130</v>
      </c>
      <c r="B131" s="8" t="n">
        <v>4</v>
      </c>
      <c r="C131" s="8" t="inlineStr">
        <is>
          <t>11 (court)</t>
        </is>
      </c>
      <c r="D131" s="8" t="inlineStr">
        <is>
          <t>Name:</t>
        </is>
      </c>
      <c r="E131" s="8" t="inlineStr">
        <is>
          <t>DV-140[0].Page4[0].List11[0].Li2[0].List[0].Li2[0].TextField[0]</t>
        </is>
      </c>
      <c r="F131" s="8" t="inlineStr">
        <is>
          <t>text</t>
        </is>
      </c>
      <c r="G131" s="8" t="inlineStr"/>
      <c r="H131" s="8" t="inlineStr"/>
      <c r="I131" s="8" t="inlineStr">
        <is>
          <t>132, 616, 360, 631</t>
        </is>
      </c>
      <c r="J131" s="8" t="inlineStr">
        <is>
          <t>court/clerk</t>
        </is>
      </c>
      <c r="K131" s="8" t="inlineStr"/>
      <c r="L131" s="8" t="inlineStr"/>
      <c r="M131" s="8" t="inlineStr"/>
      <c r="N131" s="8" t="inlineStr">
        <is>
          <t>Judge completes.</t>
        </is>
      </c>
      <c r="O131" s="8" t="inlineStr"/>
    </row>
    <row r="132">
      <c r="A132" s="8" t="n">
        <v>131</v>
      </c>
      <c r="B132" s="8" t="n">
        <v>4</v>
      </c>
      <c r="C132" s="8" t="inlineStr">
        <is>
          <t>11 (court)</t>
        </is>
      </c>
      <c r="D132" s="8" t="inlineStr">
        <is>
          <t>Relationship to child:</t>
        </is>
      </c>
      <c r="E132" s="8" t="inlineStr">
        <is>
          <t>DV-140[0].Page4[0].List11[0].Li2[0].List[0].Li2[0].TextField[1]</t>
        </is>
      </c>
      <c r="F132" s="8" t="inlineStr">
        <is>
          <t>text</t>
        </is>
      </c>
      <c r="G132" s="8" t="inlineStr"/>
      <c r="H132" s="8" t="inlineStr"/>
      <c r="I132" s="8" t="inlineStr">
        <is>
          <t>468, 616, 576, 631</t>
        </is>
      </c>
      <c r="J132" s="8" t="inlineStr">
        <is>
          <t>court/clerk</t>
        </is>
      </c>
      <c r="K132" s="8" t="inlineStr"/>
      <c r="L132" s="8" t="inlineStr"/>
      <c r="M132" s="8" t="inlineStr"/>
      <c r="N132" s="8" t="inlineStr">
        <is>
          <t>Judge completes.</t>
        </is>
      </c>
      <c r="O132" s="8" t="inlineStr"/>
    </row>
    <row r="133">
      <c r="A133" s="8" t="n">
        <v>132</v>
      </c>
      <c r="B133" s="8" t="n">
        <v>4</v>
      </c>
      <c r="C133" s="8" t="inlineStr">
        <is>
          <t>11 (court)</t>
        </is>
      </c>
      <c r="D133" s="8" t="inlineStr">
        <is>
          <t>Telephone (if known):</t>
        </is>
      </c>
      <c r="E133" s="8" t="inlineStr">
        <is>
          <t>DV-140[0].Page4[0].List11[0].Li2[0].List[0].Li2[0].phonetf[0]</t>
        </is>
      </c>
      <c r="F133" s="8" t="inlineStr">
        <is>
          <t>text</t>
        </is>
      </c>
      <c r="G133" s="8" t="inlineStr"/>
      <c r="H133" s="8" t="inlineStr"/>
      <c r="I133" s="8" t="inlineStr">
        <is>
          <t>201, 648, 573, 663</t>
        </is>
      </c>
      <c r="J133" s="8" t="inlineStr">
        <is>
          <t>court/clerk</t>
        </is>
      </c>
      <c r="K133" s="8" t="inlineStr"/>
      <c r="L133" s="8" t="inlineStr"/>
      <c r="M133" s="8" t="inlineStr"/>
      <c r="N133" s="8" t="inlineStr">
        <is>
          <t>Judge completes.</t>
        </is>
      </c>
      <c r="O133" s="8" t="inlineStr"/>
    </row>
    <row r="134">
      <c r="A134" s="8" t="n">
        <v>133</v>
      </c>
      <c r="B134" s="8" t="n">
        <v>4</v>
      </c>
      <c r="C134" s="8" t="inlineStr">
        <is>
          <t>11 (court)</t>
        </is>
      </c>
      <c r="D134" s="8" t="inlineStr">
        <is>
          <t>Address (if known):</t>
        </is>
      </c>
      <c r="E134" s="8" t="inlineStr">
        <is>
          <t>DV-140[0].Page4[0].List11[0].Li2[0].List[0].Li2[0].addresstf[0]</t>
        </is>
      </c>
      <c r="F134" s="8" t="inlineStr">
        <is>
          <t>text</t>
        </is>
      </c>
      <c r="G134" s="8" t="inlineStr"/>
      <c r="H134" s="8" t="inlineStr"/>
      <c r="I134" s="8" t="inlineStr">
        <is>
          <t>190, 632, 573, 647</t>
        </is>
      </c>
      <c r="J134" s="8" t="inlineStr">
        <is>
          <t>court/clerk</t>
        </is>
      </c>
      <c r="K134" s="8" t="inlineStr"/>
      <c r="L134" s="8" t="inlineStr"/>
      <c r="M134" s="8" t="inlineStr"/>
      <c r="N134" s="8" t="inlineStr">
        <is>
          <t>Judge completes.</t>
        </is>
      </c>
      <c r="O134" s="8" t="inlineStr"/>
    </row>
    <row r="135">
      <c r="A135" s="8" t="n">
        <v>134</v>
      </c>
      <c r="B135" s="8" t="n">
        <v>4</v>
      </c>
      <c r="C135" s="8" t="inlineStr">
        <is>
          <t>11 (court)</t>
        </is>
      </c>
      <c r="D135" s="8" t="inlineStr">
        <is>
          <t>Safe location for exchanges:</t>
        </is>
      </c>
      <c r="E135" s="8" t="inlineStr">
        <is>
          <t>DV-140[0].Page4[0].List11[0].Li2[0].List[0].Li2[0].TextField[2]</t>
        </is>
      </c>
      <c r="F135" s="8" t="inlineStr">
        <is>
          <t>text</t>
        </is>
      </c>
      <c r="G135" s="8" t="inlineStr"/>
      <c r="H135" s="8" t="inlineStr"/>
      <c r="I135" s="8" t="inlineStr">
        <is>
          <t>227, 663, 573, 679</t>
        </is>
      </c>
      <c r="J135" s="8" t="inlineStr">
        <is>
          <t>court/clerk</t>
        </is>
      </c>
      <c r="K135" s="8" t="inlineStr"/>
      <c r="L135" s="8" t="inlineStr"/>
      <c r="M135" s="8" t="inlineStr"/>
      <c r="N135" s="8" t="inlineStr">
        <is>
          <t>Judge completes.</t>
        </is>
      </c>
      <c r="O135" s="8" t="inlineStr"/>
    </row>
    <row r="136">
      <c r="A136" s="5" t="n">
        <v>135</v>
      </c>
      <c r="B136" s="5" t="n">
        <v>5</v>
      </c>
      <c r="C136" s="5" t="inlineStr">
        <is>
          <t>Caption</t>
        </is>
      </c>
      <c r="D136" s="5" t="inlineStr">
        <is>
          <t>Case Number</t>
        </is>
      </c>
      <c r="E136" s="5" t="inlineStr">
        <is>
          <t>DV-140[0].Page5[0].Caption[0].PxCaption[0].CaseNumber_ft[0]</t>
        </is>
      </c>
      <c r="F136" s="5" t="inlineStr">
        <is>
          <t>text</t>
        </is>
      </c>
      <c r="G136" s="5" t="inlineStr"/>
      <c r="H136" s="5" t="inlineStr"/>
      <c r="I136" s="5" t="inlineStr">
        <is>
          <t>400, 49, 572, 61</t>
        </is>
      </c>
      <c r="J136" s="5" t="inlineStr">
        <is>
          <t>question</t>
        </is>
      </c>
      <c r="K136" s="5" t="inlineStr">
        <is>
          <t>S3,S4</t>
        </is>
      </c>
      <c r="L136" s="5">
        <f> S4</f>
        <v/>
      </c>
      <c r="M136" s="5" t="inlineStr">
        <is>
          <t>S3 == "update"; otherwise blank for clerk</t>
        </is>
      </c>
      <c r="N136" s="5" t="inlineStr"/>
      <c r="O136" s="5" t="inlineStr"/>
    </row>
    <row r="137">
      <c r="A137" s="8" t="n">
        <v>136</v>
      </c>
      <c r="B137" s="8" t="n">
        <v>5</v>
      </c>
      <c r="C137" s="8" t="inlineStr">
        <is>
          <t>12 (court)</t>
        </is>
      </c>
      <c r="D137" s="8" t="inlineStr">
        <is>
          <t>Visits With No Supervision (Unmonitored)</t>
        </is>
      </c>
      <c r="E137" s="8" t="inlineStr">
        <is>
          <t>DV-140[0].Page5[0].List12[0].CheckBoxRightCaption[0]</t>
        </is>
      </c>
      <c r="F137" s="8" t="inlineStr">
        <is>
          <t>checkbox</t>
        </is>
      </c>
      <c r="G137" s="8" t="inlineStr">
        <is>
          <t>1</t>
        </is>
      </c>
      <c r="H137" s="8" t="inlineStr"/>
      <c r="I137" s="8" t="inlineStr">
        <is>
          <t>64, 80, 73, 89</t>
        </is>
      </c>
      <c r="J137" s="8" t="inlineStr">
        <is>
          <t>court/clerk</t>
        </is>
      </c>
      <c r="K137" s="8" t="inlineStr"/>
      <c r="L137" s="8" t="inlineStr"/>
      <c r="M137" s="8" t="inlineStr"/>
      <c r="N137" s="8" t="inlineStr">
        <is>
          <t>Judge completes.</t>
        </is>
      </c>
      <c r="O137" s="8" t="inlineStr"/>
    </row>
    <row r="138">
      <c r="A138" s="8" t="n">
        <v>137</v>
      </c>
      <c r="B138" s="8" t="n">
        <v>5</v>
      </c>
      <c r="C138" s="8" t="inlineStr">
        <is>
          <t>12 (court)</t>
        </is>
      </c>
      <c r="D138" s="8" t="inlineStr">
        <is>
          <t>Person in</t>
        </is>
      </c>
      <c r="E138" s="8" t="inlineStr">
        <is>
          <t>DV-140[0].Page5[0].List12[0].Li1[0].item12a[0]</t>
        </is>
      </c>
      <c r="F138" s="8" t="inlineStr">
        <is>
          <t>checkbox</t>
        </is>
      </c>
      <c r="G138" s="8" t="inlineStr">
        <is>
          <t>1</t>
        </is>
      </c>
      <c r="H138" s="8" t="inlineStr"/>
      <c r="I138" s="8" t="inlineStr">
        <is>
          <t>79, 102, 88, 111</t>
        </is>
      </c>
      <c r="J138" s="8" t="inlineStr">
        <is>
          <t>court/clerk</t>
        </is>
      </c>
      <c r="K138" s="8" t="inlineStr"/>
      <c r="L138" s="8" t="inlineStr"/>
      <c r="M138" s="8" t="inlineStr"/>
      <c r="N138" s="8" t="inlineStr">
        <is>
          <t>Judge completes.</t>
        </is>
      </c>
      <c r="O138" s="8" t="inlineStr"/>
    </row>
    <row r="139">
      <c r="A139" s="8" t="n">
        <v>138</v>
      </c>
      <c r="B139" s="8" t="n">
        <v>5</v>
      </c>
      <c r="C139" s="8" t="inlineStr">
        <is>
          <t>12 (court)</t>
        </is>
      </c>
      <c r="D139" s="8" t="inlineStr">
        <is>
          <t>Person in</t>
        </is>
      </c>
      <c r="E139" s="8" t="inlineStr">
        <is>
          <t>DV-140[0].Page5[0].List12[0].Li1[0].item12a[1]</t>
        </is>
      </c>
      <c r="F139" s="8" t="inlineStr">
        <is>
          <t>checkbox</t>
        </is>
      </c>
      <c r="G139" s="8" t="inlineStr">
        <is>
          <t>21</t>
        </is>
      </c>
      <c r="H139" s="8" t="inlineStr"/>
      <c r="I139" s="8" t="inlineStr">
        <is>
          <t>161, 102, 170, 111</t>
        </is>
      </c>
      <c r="J139" s="8" t="inlineStr">
        <is>
          <t>court/clerk</t>
        </is>
      </c>
      <c r="K139" s="8" t="inlineStr"/>
      <c r="L139" s="8" t="inlineStr"/>
      <c r="M139" s="8" t="inlineStr"/>
      <c r="N139" s="8" t="inlineStr">
        <is>
          <t>Judge completes.</t>
        </is>
      </c>
      <c r="O139" s="8" t="inlineStr"/>
    </row>
    <row r="140">
      <c r="A140" s="8" t="n">
        <v>139</v>
      </c>
      <c r="B140" s="8" t="n">
        <v>5</v>
      </c>
      <c r="C140" s="8" t="inlineStr">
        <is>
          <t>12 (court)</t>
        </is>
      </c>
      <c r="D140" s="8" t="inlineStr">
        <is>
          <t>In person</t>
        </is>
      </c>
      <c r="E140" s="8" t="inlineStr">
        <is>
          <t>DV-140[0].Page5[0].List12[0].Li2[0].CheckBoxRightCaption[0]</t>
        </is>
      </c>
      <c r="F140" s="8" t="inlineStr">
        <is>
          <t>checkbox</t>
        </is>
      </c>
      <c r="G140" s="8" t="inlineStr">
        <is>
          <t>1</t>
        </is>
      </c>
      <c r="H140" s="8" t="inlineStr"/>
      <c r="I140" s="8" t="inlineStr">
        <is>
          <t>79, 145, 88, 154</t>
        </is>
      </c>
      <c r="J140" s="8" t="inlineStr">
        <is>
          <t>court/clerk</t>
        </is>
      </c>
      <c r="K140" s="8" t="inlineStr"/>
      <c r="L140" s="8" t="inlineStr"/>
      <c r="M140" s="8" t="inlineStr"/>
      <c r="N140" s="8" t="inlineStr">
        <is>
          <t>Judge completes.</t>
        </is>
      </c>
      <c r="O140" s="8" t="inlineStr"/>
    </row>
    <row r="141">
      <c r="A141" s="8" t="n">
        <v>140</v>
      </c>
      <c r="B141" s="8" t="n">
        <v>5</v>
      </c>
      <c r="C141" s="8" t="inlineStr">
        <is>
          <t>12 (court)</t>
        </is>
      </c>
      <c r="D141" s="8" t="inlineStr">
        <is>
          <t>Virtual (not in person) (Child and visiting parent may need access to the internet. For more information on virtual visits, go to selfhelp.courts.ca.gov/domestic-violence-child-custody.)</t>
        </is>
      </c>
      <c r="E141" s="8" t="inlineStr">
        <is>
          <t>DV-140[0].Page5[0].List12[0].Li2[0].CheckBoxRightCaption1[0]</t>
        </is>
      </c>
      <c r="F141" s="8" t="inlineStr">
        <is>
          <t>checkbox</t>
        </is>
      </c>
      <c r="G141" s="8" t="inlineStr">
        <is>
          <t>1</t>
        </is>
      </c>
      <c r="H141" s="8" t="inlineStr"/>
      <c r="I141" s="8" t="inlineStr">
        <is>
          <t>78, 161, 87, 170</t>
        </is>
      </c>
      <c r="J141" s="8" t="inlineStr">
        <is>
          <t>court/clerk</t>
        </is>
      </c>
      <c r="K141" s="8" t="inlineStr"/>
      <c r="L141" s="8" t="inlineStr"/>
      <c r="M141" s="8" t="inlineStr"/>
      <c r="N141" s="8" t="inlineStr">
        <is>
          <t>Judge completes.</t>
        </is>
      </c>
      <c r="O141" s="8" t="inlineStr"/>
    </row>
    <row r="142">
      <c r="A142" s="8" t="n">
        <v>141</v>
      </c>
      <c r="B142" s="8" t="n">
        <v>5</v>
      </c>
      <c r="C142" s="8" t="inlineStr">
        <is>
          <t>12 (court)</t>
        </is>
      </c>
      <c r="D142" s="8" t="inlineStr">
        <is>
          <t>Other:</t>
        </is>
      </c>
      <c r="E142" s="8" t="inlineStr">
        <is>
          <t>DV-140[0].Page5[0].List12[0].Li2[0].CheckBoxRightCaption2[0]</t>
        </is>
      </c>
      <c r="F142" s="8" t="inlineStr">
        <is>
          <t>checkbox</t>
        </is>
      </c>
      <c r="G142" s="8" t="inlineStr">
        <is>
          <t>1</t>
        </is>
      </c>
      <c r="H142" s="8" t="inlineStr"/>
      <c r="I142" s="8" t="inlineStr">
        <is>
          <t>79, 188, 88, 197</t>
        </is>
      </c>
      <c r="J142" s="8" t="inlineStr">
        <is>
          <t>court/clerk</t>
        </is>
      </c>
      <c r="K142" s="8" t="inlineStr"/>
      <c r="L142" s="8" t="inlineStr"/>
      <c r="M142" s="8" t="inlineStr"/>
      <c r="N142" s="8" t="inlineStr">
        <is>
          <t>Judge completes.</t>
        </is>
      </c>
      <c r="O142" s="8" t="inlineStr"/>
    </row>
    <row r="143">
      <c r="A143" s="8" t="n">
        <v>142</v>
      </c>
      <c r="B143" s="8" t="n">
        <v>5</v>
      </c>
      <c r="C143" s="8" t="inlineStr">
        <is>
          <t>12 (court)</t>
        </is>
      </c>
      <c r="D143" s="8" t="inlineStr">
        <is>
          <t>Other:</t>
        </is>
      </c>
      <c r="E143" s="8" t="inlineStr">
        <is>
          <t>DV-140[0].Page5[0].List12[0].Li2[0].TextField[0]</t>
        </is>
      </c>
      <c r="F143" s="8" t="inlineStr">
        <is>
          <t>text</t>
        </is>
      </c>
      <c r="G143" s="8" t="inlineStr"/>
      <c r="H143" s="8" t="inlineStr"/>
      <c r="I143" s="8" t="inlineStr">
        <is>
          <t>125, 188, 555, 203</t>
        </is>
      </c>
      <c r="J143" s="8" t="inlineStr">
        <is>
          <t>court/clerk</t>
        </is>
      </c>
      <c r="K143" s="8" t="inlineStr"/>
      <c r="L143" s="8" t="inlineStr"/>
      <c r="M143" s="8" t="inlineStr"/>
      <c r="N143" s="8" t="inlineStr">
        <is>
          <t>Judge completes.</t>
        </is>
      </c>
      <c r="O143" s="8" t="inlineStr"/>
    </row>
    <row r="144">
      <c r="A144" s="8" t="n">
        <v>143</v>
      </c>
      <c r="B144" s="8" t="n">
        <v>5</v>
      </c>
      <c r="C144" s="8" t="inlineStr">
        <is>
          <t>12 (court)</t>
        </is>
      </c>
      <c r="D144" s="8" t="inlineStr">
        <is>
          <t>describe visitation schedule</t>
        </is>
      </c>
      <c r="E144" s="8" t="inlineStr">
        <is>
          <t>DV-140[0].Page5[0].List12[0].Li3[0].TextField[0]</t>
        </is>
      </c>
      <c r="F144" s="8" t="inlineStr">
        <is>
          <t>text</t>
        </is>
      </c>
      <c r="G144" s="8" t="inlineStr"/>
      <c r="H144" s="8" t="inlineStr"/>
      <c r="I144" s="8" t="inlineStr">
        <is>
          <t>94, 261, 571, 315</t>
        </is>
      </c>
      <c r="J144" s="8" t="inlineStr">
        <is>
          <t>court/clerk</t>
        </is>
      </c>
      <c r="K144" s="8" t="inlineStr"/>
      <c r="L144" s="8" t="inlineStr"/>
      <c r="M144" s="8" t="inlineStr"/>
      <c r="N144" s="8" t="inlineStr">
        <is>
          <t>Judge completes.</t>
        </is>
      </c>
      <c r="O144" s="8" t="inlineStr"/>
    </row>
    <row r="145">
      <c r="A145" s="8" t="n">
        <v>144</v>
      </c>
      <c r="B145" s="8" t="n">
        <v>5</v>
      </c>
      <c r="C145" s="8" t="inlineStr">
        <is>
          <t>12 (court)</t>
        </is>
      </c>
      <c r="D145" s="8" t="inlineStr">
        <is>
          <t>Described below:</t>
        </is>
      </c>
      <c r="E145" s="8" t="inlineStr">
        <is>
          <t>DV-140[0].Page5[0].List12[0].Li3[0].item12c[0]</t>
        </is>
      </c>
      <c r="F145" s="8" t="inlineStr">
        <is>
          <t>checkbox</t>
        </is>
      </c>
      <c r="G145" s="8" t="inlineStr">
        <is>
          <t>11</t>
        </is>
      </c>
      <c r="H145" s="8" t="inlineStr"/>
      <c r="I145" s="8" t="inlineStr">
        <is>
          <t>79, 250, 88, 259</t>
        </is>
      </c>
      <c r="J145" s="8" t="inlineStr">
        <is>
          <t>court/clerk</t>
        </is>
      </c>
      <c r="K145" s="8" t="inlineStr"/>
      <c r="L145" s="8" t="inlineStr"/>
      <c r="M145" s="8" t="inlineStr"/>
      <c r="N145" s="8" t="inlineStr">
        <is>
          <t>Judge completes.</t>
        </is>
      </c>
      <c r="O145" s="8" t="inlineStr"/>
    </row>
    <row r="146">
      <c r="A146" s="8" t="n">
        <v>145</v>
      </c>
      <c r="B146" s="8" t="n">
        <v>5</v>
      </c>
      <c r="C146" s="8" t="inlineStr">
        <is>
          <t>12 (court)</t>
        </is>
      </c>
      <c r="D146" s="8" t="inlineStr">
        <is>
          <t>Listed in 13.</t>
        </is>
      </c>
      <c r="E146" s="8" t="inlineStr">
        <is>
          <t>DV-140[0].Page5[0].List12[0].Li3[0].item12c[1]</t>
        </is>
      </c>
      <c r="F146" s="8" t="inlineStr">
        <is>
          <t>checkbox</t>
        </is>
      </c>
      <c r="G146" s="8" t="inlineStr">
        <is>
          <t>1</t>
        </is>
      </c>
      <c r="H146" s="8" t="inlineStr"/>
      <c r="I146" s="8" t="inlineStr">
        <is>
          <t>79, 234, 88, 243</t>
        </is>
      </c>
      <c r="J146" s="8" t="inlineStr">
        <is>
          <t>court/clerk</t>
        </is>
      </c>
      <c r="K146" s="8" t="inlineStr"/>
      <c r="L146" s="8" t="inlineStr"/>
      <c r="M146" s="8" t="inlineStr"/>
      <c r="N146" s="8" t="inlineStr">
        <is>
          <t>Judge completes.</t>
        </is>
      </c>
      <c r="O146" s="8" t="inlineStr"/>
    </row>
    <row r="147">
      <c r="A147" s="8" t="n">
        <v>146</v>
      </c>
      <c r="B147" s="8" t="n">
        <v>5</v>
      </c>
      <c r="C147" s="8" t="inlineStr">
        <is>
          <t>13 (court)</t>
        </is>
      </c>
      <c r="D147" s="8" t="inlineStr">
        <is>
          <t>Visitation Plan for Person in</t>
        </is>
      </c>
      <c r="E147" s="8" t="inlineStr">
        <is>
          <t>DV-140[0].Page5[0].List13[0].Li1[0].CheckBoxRightCaption[0]</t>
        </is>
      </c>
      <c r="F147" s="8" t="inlineStr">
        <is>
          <t>checkbox</t>
        </is>
      </c>
      <c r="G147" s="8" t="inlineStr">
        <is>
          <t>1</t>
        </is>
      </c>
      <c r="H147" s="8" t="inlineStr"/>
      <c r="I147" s="8" t="inlineStr">
        <is>
          <t>62, 330, 71, 339</t>
        </is>
      </c>
      <c r="J147" s="8" t="inlineStr">
        <is>
          <t>court/clerk</t>
        </is>
      </c>
      <c r="K147" s="8" t="inlineStr"/>
      <c r="L147" s="8" t="inlineStr"/>
      <c r="M147" s="8" t="inlineStr"/>
      <c r="N147" s="8" t="inlineStr">
        <is>
          <t>Judge completes.</t>
        </is>
      </c>
      <c r="O147" s="8" t="inlineStr"/>
    </row>
    <row r="148">
      <c r="A148" s="8" t="n">
        <v>147</v>
      </c>
      <c r="B148" s="8" t="n">
        <v>5</v>
      </c>
      <c r="C148" s="8" t="inlineStr">
        <is>
          <t>13 (court)</t>
        </is>
      </c>
      <c r="D148" s="8" t="inlineStr">
        <is>
          <t>Start:</t>
        </is>
      </c>
      <c r="E148" s="8" t="inlineStr">
        <is>
          <t>DV-140[0].Page5[0].List13[0].Li1[0].tf1[0]</t>
        </is>
      </c>
      <c r="F148" s="8" t="inlineStr">
        <is>
          <t>text</t>
        </is>
      </c>
      <c r="G148" s="8" t="inlineStr"/>
      <c r="H148" s="8" t="inlineStr"/>
      <c r="I148" s="8" t="inlineStr">
        <is>
          <t>153, 397, 248, 408</t>
        </is>
      </c>
      <c r="J148" s="8" t="inlineStr">
        <is>
          <t>court/clerk</t>
        </is>
      </c>
      <c r="K148" s="8" t="inlineStr"/>
      <c r="L148" s="8" t="inlineStr"/>
      <c r="M148" s="8" t="inlineStr"/>
      <c r="N148" s="8" t="inlineStr">
        <is>
          <t>Judge completes.</t>
        </is>
      </c>
      <c r="O148" s="8" t="inlineStr"/>
    </row>
    <row r="149">
      <c r="A149" s="8" t="n">
        <v>148</v>
      </c>
      <c r="B149" s="8" t="n">
        <v>5</v>
      </c>
      <c r="C149" s="8" t="inlineStr">
        <is>
          <t>13 (court)</t>
        </is>
      </c>
      <c r="D149" s="8" t="inlineStr">
        <is>
          <t>End, if applies:</t>
        </is>
      </c>
      <c r="E149" s="8" t="inlineStr">
        <is>
          <t>DV-140[0].Page5[0].List13[0].Li1[0].tf2[0]</t>
        </is>
      </c>
      <c r="F149" s="8" t="inlineStr">
        <is>
          <t>text</t>
        </is>
      </c>
      <c r="G149" s="8" t="inlineStr"/>
      <c r="H149" s="8" t="inlineStr"/>
      <c r="I149" s="8" t="inlineStr">
        <is>
          <t>195, 412, 248, 423</t>
        </is>
      </c>
      <c r="J149" s="8" t="inlineStr">
        <is>
          <t>court/clerk</t>
        </is>
      </c>
      <c r="K149" s="8" t="inlineStr"/>
      <c r="L149" s="8" t="inlineStr"/>
      <c r="M149" s="8" t="inlineStr"/>
      <c r="N149" s="8" t="inlineStr">
        <is>
          <t>Judge completes.</t>
        </is>
      </c>
      <c r="O149" s="8" t="inlineStr"/>
    </row>
    <row r="150">
      <c r="A150" s="8" t="n">
        <v>149</v>
      </c>
      <c r="B150" s="8" t="n">
        <v>5</v>
      </c>
      <c r="C150" s="8" t="inlineStr">
        <is>
          <t>13 (court)</t>
        </is>
      </c>
      <c r="D150" s="8" t="inlineStr">
        <is>
          <t>Person to bring children to and from visit (or make child available for virtual visit)</t>
        </is>
      </c>
      <c r="E150" s="8" t="inlineStr">
        <is>
          <t>DV-140[0].Page5[0].List13[0].Li1[0].tf3[0]</t>
        </is>
      </c>
      <c r="F150" s="8" t="inlineStr">
        <is>
          <t>text</t>
        </is>
      </c>
      <c r="G150" s="8" t="inlineStr"/>
      <c r="H150" s="8" t="inlineStr"/>
      <c r="I150" s="8" t="inlineStr">
        <is>
          <t>305, 397, 437, 408</t>
        </is>
      </c>
      <c r="J150" s="8" t="inlineStr">
        <is>
          <t>court/clerk</t>
        </is>
      </c>
      <c r="K150" s="8" t="inlineStr"/>
      <c r="L150" s="8" t="inlineStr"/>
      <c r="M150" s="8" t="inlineStr"/>
      <c r="N150" s="8" t="inlineStr">
        <is>
          <t>Judge completes.</t>
        </is>
      </c>
      <c r="O150" s="8" t="inlineStr"/>
    </row>
    <row r="151">
      <c r="A151" s="8" t="n">
        <v>150</v>
      </c>
      <c r="B151" s="8" t="n">
        <v>5</v>
      </c>
      <c r="C151" s="8" t="inlineStr">
        <is>
          <t>13 (court)</t>
        </is>
      </c>
      <c r="D151" s="8" t="inlineStr">
        <is>
          <t>Person to bring children to and from visit (or make child available for virtual visit)</t>
        </is>
      </c>
      <c r="E151" s="8" t="inlineStr">
        <is>
          <t>DV-140[0].Page5[0].List13[0].Li1[0].tf4[0]</t>
        </is>
      </c>
      <c r="F151" s="8" t="inlineStr">
        <is>
          <t>text</t>
        </is>
      </c>
      <c r="G151" s="8" t="inlineStr"/>
      <c r="H151" s="8" t="inlineStr"/>
      <c r="I151" s="8" t="inlineStr">
        <is>
          <t>305, 412, 437, 423</t>
        </is>
      </c>
      <c r="J151" s="8" t="inlineStr">
        <is>
          <t>court/clerk</t>
        </is>
      </c>
      <c r="K151" s="8" t="inlineStr"/>
      <c r="L151" s="8" t="inlineStr"/>
      <c r="M151" s="8" t="inlineStr"/>
      <c r="N151" s="8" t="inlineStr">
        <is>
          <t>Judge completes.</t>
        </is>
      </c>
      <c r="O151" s="8" t="inlineStr"/>
    </row>
    <row r="152">
      <c r="A152" s="8" t="n">
        <v>151</v>
      </c>
      <c r="B152" s="8" t="n">
        <v>5</v>
      </c>
      <c r="C152" s="8" t="inlineStr">
        <is>
          <t>13 (court)</t>
        </is>
      </c>
      <c r="D152" s="8" t="inlineStr">
        <is>
          <t>Location of drop-off/pick-up</t>
        </is>
      </c>
      <c r="E152" s="8" t="inlineStr">
        <is>
          <t>DV-140[0].Page5[0].List13[0].Li1[0].tf5[0]</t>
        </is>
      </c>
      <c r="F152" s="8" t="inlineStr">
        <is>
          <t>text</t>
        </is>
      </c>
      <c r="G152" s="8" t="inlineStr"/>
      <c r="H152" s="8" t="inlineStr"/>
      <c r="I152" s="8" t="inlineStr">
        <is>
          <t>447, 397, 572, 408</t>
        </is>
      </c>
      <c r="J152" s="8" t="inlineStr">
        <is>
          <t>court/clerk</t>
        </is>
      </c>
      <c r="K152" s="8" t="inlineStr"/>
      <c r="L152" s="8" t="inlineStr"/>
      <c r="M152" s="8" t="inlineStr"/>
      <c r="N152" s="8" t="inlineStr">
        <is>
          <t>Judge completes.</t>
        </is>
      </c>
      <c r="O152" s="8" t="inlineStr"/>
    </row>
    <row r="153">
      <c r="A153" s="8" t="n">
        <v>152</v>
      </c>
      <c r="B153" s="8" t="n">
        <v>5</v>
      </c>
      <c r="C153" s="8" t="inlineStr">
        <is>
          <t>13 (court)</t>
        </is>
      </c>
      <c r="D153" s="8" t="inlineStr">
        <is>
          <t>Location of drop-off/pick-up</t>
        </is>
      </c>
      <c r="E153" s="8" t="inlineStr">
        <is>
          <t>DV-140[0].Page5[0].List13[0].Li1[0].tf6[0]</t>
        </is>
      </c>
      <c r="F153" s="8" t="inlineStr">
        <is>
          <t>text</t>
        </is>
      </c>
      <c r="G153" s="8" t="inlineStr"/>
      <c r="H153" s="8" t="inlineStr"/>
      <c r="I153" s="8" t="inlineStr">
        <is>
          <t>447, 412, 572, 423</t>
        </is>
      </c>
      <c r="J153" s="8" t="inlineStr">
        <is>
          <t>court/clerk</t>
        </is>
      </c>
      <c r="K153" s="8" t="inlineStr"/>
      <c r="L153" s="8" t="inlineStr"/>
      <c r="M153" s="8" t="inlineStr"/>
      <c r="N153" s="8" t="inlineStr">
        <is>
          <t>Judge completes.</t>
        </is>
      </c>
      <c r="O153" s="8" t="inlineStr"/>
    </row>
    <row r="154">
      <c r="A154" s="8" t="n">
        <v>153</v>
      </c>
      <c r="B154" s="8" t="n">
        <v>5</v>
      </c>
      <c r="C154" s="8" t="inlineStr">
        <is>
          <t>13 (court)</t>
        </is>
      </c>
      <c r="D154" s="8" t="inlineStr">
        <is>
          <t>Start:</t>
        </is>
      </c>
      <c r="E154" s="8" t="inlineStr">
        <is>
          <t>DV-140[0].Page5[0].List13[0].Li1[0].tf7[0]</t>
        </is>
      </c>
      <c r="F154" s="8" t="inlineStr">
        <is>
          <t>text</t>
        </is>
      </c>
      <c r="G154" s="8" t="inlineStr"/>
      <c r="H154" s="8" t="inlineStr"/>
      <c r="I154" s="8" t="inlineStr">
        <is>
          <t>153, 433, 248, 444</t>
        </is>
      </c>
      <c r="J154" s="8" t="inlineStr">
        <is>
          <t>court/clerk</t>
        </is>
      </c>
      <c r="K154" s="8" t="inlineStr"/>
      <c r="L154" s="8" t="inlineStr"/>
      <c r="M154" s="8" t="inlineStr"/>
      <c r="N154" s="8" t="inlineStr">
        <is>
          <t>Judge completes.</t>
        </is>
      </c>
      <c r="O154" s="8" t="inlineStr"/>
    </row>
    <row r="155">
      <c r="A155" s="8" t="n">
        <v>154</v>
      </c>
      <c r="B155" s="8" t="n">
        <v>5</v>
      </c>
      <c r="C155" s="8" t="inlineStr">
        <is>
          <t>13 (court)</t>
        </is>
      </c>
      <c r="D155" s="8" t="inlineStr">
        <is>
          <t>End, if applies:</t>
        </is>
      </c>
      <c r="E155" s="8" t="inlineStr">
        <is>
          <t>DV-140[0].Page5[0].List13[0].Li1[0].tf8[0]</t>
        </is>
      </c>
      <c r="F155" s="8" t="inlineStr">
        <is>
          <t>text</t>
        </is>
      </c>
      <c r="G155" s="8" t="inlineStr"/>
      <c r="H155" s="8" t="inlineStr"/>
      <c r="I155" s="8" t="inlineStr">
        <is>
          <t>195, 448, 248, 459</t>
        </is>
      </c>
      <c r="J155" s="8" t="inlineStr">
        <is>
          <t>court/clerk</t>
        </is>
      </c>
      <c r="K155" s="8" t="inlineStr"/>
      <c r="L155" s="8" t="inlineStr"/>
      <c r="M155" s="8" t="inlineStr"/>
      <c r="N155" s="8" t="inlineStr">
        <is>
          <t>Judge completes.</t>
        </is>
      </c>
      <c r="O155" s="8" t="inlineStr"/>
    </row>
    <row r="156">
      <c r="A156" s="8" t="n">
        <v>155</v>
      </c>
      <c r="B156" s="8" t="n">
        <v>5</v>
      </c>
      <c r="C156" s="8" t="inlineStr">
        <is>
          <t>13 (court)</t>
        </is>
      </c>
      <c r="D156" s="8" t="inlineStr">
        <is>
          <t>Person to bring children to and from visit (or make child available for virtual visit)</t>
        </is>
      </c>
      <c r="E156" s="8" t="inlineStr">
        <is>
          <t>DV-140[0].Page5[0].List13[0].Li1[0].tf9[0]</t>
        </is>
      </c>
      <c r="F156" s="8" t="inlineStr">
        <is>
          <t>text</t>
        </is>
      </c>
      <c r="G156" s="8" t="inlineStr"/>
      <c r="H156" s="8" t="inlineStr"/>
      <c r="I156" s="8" t="inlineStr">
        <is>
          <t>305, 434, 436, 445</t>
        </is>
      </c>
      <c r="J156" s="8" t="inlineStr">
        <is>
          <t>court/clerk</t>
        </is>
      </c>
      <c r="K156" s="8" t="inlineStr"/>
      <c r="L156" s="8" t="inlineStr"/>
      <c r="M156" s="8" t="inlineStr"/>
      <c r="N156" s="8" t="inlineStr">
        <is>
          <t>Judge completes.</t>
        </is>
      </c>
      <c r="O156" s="8" t="inlineStr"/>
    </row>
    <row r="157">
      <c r="A157" s="8" t="n">
        <v>156</v>
      </c>
      <c r="B157" s="8" t="n">
        <v>5</v>
      </c>
      <c r="C157" s="8" t="inlineStr">
        <is>
          <t>13 (court)</t>
        </is>
      </c>
      <c r="D157" s="8" t="inlineStr">
        <is>
          <t>Person to bring children to and from visit (or make child available for virtual visit)</t>
        </is>
      </c>
      <c r="E157" s="8" t="inlineStr">
        <is>
          <t>DV-140[0].Page5[0].List13[0].Li1[0].tf10[0]</t>
        </is>
      </c>
      <c r="F157" s="8" t="inlineStr">
        <is>
          <t>text</t>
        </is>
      </c>
      <c r="G157" s="8" t="inlineStr"/>
      <c r="H157" s="8" t="inlineStr"/>
      <c r="I157" s="8" t="inlineStr">
        <is>
          <t>305, 450, 437, 461</t>
        </is>
      </c>
      <c r="J157" s="8" t="inlineStr">
        <is>
          <t>court/clerk</t>
        </is>
      </c>
      <c r="K157" s="8" t="inlineStr"/>
      <c r="L157" s="8" t="inlineStr"/>
      <c r="M157" s="8" t="inlineStr"/>
      <c r="N157" s="8" t="inlineStr">
        <is>
          <t>Judge completes.</t>
        </is>
      </c>
      <c r="O157" s="8" t="inlineStr"/>
    </row>
    <row r="158">
      <c r="A158" s="8" t="n">
        <v>157</v>
      </c>
      <c r="B158" s="8" t="n">
        <v>5</v>
      </c>
      <c r="C158" s="8" t="inlineStr">
        <is>
          <t>13 (court)</t>
        </is>
      </c>
      <c r="D158" s="8" t="inlineStr">
        <is>
          <t>Location of drop-off/pick-up</t>
        </is>
      </c>
      <c r="E158" s="8" t="inlineStr">
        <is>
          <t>DV-140[0].Page5[0].List13[0].Li1[0].tf11[0]</t>
        </is>
      </c>
      <c r="F158" s="8" t="inlineStr">
        <is>
          <t>text</t>
        </is>
      </c>
      <c r="G158" s="8" t="inlineStr"/>
      <c r="H158" s="8" t="inlineStr"/>
      <c r="I158" s="8" t="inlineStr">
        <is>
          <t>447, 434, 572, 445</t>
        </is>
      </c>
      <c r="J158" s="8" t="inlineStr">
        <is>
          <t>court/clerk</t>
        </is>
      </c>
      <c r="K158" s="8" t="inlineStr"/>
      <c r="L158" s="8" t="inlineStr"/>
      <c r="M158" s="8" t="inlineStr"/>
      <c r="N158" s="8" t="inlineStr">
        <is>
          <t>Judge completes.</t>
        </is>
      </c>
      <c r="O158" s="8" t="inlineStr"/>
    </row>
    <row r="159">
      <c r="A159" s="8" t="n">
        <v>158</v>
      </c>
      <c r="B159" s="8" t="n">
        <v>5</v>
      </c>
      <c r="C159" s="8" t="inlineStr">
        <is>
          <t>13 (court)</t>
        </is>
      </c>
      <c r="D159" s="8" t="inlineStr">
        <is>
          <t>Location of drop-off/pick-up</t>
        </is>
      </c>
      <c r="E159" s="8" t="inlineStr">
        <is>
          <t>DV-140[0].Page5[0].List13[0].Li1[0].tf12[0]</t>
        </is>
      </c>
      <c r="F159" s="8" t="inlineStr">
        <is>
          <t>text</t>
        </is>
      </c>
      <c r="G159" s="8" t="inlineStr"/>
      <c r="H159" s="8" t="inlineStr"/>
      <c r="I159" s="8" t="inlineStr">
        <is>
          <t>447, 450, 572, 461</t>
        </is>
      </c>
      <c r="J159" s="8" t="inlineStr">
        <is>
          <t>court/clerk</t>
        </is>
      </c>
      <c r="K159" s="8" t="inlineStr"/>
      <c r="L159" s="8" t="inlineStr"/>
      <c r="M159" s="8" t="inlineStr"/>
      <c r="N159" s="8" t="inlineStr">
        <is>
          <t>Judge completes.</t>
        </is>
      </c>
      <c r="O159" s="8" t="inlineStr"/>
    </row>
    <row r="160">
      <c r="A160" s="8" t="n">
        <v>159</v>
      </c>
      <c r="B160" s="8" t="n">
        <v>5</v>
      </c>
      <c r="C160" s="8" t="inlineStr">
        <is>
          <t>13 (court)</t>
        </is>
      </c>
      <c r="D160" s="8" t="inlineStr">
        <is>
          <t>Start:</t>
        </is>
      </c>
      <c r="E160" s="8" t="inlineStr">
        <is>
          <t>DV-140[0].Page5[0].List13[0].Li1[0].tf13[0]</t>
        </is>
      </c>
      <c r="F160" s="8" t="inlineStr">
        <is>
          <t>text</t>
        </is>
      </c>
      <c r="G160" s="8" t="inlineStr"/>
      <c r="H160" s="8" t="inlineStr"/>
      <c r="I160" s="8" t="inlineStr">
        <is>
          <t>153, 468, 248, 479</t>
        </is>
      </c>
      <c r="J160" s="8" t="inlineStr">
        <is>
          <t>court/clerk</t>
        </is>
      </c>
      <c r="K160" s="8" t="inlineStr"/>
      <c r="L160" s="8" t="inlineStr"/>
      <c r="M160" s="8" t="inlineStr"/>
      <c r="N160" s="8" t="inlineStr">
        <is>
          <t>Judge completes.</t>
        </is>
      </c>
      <c r="O160" s="8" t="inlineStr"/>
    </row>
    <row r="161">
      <c r="A161" s="8" t="n">
        <v>160</v>
      </c>
      <c r="B161" s="8" t="n">
        <v>5</v>
      </c>
      <c r="C161" s="8" t="inlineStr">
        <is>
          <t>13 (court)</t>
        </is>
      </c>
      <c r="D161" s="8" t="inlineStr">
        <is>
          <t>End, if applies:</t>
        </is>
      </c>
      <c r="E161" s="8" t="inlineStr">
        <is>
          <t>DV-140[0].Page5[0].List13[0].Li1[0].tf14[0]</t>
        </is>
      </c>
      <c r="F161" s="8" t="inlineStr">
        <is>
          <t>text</t>
        </is>
      </c>
      <c r="G161" s="8" t="inlineStr"/>
      <c r="H161" s="8" t="inlineStr"/>
      <c r="I161" s="8" t="inlineStr">
        <is>
          <t>195, 483, 248, 494</t>
        </is>
      </c>
      <c r="J161" s="8" t="inlineStr">
        <is>
          <t>court/clerk</t>
        </is>
      </c>
      <c r="K161" s="8" t="inlineStr"/>
      <c r="L161" s="8" t="inlineStr"/>
      <c r="M161" s="8" t="inlineStr"/>
      <c r="N161" s="8" t="inlineStr">
        <is>
          <t>Judge completes.</t>
        </is>
      </c>
      <c r="O161" s="8" t="inlineStr"/>
    </row>
    <row r="162">
      <c r="A162" s="8" t="n">
        <v>161</v>
      </c>
      <c r="B162" s="8" t="n">
        <v>5</v>
      </c>
      <c r="C162" s="8" t="inlineStr">
        <is>
          <t>13 (court)</t>
        </is>
      </c>
      <c r="D162" s="8" t="inlineStr">
        <is>
          <t>Person to bring children to and from visit (or make child available for virtual visit)</t>
        </is>
      </c>
      <c r="E162" s="8" t="inlineStr">
        <is>
          <t>DV-140[0].Page5[0].List13[0].Li1[0].tf15[0]</t>
        </is>
      </c>
      <c r="F162" s="8" t="inlineStr">
        <is>
          <t>text</t>
        </is>
      </c>
      <c r="G162" s="8" t="inlineStr"/>
      <c r="H162" s="8" t="inlineStr"/>
      <c r="I162" s="8" t="inlineStr">
        <is>
          <t>305, 468, 436, 479</t>
        </is>
      </c>
      <c r="J162" s="8" t="inlineStr">
        <is>
          <t>court/clerk</t>
        </is>
      </c>
      <c r="K162" s="8" t="inlineStr"/>
      <c r="L162" s="8" t="inlineStr"/>
      <c r="M162" s="8" t="inlineStr"/>
      <c r="N162" s="8" t="inlineStr">
        <is>
          <t>Judge completes.</t>
        </is>
      </c>
      <c r="O162" s="8" t="inlineStr"/>
    </row>
    <row r="163">
      <c r="A163" s="8" t="n">
        <v>162</v>
      </c>
      <c r="B163" s="8" t="n">
        <v>5</v>
      </c>
      <c r="C163" s="8" t="inlineStr">
        <is>
          <t>13 (court)</t>
        </is>
      </c>
      <c r="D163" s="8" t="inlineStr">
        <is>
          <t>Person to bring children to and from visit (or make child available for virtual visit)</t>
        </is>
      </c>
      <c r="E163" s="8" t="inlineStr">
        <is>
          <t>DV-140[0].Page5[0].List13[0].Li1[0].tf16[0]</t>
        </is>
      </c>
      <c r="F163" s="8" t="inlineStr">
        <is>
          <t>text</t>
        </is>
      </c>
      <c r="G163" s="8" t="inlineStr"/>
      <c r="H163" s="8" t="inlineStr"/>
      <c r="I163" s="8" t="inlineStr">
        <is>
          <t>305, 483, 437, 494</t>
        </is>
      </c>
      <c r="J163" s="8" t="inlineStr">
        <is>
          <t>court/clerk</t>
        </is>
      </c>
      <c r="K163" s="8" t="inlineStr"/>
      <c r="L163" s="8" t="inlineStr"/>
      <c r="M163" s="8" t="inlineStr"/>
      <c r="N163" s="8" t="inlineStr">
        <is>
          <t>Judge completes.</t>
        </is>
      </c>
      <c r="O163" s="8" t="inlineStr"/>
    </row>
    <row r="164">
      <c r="A164" s="8" t="n">
        <v>163</v>
      </c>
      <c r="B164" s="8" t="n">
        <v>5</v>
      </c>
      <c r="C164" s="8" t="inlineStr">
        <is>
          <t>13 (court)</t>
        </is>
      </c>
      <c r="D164" s="8" t="inlineStr">
        <is>
          <t>Location of drop-off/pick-up</t>
        </is>
      </c>
      <c r="E164" s="8" t="inlineStr">
        <is>
          <t>DV-140[0].Page5[0].List13[0].Li1[0].tf17[0]</t>
        </is>
      </c>
      <c r="F164" s="8" t="inlineStr">
        <is>
          <t>text</t>
        </is>
      </c>
      <c r="G164" s="8" t="inlineStr"/>
      <c r="H164" s="8" t="inlineStr"/>
      <c r="I164" s="8" t="inlineStr">
        <is>
          <t>447, 468, 572, 479</t>
        </is>
      </c>
      <c r="J164" s="8" t="inlineStr">
        <is>
          <t>court/clerk</t>
        </is>
      </c>
      <c r="K164" s="8" t="inlineStr"/>
      <c r="L164" s="8" t="inlineStr"/>
      <c r="M164" s="8" t="inlineStr"/>
      <c r="N164" s="8" t="inlineStr">
        <is>
          <t>Judge completes.</t>
        </is>
      </c>
      <c r="O164" s="8" t="inlineStr"/>
    </row>
    <row r="165">
      <c r="A165" s="8" t="n">
        <v>164</v>
      </c>
      <c r="B165" s="8" t="n">
        <v>5</v>
      </c>
      <c r="C165" s="8" t="inlineStr">
        <is>
          <t>13 (court)</t>
        </is>
      </c>
      <c r="D165" s="8" t="inlineStr">
        <is>
          <t>Location of drop-off/pick-up</t>
        </is>
      </c>
      <c r="E165" s="8" t="inlineStr">
        <is>
          <t>DV-140[0].Page5[0].List13[0].Li1[0].tf18[0]</t>
        </is>
      </c>
      <c r="F165" s="8" t="inlineStr">
        <is>
          <t>text</t>
        </is>
      </c>
      <c r="G165" s="8" t="inlineStr"/>
      <c r="H165" s="8" t="inlineStr"/>
      <c r="I165" s="8" t="inlineStr">
        <is>
          <t>447, 483, 572, 494</t>
        </is>
      </c>
      <c r="J165" s="8" t="inlineStr">
        <is>
          <t>court/clerk</t>
        </is>
      </c>
      <c r="K165" s="8" t="inlineStr"/>
      <c r="L165" s="8" t="inlineStr"/>
      <c r="M165" s="8" t="inlineStr"/>
      <c r="N165" s="8" t="inlineStr">
        <is>
          <t>Judge completes.</t>
        </is>
      </c>
      <c r="O165" s="8" t="inlineStr"/>
    </row>
    <row r="166">
      <c r="A166" s="8" t="n">
        <v>165</v>
      </c>
      <c r="B166" s="8" t="n">
        <v>5</v>
      </c>
      <c r="C166" s="8" t="inlineStr">
        <is>
          <t>13 (court)</t>
        </is>
      </c>
      <c r="D166" s="8" t="inlineStr">
        <is>
          <t>Start:</t>
        </is>
      </c>
      <c r="E166" s="8" t="inlineStr">
        <is>
          <t>DV-140[0].Page5[0].List13[0].Li1[0].tf19[0]</t>
        </is>
      </c>
      <c r="F166" s="8" t="inlineStr">
        <is>
          <t>text</t>
        </is>
      </c>
      <c r="G166" s="8" t="inlineStr"/>
      <c r="H166" s="8" t="inlineStr"/>
      <c r="I166" s="8" t="inlineStr">
        <is>
          <t>153, 501, 248, 512</t>
        </is>
      </c>
      <c r="J166" s="8" t="inlineStr">
        <is>
          <t>court/clerk</t>
        </is>
      </c>
      <c r="K166" s="8" t="inlineStr"/>
      <c r="L166" s="8" t="inlineStr"/>
      <c r="M166" s="8" t="inlineStr"/>
      <c r="N166" s="8" t="inlineStr">
        <is>
          <t>Judge completes.</t>
        </is>
      </c>
      <c r="O166" s="8" t="inlineStr"/>
    </row>
    <row r="167">
      <c r="A167" s="8" t="n">
        <v>166</v>
      </c>
      <c r="B167" s="8" t="n">
        <v>5</v>
      </c>
      <c r="C167" s="8" t="inlineStr">
        <is>
          <t>13 (court)</t>
        </is>
      </c>
      <c r="D167" s="8" t="inlineStr">
        <is>
          <t>End, if applies:</t>
        </is>
      </c>
      <c r="E167" s="8" t="inlineStr">
        <is>
          <t>DV-140[0].Page5[0].List13[0].Li1[0].tf20[0]</t>
        </is>
      </c>
      <c r="F167" s="8" t="inlineStr">
        <is>
          <t>text</t>
        </is>
      </c>
      <c r="G167" s="8" t="inlineStr"/>
      <c r="H167" s="8" t="inlineStr"/>
      <c r="I167" s="8" t="inlineStr">
        <is>
          <t>195, 516, 248, 527</t>
        </is>
      </c>
      <c r="J167" s="8" t="inlineStr">
        <is>
          <t>court/clerk</t>
        </is>
      </c>
      <c r="K167" s="8" t="inlineStr"/>
      <c r="L167" s="8" t="inlineStr"/>
      <c r="M167" s="8" t="inlineStr"/>
      <c r="N167" s="8" t="inlineStr">
        <is>
          <t>Judge completes.</t>
        </is>
      </c>
      <c r="O167" s="8" t="inlineStr"/>
    </row>
    <row r="168">
      <c r="A168" s="8" t="n">
        <v>167</v>
      </c>
      <c r="B168" s="8" t="n">
        <v>5</v>
      </c>
      <c r="C168" s="8" t="inlineStr">
        <is>
          <t>13 (court)</t>
        </is>
      </c>
      <c r="D168" s="8" t="inlineStr">
        <is>
          <t>Person to bring children to and from visit (or make child available for virtual visit)</t>
        </is>
      </c>
      <c r="E168" s="8" t="inlineStr">
        <is>
          <t>DV-140[0].Page5[0].List13[0].Li1[0].tf21[0]</t>
        </is>
      </c>
      <c r="F168" s="8" t="inlineStr">
        <is>
          <t>text</t>
        </is>
      </c>
      <c r="G168" s="8" t="inlineStr"/>
      <c r="H168" s="8" t="inlineStr"/>
      <c r="I168" s="8" t="inlineStr">
        <is>
          <t>305, 501, 436, 512</t>
        </is>
      </c>
      <c r="J168" s="8" t="inlineStr">
        <is>
          <t>court/clerk</t>
        </is>
      </c>
      <c r="K168" s="8" t="inlineStr"/>
      <c r="L168" s="8" t="inlineStr"/>
      <c r="M168" s="8" t="inlineStr"/>
      <c r="N168" s="8" t="inlineStr">
        <is>
          <t>Judge completes.</t>
        </is>
      </c>
      <c r="O168" s="8" t="inlineStr"/>
    </row>
    <row r="169">
      <c r="A169" s="8" t="n">
        <v>168</v>
      </c>
      <c r="B169" s="8" t="n">
        <v>5</v>
      </c>
      <c r="C169" s="8" t="inlineStr">
        <is>
          <t>13 (court)</t>
        </is>
      </c>
      <c r="D169" s="8" t="inlineStr">
        <is>
          <t>Person to bring children to and from visit (or make child available for virtual visit)</t>
        </is>
      </c>
      <c r="E169" s="8" t="inlineStr">
        <is>
          <t>DV-140[0].Page5[0].List13[0].Li1[0].tf22[0]</t>
        </is>
      </c>
      <c r="F169" s="8" t="inlineStr">
        <is>
          <t>text</t>
        </is>
      </c>
      <c r="G169" s="8" t="inlineStr"/>
      <c r="H169" s="8" t="inlineStr"/>
      <c r="I169" s="8" t="inlineStr">
        <is>
          <t>305, 516, 437, 527</t>
        </is>
      </c>
      <c r="J169" s="8" t="inlineStr">
        <is>
          <t>court/clerk</t>
        </is>
      </c>
      <c r="K169" s="8" t="inlineStr"/>
      <c r="L169" s="8" t="inlineStr"/>
      <c r="M169" s="8" t="inlineStr"/>
      <c r="N169" s="8" t="inlineStr">
        <is>
          <t>Judge completes.</t>
        </is>
      </c>
      <c r="O169" s="8" t="inlineStr"/>
    </row>
    <row r="170">
      <c r="A170" s="8" t="n">
        <v>169</v>
      </c>
      <c r="B170" s="8" t="n">
        <v>5</v>
      </c>
      <c r="C170" s="8" t="inlineStr">
        <is>
          <t>13 (court)</t>
        </is>
      </c>
      <c r="D170" s="8" t="inlineStr">
        <is>
          <t>Location of drop-off/pick-up</t>
        </is>
      </c>
      <c r="E170" s="8" t="inlineStr">
        <is>
          <t>DV-140[0].Page5[0].List13[0].Li1[0].tf23[0]</t>
        </is>
      </c>
      <c r="F170" s="8" t="inlineStr">
        <is>
          <t>text</t>
        </is>
      </c>
      <c r="G170" s="8" t="inlineStr"/>
      <c r="H170" s="8" t="inlineStr"/>
      <c r="I170" s="8" t="inlineStr">
        <is>
          <t>447, 501, 572, 512</t>
        </is>
      </c>
      <c r="J170" s="8" t="inlineStr">
        <is>
          <t>court/clerk</t>
        </is>
      </c>
      <c r="K170" s="8" t="inlineStr"/>
      <c r="L170" s="8" t="inlineStr"/>
      <c r="M170" s="8" t="inlineStr"/>
      <c r="N170" s="8" t="inlineStr">
        <is>
          <t>Judge completes.</t>
        </is>
      </c>
      <c r="O170" s="8" t="inlineStr"/>
    </row>
    <row r="171">
      <c r="A171" s="8" t="n">
        <v>170</v>
      </c>
      <c r="B171" s="8" t="n">
        <v>5</v>
      </c>
      <c r="C171" s="8" t="inlineStr">
        <is>
          <t>13 (court)</t>
        </is>
      </c>
      <c r="D171" s="8" t="inlineStr">
        <is>
          <t>Location of drop-off/pick-up</t>
        </is>
      </c>
      <c r="E171" s="8" t="inlineStr">
        <is>
          <t>DV-140[0].Page5[0].List13[0].Li1[0].tf24[0]</t>
        </is>
      </c>
      <c r="F171" s="8" t="inlineStr">
        <is>
          <t>text</t>
        </is>
      </c>
      <c r="G171" s="8" t="inlineStr"/>
      <c r="H171" s="8" t="inlineStr"/>
      <c r="I171" s="8" t="inlineStr">
        <is>
          <t>447, 516, 572, 527</t>
        </is>
      </c>
      <c r="J171" s="8" t="inlineStr">
        <is>
          <t>court/clerk</t>
        </is>
      </c>
      <c r="K171" s="8" t="inlineStr"/>
      <c r="L171" s="8" t="inlineStr"/>
      <c r="M171" s="8" t="inlineStr"/>
      <c r="N171" s="8" t="inlineStr">
        <is>
          <t>Judge completes.</t>
        </is>
      </c>
      <c r="O171" s="8" t="inlineStr"/>
    </row>
    <row r="172">
      <c r="A172" s="8" t="n">
        <v>171</v>
      </c>
      <c r="B172" s="8" t="n">
        <v>5</v>
      </c>
      <c r="C172" s="8" t="inlineStr">
        <is>
          <t>13 (court)</t>
        </is>
      </c>
      <c r="D172" s="8" t="inlineStr">
        <is>
          <t>Start:</t>
        </is>
      </c>
      <c r="E172" s="8" t="inlineStr">
        <is>
          <t>DV-140[0].Page5[0].List13[0].Li1[0].tf25[0]</t>
        </is>
      </c>
      <c r="F172" s="8" t="inlineStr">
        <is>
          <t>text</t>
        </is>
      </c>
      <c r="G172" s="8" t="inlineStr"/>
      <c r="H172" s="8" t="inlineStr"/>
      <c r="I172" s="8" t="inlineStr">
        <is>
          <t>153, 534, 248, 545</t>
        </is>
      </c>
      <c r="J172" s="8" t="inlineStr">
        <is>
          <t>court/clerk</t>
        </is>
      </c>
      <c r="K172" s="8" t="inlineStr"/>
      <c r="L172" s="8" t="inlineStr"/>
      <c r="M172" s="8" t="inlineStr"/>
      <c r="N172" s="8" t="inlineStr">
        <is>
          <t>Judge completes.</t>
        </is>
      </c>
      <c r="O172" s="8" t="inlineStr"/>
    </row>
    <row r="173">
      <c r="A173" s="8" t="n">
        <v>172</v>
      </c>
      <c r="B173" s="8" t="n">
        <v>5</v>
      </c>
      <c r="C173" s="8" t="inlineStr">
        <is>
          <t>13 (court)</t>
        </is>
      </c>
      <c r="D173" s="8" t="inlineStr">
        <is>
          <t>End, if applies:</t>
        </is>
      </c>
      <c r="E173" s="8" t="inlineStr">
        <is>
          <t>DV-140[0].Page5[0].List13[0].Li1[0].tf26[0]</t>
        </is>
      </c>
      <c r="F173" s="8" t="inlineStr">
        <is>
          <t>text</t>
        </is>
      </c>
      <c r="G173" s="8" t="inlineStr"/>
      <c r="H173" s="8" t="inlineStr"/>
      <c r="I173" s="8" t="inlineStr">
        <is>
          <t>195, 549, 248, 560</t>
        </is>
      </c>
      <c r="J173" s="8" t="inlineStr">
        <is>
          <t>court/clerk</t>
        </is>
      </c>
      <c r="K173" s="8" t="inlineStr"/>
      <c r="L173" s="8" t="inlineStr"/>
      <c r="M173" s="8" t="inlineStr"/>
      <c r="N173" s="8" t="inlineStr">
        <is>
          <t>Judge completes.</t>
        </is>
      </c>
      <c r="O173" s="8" t="inlineStr"/>
    </row>
    <row r="174">
      <c r="A174" s="8" t="n">
        <v>173</v>
      </c>
      <c r="B174" s="8" t="n">
        <v>5</v>
      </c>
      <c r="C174" s="8" t="inlineStr">
        <is>
          <t>13 (court)</t>
        </is>
      </c>
      <c r="D174" s="8" t="inlineStr">
        <is>
          <t>Person to bring children to and from visit (or make child available for virtual visit)</t>
        </is>
      </c>
      <c r="E174" s="8" t="inlineStr">
        <is>
          <t>DV-140[0].Page5[0].List13[0].Li1[0].tf27[0]</t>
        </is>
      </c>
      <c r="F174" s="8" t="inlineStr">
        <is>
          <t>text</t>
        </is>
      </c>
      <c r="G174" s="8" t="inlineStr"/>
      <c r="H174" s="8" t="inlineStr"/>
      <c r="I174" s="8" t="inlineStr">
        <is>
          <t>305, 534, 436, 545</t>
        </is>
      </c>
      <c r="J174" s="8" t="inlineStr">
        <is>
          <t>court/clerk</t>
        </is>
      </c>
      <c r="K174" s="8" t="inlineStr"/>
      <c r="L174" s="8" t="inlineStr"/>
      <c r="M174" s="8" t="inlineStr"/>
      <c r="N174" s="8" t="inlineStr">
        <is>
          <t>Judge completes.</t>
        </is>
      </c>
      <c r="O174" s="8" t="inlineStr"/>
    </row>
    <row r="175">
      <c r="A175" s="8" t="n">
        <v>174</v>
      </c>
      <c r="B175" s="8" t="n">
        <v>5</v>
      </c>
      <c r="C175" s="8" t="inlineStr">
        <is>
          <t>13 (court)</t>
        </is>
      </c>
      <c r="D175" s="8" t="inlineStr">
        <is>
          <t>Person to bring children to and from visit (or make child available for virtual visit)</t>
        </is>
      </c>
      <c r="E175" s="8" t="inlineStr">
        <is>
          <t>DV-140[0].Page5[0].List13[0].Li1[0].tf28[0]</t>
        </is>
      </c>
      <c r="F175" s="8" t="inlineStr">
        <is>
          <t>text</t>
        </is>
      </c>
      <c r="G175" s="8" t="inlineStr"/>
      <c r="H175" s="8" t="inlineStr"/>
      <c r="I175" s="8" t="inlineStr">
        <is>
          <t>305, 549, 437, 560</t>
        </is>
      </c>
      <c r="J175" s="8" t="inlineStr">
        <is>
          <t>court/clerk</t>
        </is>
      </c>
      <c r="K175" s="8" t="inlineStr"/>
      <c r="L175" s="8" t="inlineStr"/>
      <c r="M175" s="8" t="inlineStr"/>
      <c r="N175" s="8" t="inlineStr">
        <is>
          <t>Judge completes.</t>
        </is>
      </c>
      <c r="O175" s="8" t="inlineStr"/>
    </row>
    <row r="176">
      <c r="A176" s="8" t="n">
        <v>175</v>
      </c>
      <c r="B176" s="8" t="n">
        <v>5</v>
      </c>
      <c r="C176" s="8" t="inlineStr">
        <is>
          <t>13 (court)</t>
        </is>
      </c>
      <c r="D176" s="8" t="inlineStr">
        <is>
          <t>Location of drop-off/pick-up</t>
        </is>
      </c>
      <c r="E176" s="8" t="inlineStr">
        <is>
          <t>DV-140[0].Page5[0].List13[0].Li1[0].tf29[0]</t>
        </is>
      </c>
      <c r="F176" s="8" t="inlineStr">
        <is>
          <t>text</t>
        </is>
      </c>
      <c r="G176" s="8" t="inlineStr"/>
      <c r="H176" s="8" t="inlineStr"/>
      <c r="I176" s="8" t="inlineStr">
        <is>
          <t>447, 534, 572, 545</t>
        </is>
      </c>
      <c r="J176" s="8" t="inlineStr">
        <is>
          <t>court/clerk</t>
        </is>
      </c>
      <c r="K176" s="8" t="inlineStr"/>
      <c r="L176" s="8" t="inlineStr"/>
      <c r="M176" s="8" t="inlineStr"/>
      <c r="N176" s="8" t="inlineStr">
        <is>
          <t>Judge completes.</t>
        </is>
      </c>
      <c r="O176" s="8" t="inlineStr"/>
    </row>
    <row r="177">
      <c r="A177" s="8" t="n">
        <v>176</v>
      </c>
      <c r="B177" s="8" t="n">
        <v>5</v>
      </c>
      <c r="C177" s="8" t="inlineStr">
        <is>
          <t>13 (court)</t>
        </is>
      </c>
      <c r="D177" s="8" t="inlineStr">
        <is>
          <t>Location of drop-off/pick-up</t>
        </is>
      </c>
      <c r="E177" s="8" t="inlineStr">
        <is>
          <t>DV-140[0].Page5[0].List13[0].Li1[0].tf30[0]</t>
        </is>
      </c>
      <c r="F177" s="8" t="inlineStr">
        <is>
          <t>text</t>
        </is>
      </c>
      <c r="G177" s="8" t="inlineStr"/>
      <c r="H177" s="8" t="inlineStr"/>
      <c r="I177" s="8" t="inlineStr">
        <is>
          <t>447, 549, 572, 560</t>
        </is>
      </c>
      <c r="J177" s="8" t="inlineStr">
        <is>
          <t>court/clerk</t>
        </is>
      </c>
      <c r="K177" s="8" t="inlineStr"/>
      <c r="L177" s="8" t="inlineStr"/>
      <c r="M177" s="8" t="inlineStr"/>
      <c r="N177" s="8" t="inlineStr">
        <is>
          <t>Judge completes.</t>
        </is>
      </c>
      <c r="O177" s="8" t="inlineStr"/>
    </row>
    <row r="178">
      <c r="A178" s="8" t="n">
        <v>177</v>
      </c>
      <c r="B178" s="8" t="n">
        <v>5</v>
      </c>
      <c r="C178" s="8" t="inlineStr">
        <is>
          <t>13 (court)</t>
        </is>
      </c>
      <c r="D178" s="8" t="inlineStr">
        <is>
          <t>Start:</t>
        </is>
      </c>
      <c r="E178" s="8" t="inlineStr">
        <is>
          <t>DV-140[0].Page5[0].List13[0].Li1[0].tf31[0]</t>
        </is>
      </c>
      <c r="F178" s="8" t="inlineStr">
        <is>
          <t>text</t>
        </is>
      </c>
      <c r="G178" s="8" t="inlineStr"/>
      <c r="H178" s="8" t="inlineStr"/>
      <c r="I178" s="8" t="inlineStr">
        <is>
          <t>153, 567, 248, 578</t>
        </is>
      </c>
      <c r="J178" s="8" t="inlineStr">
        <is>
          <t>court/clerk</t>
        </is>
      </c>
      <c r="K178" s="8" t="inlineStr"/>
      <c r="L178" s="8" t="inlineStr"/>
      <c r="M178" s="8" t="inlineStr"/>
      <c r="N178" s="8" t="inlineStr">
        <is>
          <t>Judge completes.</t>
        </is>
      </c>
      <c r="O178" s="8" t="inlineStr"/>
    </row>
    <row r="179">
      <c r="A179" s="8" t="n">
        <v>178</v>
      </c>
      <c r="B179" s="8" t="n">
        <v>5</v>
      </c>
      <c r="C179" s="8" t="inlineStr">
        <is>
          <t>13 (court)</t>
        </is>
      </c>
      <c r="D179" s="8" t="inlineStr">
        <is>
          <t>End, if applies:</t>
        </is>
      </c>
      <c r="E179" s="8" t="inlineStr">
        <is>
          <t>DV-140[0].Page5[0].List13[0].Li1[0].tf32[0]</t>
        </is>
      </c>
      <c r="F179" s="8" t="inlineStr">
        <is>
          <t>text</t>
        </is>
      </c>
      <c r="G179" s="8" t="inlineStr"/>
      <c r="H179" s="8" t="inlineStr"/>
      <c r="I179" s="8" t="inlineStr">
        <is>
          <t>195, 583, 248, 594</t>
        </is>
      </c>
      <c r="J179" s="8" t="inlineStr">
        <is>
          <t>court/clerk</t>
        </is>
      </c>
      <c r="K179" s="8" t="inlineStr"/>
      <c r="L179" s="8" t="inlineStr"/>
      <c r="M179" s="8" t="inlineStr"/>
      <c r="N179" s="8" t="inlineStr">
        <is>
          <t>Judge completes.</t>
        </is>
      </c>
      <c r="O179" s="8" t="inlineStr"/>
    </row>
    <row r="180">
      <c r="A180" s="8" t="n">
        <v>179</v>
      </c>
      <c r="B180" s="8" t="n">
        <v>5</v>
      </c>
      <c r="C180" s="8" t="inlineStr">
        <is>
          <t>13 (court)</t>
        </is>
      </c>
      <c r="D180" s="8" t="inlineStr">
        <is>
          <t>Person to bring children to and from visit (or make child available for virtual visit)</t>
        </is>
      </c>
      <c r="E180" s="8" t="inlineStr">
        <is>
          <t>DV-140[0].Page5[0].List13[0].Li1[0].tf33[0]</t>
        </is>
      </c>
      <c r="F180" s="8" t="inlineStr">
        <is>
          <t>text</t>
        </is>
      </c>
      <c r="G180" s="8" t="inlineStr"/>
      <c r="H180" s="8" t="inlineStr"/>
      <c r="I180" s="8" t="inlineStr">
        <is>
          <t>305, 567, 436, 578</t>
        </is>
      </c>
      <c r="J180" s="8" t="inlineStr">
        <is>
          <t>court/clerk</t>
        </is>
      </c>
      <c r="K180" s="8" t="inlineStr"/>
      <c r="L180" s="8" t="inlineStr"/>
      <c r="M180" s="8" t="inlineStr"/>
      <c r="N180" s="8" t="inlineStr">
        <is>
          <t>Judge completes.</t>
        </is>
      </c>
      <c r="O180" s="8" t="inlineStr"/>
    </row>
    <row r="181">
      <c r="A181" s="8" t="n">
        <v>180</v>
      </c>
      <c r="B181" s="8" t="n">
        <v>5</v>
      </c>
      <c r="C181" s="8" t="inlineStr">
        <is>
          <t>13 (court)</t>
        </is>
      </c>
      <c r="D181" s="8" t="inlineStr">
        <is>
          <t>Person to bring children to and from visit (or make child available for virtual visit)</t>
        </is>
      </c>
      <c r="E181" s="8" t="inlineStr">
        <is>
          <t>DV-140[0].Page5[0].List13[0].Li1[0].tf34[0]</t>
        </is>
      </c>
      <c r="F181" s="8" t="inlineStr">
        <is>
          <t>text</t>
        </is>
      </c>
      <c r="G181" s="8" t="inlineStr"/>
      <c r="H181" s="8" t="inlineStr"/>
      <c r="I181" s="8" t="inlineStr">
        <is>
          <t>305, 583, 437, 594</t>
        </is>
      </c>
      <c r="J181" s="8" t="inlineStr">
        <is>
          <t>court/clerk</t>
        </is>
      </c>
      <c r="K181" s="8" t="inlineStr"/>
      <c r="L181" s="8" t="inlineStr"/>
      <c r="M181" s="8" t="inlineStr"/>
      <c r="N181" s="8" t="inlineStr">
        <is>
          <t>Judge completes.</t>
        </is>
      </c>
      <c r="O181" s="8" t="inlineStr"/>
    </row>
    <row r="182">
      <c r="A182" s="8" t="n">
        <v>181</v>
      </c>
      <c r="B182" s="8" t="n">
        <v>5</v>
      </c>
      <c r="C182" s="8" t="inlineStr">
        <is>
          <t>13 (court)</t>
        </is>
      </c>
      <c r="D182" s="8" t="inlineStr">
        <is>
          <t>Location of drop-off/pick-up</t>
        </is>
      </c>
      <c r="E182" s="8" t="inlineStr">
        <is>
          <t>DV-140[0].Page5[0].List13[0].Li1[0].tf35[0]</t>
        </is>
      </c>
      <c r="F182" s="8" t="inlineStr">
        <is>
          <t>text</t>
        </is>
      </c>
      <c r="G182" s="8" t="inlineStr"/>
      <c r="H182" s="8" t="inlineStr"/>
      <c r="I182" s="8" t="inlineStr">
        <is>
          <t>447, 567, 572, 578</t>
        </is>
      </c>
      <c r="J182" s="8" t="inlineStr">
        <is>
          <t>court/clerk</t>
        </is>
      </c>
      <c r="K182" s="8" t="inlineStr"/>
      <c r="L182" s="8" t="inlineStr"/>
      <c r="M182" s="8" t="inlineStr"/>
      <c r="N182" s="8" t="inlineStr">
        <is>
          <t>Judge completes.</t>
        </is>
      </c>
      <c r="O182" s="8" t="inlineStr"/>
    </row>
    <row r="183">
      <c r="A183" s="8" t="n">
        <v>182</v>
      </c>
      <c r="B183" s="8" t="n">
        <v>5</v>
      </c>
      <c r="C183" s="8" t="inlineStr">
        <is>
          <t>13 (court)</t>
        </is>
      </c>
      <c r="D183" s="8" t="inlineStr">
        <is>
          <t>Location of drop-off/pick-up</t>
        </is>
      </c>
      <c r="E183" s="8" t="inlineStr">
        <is>
          <t>DV-140[0].Page5[0].List13[0].Li1[0].tf36[0]</t>
        </is>
      </c>
      <c r="F183" s="8" t="inlineStr">
        <is>
          <t>text</t>
        </is>
      </c>
      <c r="G183" s="8" t="inlineStr"/>
      <c r="H183" s="8" t="inlineStr"/>
      <c r="I183" s="8" t="inlineStr">
        <is>
          <t>447, 583, 572, 594</t>
        </is>
      </c>
      <c r="J183" s="8" t="inlineStr">
        <is>
          <t>court/clerk</t>
        </is>
      </c>
      <c r="K183" s="8" t="inlineStr"/>
      <c r="L183" s="8" t="inlineStr"/>
      <c r="M183" s="8" t="inlineStr"/>
      <c r="N183" s="8" t="inlineStr">
        <is>
          <t>Judge completes.</t>
        </is>
      </c>
      <c r="O183" s="8" t="inlineStr"/>
    </row>
    <row r="184">
      <c r="A184" s="8" t="n">
        <v>183</v>
      </c>
      <c r="B184" s="8" t="n">
        <v>5</v>
      </c>
      <c r="C184" s="8" t="inlineStr">
        <is>
          <t>13 (court)</t>
        </is>
      </c>
      <c r="D184" s="8" t="inlineStr">
        <is>
          <t>Location of drop-off/pick-up</t>
        </is>
      </c>
      <c r="E184" s="8" t="inlineStr">
        <is>
          <t>DV-140[0].Page5[0].List13[0].Li1[0].tf37[0]</t>
        </is>
      </c>
      <c r="F184" s="8" t="inlineStr">
        <is>
          <t>text</t>
        </is>
      </c>
      <c r="G184" s="8" t="inlineStr"/>
      <c r="H184" s="8" t="inlineStr"/>
      <c r="I184" s="8" t="inlineStr">
        <is>
          <t>447, 600, 572, 611</t>
        </is>
      </c>
      <c r="J184" s="8" t="inlineStr">
        <is>
          <t>court/clerk</t>
        </is>
      </c>
      <c r="K184" s="8" t="inlineStr"/>
      <c r="L184" s="8" t="inlineStr"/>
      <c r="M184" s="8" t="inlineStr"/>
      <c r="N184" s="8" t="inlineStr">
        <is>
          <t>Judge completes.</t>
        </is>
      </c>
      <c r="O184" s="8" t="inlineStr"/>
    </row>
    <row r="185">
      <c r="A185" s="8" t="n">
        <v>184</v>
      </c>
      <c r="B185" s="8" t="n">
        <v>5</v>
      </c>
      <c r="C185" s="8" t="inlineStr">
        <is>
          <t>13 (court)</t>
        </is>
      </c>
      <c r="D185" s="8" t="inlineStr">
        <is>
          <t>Start:</t>
        </is>
      </c>
      <c r="E185" s="8" t="inlineStr">
        <is>
          <t>DV-140[0].Page5[0].List13[0].Li1[0].tf38[0]</t>
        </is>
      </c>
      <c r="F185" s="8" t="inlineStr">
        <is>
          <t>text</t>
        </is>
      </c>
      <c r="G185" s="8" t="inlineStr"/>
      <c r="H185" s="8" t="inlineStr"/>
      <c r="I185" s="8" t="inlineStr">
        <is>
          <t>153, 600, 248, 611</t>
        </is>
      </c>
      <c r="J185" s="8" t="inlineStr">
        <is>
          <t>court/clerk</t>
        </is>
      </c>
      <c r="K185" s="8" t="inlineStr"/>
      <c r="L185" s="8" t="inlineStr"/>
      <c r="M185" s="8" t="inlineStr"/>
      <c r="N185" s="8" t="inlineStr">
        <is>
          <t>Judge completes.</t>
        </is>
      </c>
      <c r="O185" s="8" t="inlineStr"/>
    </row>
    <row r="186">
      <c r="A186" s="8" t="n">
        <v>185</v>
      </c>
      <c r="B186" s="8" t="n">
        <v>5</v>
      </c>
      <c r="C186" s="8" t="inlineStr">
        <is>
          <t>13 (court)</t>
        </is>
      </c>
      <c r="D186" s="8" t="inlineStr">
        <is>
          <t>End, if applies:</t>
        </is>
      </c>
      <c r="E186" s="8" t="inlineStr">
        <is>
          <t>DV-140[0].Page5[0].List13[0].Li1[0].tf39[0]</t>
        </is>
      </c>
      <c r="F186" s="8" t="inlineStr">
        <is>
          <t>text</t>
        </is>
      </c>
      <c r="G186" s="8" t="inlineStr"/>
      <c r="H186" s="8" t="inlineStr"/>
      <c r="I186" s="8" t="inlineStr">
        <is>
          <t>195, 616, 248, 627</t>
        </is>
      </c>
      <c r="J186" s="8" t="inlineStr">
        <is>
          <t>court/clerk</t>
        </is>
      </c>
      <c r="K186" s="8" t="inlineStr"/>
      <c r="L186" s="8" t="inlineStr"/>
      <c r="M186" s="8" t="inlineStr"/>
      <c r="N186" s="8" t="inlineStr">
        <is>
          <t>Judge completes.</t>
        </is>
      </c>
      <c r="O186" s="8" t="inlineStr"/>
    </row>
    <row r="187">
      <c r="A187" s="8" t="n">
        <v>186</v>
      </c>
      <c r="B187" s="8" t="n">
        <v>5</v>
      </c>
      <c r="C187" s="8" t="inlineStr">
        <is>
          <t>13 (court)</t>
        </is>
      </c>
      <c r="D187" s="8" t="inlineStr">
        <is>
          <t>Person to bring children to and from visit (or make child available for virtual visit)</t>
        </is>
      </c>
      <c r="E187" s="8" t="inlineStr">
        <is>
          <t>DV-140[0].Page5[0].List13[0].Li1[0].tf40[0]</t>
        </is>
      </c>
      <c r="F187" s="8" t="inlineStr">
        <is>
          <t>text</t>
        </is>
      </c>
      <c r="G187" s="8" t="inlineStr"/>
      <c r="H187" s="8" t="inlineStr"/>
      <c r="I187" s="8" t="inlineStr">
        <is>
          <t>305, 600, 436, 611</t>
        </is>
      </c>
      <c r="J187" s="8" t="inlineStr">
        <is>
          <t>court/clerk</t>
        </is>
      </c>
      <c r="K187" s="8" t="inlineStr"/>
      <c r="L187" s="8" t="inlineStr"/>
      <c r="M187" s="8" t="inlineStr"/>
      <c r="N187" s="8" t="inlineStr">
        <is>
          <t>Judge completes.</t>
        </is>
      </c>
      <c r="O187" s="8" t="inlineStr"/>
    </row>
    <row r="188">
      <c r="A188" s="8" t="n">
        <v>187</v>
      </c>
      <c r="B188" s="8" t="n">
        <v>5</v>
      </c>
      <c r="C188" s="8" t="inlineStr">
        <is>
          <t>13 (court)</t>
        </is>
      </c>
      <c r="D188" s="8" t="inlineStr">
        <is>
          <t>Person to bring children to and from visit (or make child available for virtual visit)</t>
        </is>
      </c>
      <c r="E188" s="8" t="inlineStr">
        <is>
          <t>DV-140[0].Page5[0].List13[0].Li1[0].tf41[0]</t>
        </is>
      </c>
      <c r="F188" s="8" t="inlineStr">
        <is>
          <t>text</t>
        </is>
      </c>
      <c r="G188" s="8" t="inlineStr"/>
      <c r="H188" s="8" t="inlineStr"/>
      <c r="I188" s="8" t="inlineStr">
        <is>
          <t>305, 616, 437, 627</t>
        </is>
      </c>
      <c r="J188" s="8" t="inlineStr">
        <is>
          <t>court/clerk</t>
        </is>
      </c>
      <c r="K188" s="8" t="inlineStr"/>
      <c r="L188" s="8" t="inlineStr"/>
      <c r="M188" s="8" t="inlineStr"/>
      <c r="N188" s="8" t="inlineStr">
        <is>
          <t>Judge completes.</t>
        </is>
      </c>
      <c r="O188" s="8" t="inlineStr"/>
    </row>
    <row r="189">
      <c r="A189" s="8" t="n">
        <v>188</v>
      </c>
      <c r="B189" s="8" t="n">
        <v>5</v>
      </c>
      <c r="C189" s="8" t="inlineStr">
        <is>
          <t>13 (court)</t>
        </is>
      </c>
      <c r="D189" s="8" t="inlineStr">
        <is>
          <t>Location of drop-off/pick-up</t>
        </is>
      </c>
      <c r="E189" s="8" t="inlineStr">
        <is>
          <t>DV-140[0].Page5[0].List13[0].Li1[0].tf42[0]</t>
        </is>
      </c>
      <c r="F189" s="8" t="inlineStr">
        <is>
          <t>text</t>
        </is>
      </c>
      <c r="G189" s="8" t="inlineStr"/>
      <c r="H189" s="8" t="inlineStr"/>
      <c r="I189" s="8" t="inlineStr">
        <is>
          <t>447, 616, 572, 627</t>
        </is>
      </c>
      <c r="J189" s="8" t="inlineStr">
        <is>
          <t>court/clerk</t>
        </is>
      </c>
      <c r="K189" s="8" t="inlineStr"/>
      <c r="L189" s="8" t="inlineStr"/>
      <c r="M189" s="8" t="inlineStr"/>
      <c r="N189" s="8" t="inlineStr">
        <is>
          <t>Judge completes.</t>
        </is>
      </c>
      <c r="O189" s="8" t="inlineStr"/>
    </row>
    <row r="190">
      <c r="A190" s="8" t="n">
        <v>189</v>
      </c>
      <c r="B190" s="8" t="n">
        <v>5</v>
      </c>
      <c r="C190" s="8" t="inlineStr">
        <is>
          <t>13 (court)</t>
        </is>
      </c>
      <c r="D190" s="8" t="inlineStr">
        <is>
          <t>Every week</t>
        </is>
      </c>
      <c r="E190" s="8" t="inlineStr">
        <is>
          <t>DV-140[0].Page5[0].List13[0].Li1[0].CheckBoxRightCaption12b[0]</t>
        </is>
      </c>
      <c r="F190" s="8" t="inlineStr">
        <is>
          <t>checkbox</t>
        </is>
      </c>
      <c r="G190" s="8" t="inlineStr">
        <is>
          <t>1</t>
        </is>
      </c>
      <c r="H190" s="8" t="inlineStr"/>
      <c r="I190" s="8" t="inlineStr">
        <is>
          <t>72, 649, 81, 658</t>
        </is>
      </c>
      <c r="J190" s="8" t="inlineStr">
        <is>
          <t>court/clerk</t>
        </is>
      </c>
      <c r="K190" s="8" t="inlineStr"/>
      <c r="L190" s="8" t="inlineStr"/>
      <c r="M190" s="8" t="inlineStr"/>
      <c r="N190" s="8" t="inlineStr">
        <is>
          <t>Judge completes.</t>
        </is>
      </c>
      <c r="O190" s="8" t="inlineStr"/>
    </row>
    <row r="191">
      <c r="A191" s="8" t="n">
        <v>190</v>
      </c>
      <c r="B191" s="8" t="n">
        <v>5</v>
      </c>
      <c r="C191" s="8" t="inlineStr">
        <is>
          <t>13 (court)</t>
        </is>
      </c>
      <c r="D191" s="8" t="inlineStr">
        <is>
          <t>Every other week</t>
        </is>
      </c>
      <c r="E191" s="8" t="inlineStr">
        <is>
          <t>DV-140[0].Page5[0].List13[0].Li1[0].CheckBoxRightCaption12b[1]</t>
        </is>
      </c>
      <c r="F191" s="8" t="inlineStr">
        <is>
          <t>checkbox</t>
        </is>
      </c>
      <c r="G191" s="8" t="inlineStr">
        <is>
          <t>11</t>
        </is>
      </c>
      <c r="H191" s="8" t="inlineStr"/>
      <c r="I191" s="8" t="inlineStr">
        <is>
          <t>166, 649, 175, 658</t>
        </is>
      </c>
      <c r="J191" s="8" t="inlineStr">
        <is>
          <t>court/clerk</t>
        </is>
      </c>
      <c r="K191" s="8" t="inlineStr"/>
      <c r="L191" s="8" t="inlineStr"/>
      <c r="M191" s="8" t="inlineStr"/>
      <c r="N191" s="8" t="inlineStr">
        <is>
          <t>Judge completes.</t>
        </is>
      </c>
      <c r="O191" s="8" t="inlineStr"/>
    </row>
    <row r="192">
      <c r="A192" s="8" t="n">
        <v>191</v>
      </c>
      <c r="B192" s="8" t="n">
        <v>5</v>
      </c>
      <c r="C192" s="8" t="inlineStr">
        <is>
          <t>13 (court)</t>
        </is>
      </c>
      <c r="D192" s="8" t="inlineStr">
        <is>
          <t>Other</t>
        </is>
      </c>
      <c r="E192" s="8" t="inlineStr">
        <is>
          <t>DV-140[0].Page5[0].List13[0].Li1[0].CheckBoxRightCaption12b[2]</t>
        </is>
      </c>
      <c r="F192" s="8" t="inlineStr">
        <is>
          <t>checkbox</t>
        </is>
      </c>
      <c r="G192" s="8" t="inlineStr">
        <is>
          <t>21</t>
        </is>
      </c>
      <c r="H192" s="8" t="inlineStr"/>
      <c r="I192" s="8" t="inlineStr">
        <is>
          <t>286, 650, 295, 659</t>
        </is>
      </c>
      <c r="J192" s="8" t="inlineStr">
        <is>
          <t>court/clerk</t>
        </is>
      </c>
      <c r="K192" s="8" t="inlineStr"/>
      <c r="L192" s="8" t="inlineStr"/>
      <c r="M192" s="8" t="inlineStr"/>
      <c r="N192" s="8" t="inlineStr">
        <is>
          <t>Judge completes.</t>
        </is>
      </c>
      <c r="O192" s="8" t="inlineStr"/>
    </row>
    <row r="193">
      <c r="A193" s="8" t="n">
        <v>192</v>
      </c>
      <c r="B193" s="8" t="n">
        <v>5</v>
      </c>
      <c r="C193" s="8" t="inlineStr">
        <is>
          <t>13 (court)</t>
        </is>
      </c>
      <c r="D193" s="8" t="inlineStr">
        <is>
          <t>Other</t>
        </is>
      </c>
      <c r="E193" s="8" t="inlineStr">
        <is>
          <t>DV-140[0].Page5[0].List13[0].Li1[0].TextField[0]</t>
        </is>
      </c>
      <c r="F193" s="8" t="inlineStr">
        <is>
          <t>text</t>
        </is>
      </c>
      <c r="G193" s="8" t="inlineStr"/>
      <c r="H193" s="8" t="inlineStr"/>
      <c r="I193" s="8" t="inlineStr">
        <is>
          <t>335, 648, 573, 663</t>
        </is>
      </c>
      <c r="J193" s="8" t="inlineStr">
        <is>
          <t>court/clerk</t>
        </is>
      </c>
      <c r="K193" s="8" t="inlineStr"/>
      <c r="L193" s="8" t="inlineStr"/>
      <c r="M193" s="8" t="inlineStr"/>
      <c r="N193" s="8" t="inlineStr">
        <is>
          <t>Judge completes.</t>
        </is>
      </c>
      <c r="O193" s="8" t="inlineStr"/>
    </row>
    <row r="194">
      <c r="A194" s="8" t="n">
        <v>193</v>
      </c>
      <c r="B194" s="8" t="n">
        <v>5</v>
      </c>
      <c r="C194" s="8" t="inlineStr">
        <is>
          <t>13 (court)</t>
        </is>
      </c>
      <c r="D194" s="8" t="inlineStr">
        <is>
          <t>Start date for visits (month, day, year):</t>
        </is>
      </c>
      <c r="E194" s="8" t="inlineStr">
        <is>
          <t>DV-140[0].Page5[0].List13[0].Li1[0].DateField5[0]</t>
        </is>
      </c>
      <c r="F194" s="8" t="inlineStr">
        <is>
          <t>text</t>
        </is>
      </c>
      <c r="G194" s="8" t="inlineStr"/>
      <c r="H194" s="8" t="inlineStr"/>
      <c r="I194" s="8" t="inlineStr">
        <is>
          <t>257, 675, 573, 691</t>
        </is>
      </c>
      <c r="J194" s="8" t="inlineStr">
        <is>
          <t>court/clerk</t>
        </is>
      </c>
      <c r="K194" s="8" t="inlineStr"/>
      <c r="L194" s="8" t="inlineStr"/>
      <c r="M194" s="8" t="inlineStr"/>
      <c r="N194" s="8" t="inlineStr">
        <is>
          <t>Judge completes.</t>
        </is>
      </c>
      <c r="O194" s="8" t="inlineStr"/>
    </row>
    <row r="195">
      <c r="A195" s="8" t="n">
        <v>194</v>
      </c>
      <c r="B195" s="8" t="n">
        <v>5</v>
      </c>
      <c r="C195" s="8" t="inlineStr">
        <is>
          <t>13 (court)</t>
        </is>
      </c>
      <c r="D195" s="8" t="inlineStr">
        <is>
          <t>Visit mustbe virtual</t>
        </is>
      </c>
      <c r="E195" s="8" t="inlineStr">
        <is>
          <t>DV-140[0].Page5[0].List13[0].Li1[0].CheckBoxRightCaptionitem13[0]</t>
        </is>
      </c>
      <c r="F195" s="8" t="inlineStr">
        <is>
          <t>checkbox</t>
        </is>
      </c>
      <c r="G195" s="8" t="inlineStr">
        <is>
          <t>21</t>
        </is>
      </c>
      <c r="H195" s="8" t="inlineStr"/>
      <c r="I195" s="8" t="inlineStr">
        <is>
          <t>275, 407, 284, 416</t>
        </is>
      </c>
      <c r="J195" s="8" t="inlineStr">
        <is>
          <t>court/clerk</t>
        </is>
      </c>
      <c r="K195" s="8" t="inlineStr"/>
      <c r="L195" s="8" t="inlineStr"/>
      <c r="M195" s="8" t="inlineStr"/>
      <c r="N195" s="8" t="inlineStr">
        <is>
          <t>Judge completes.</t>
        </is>
      </c>
      <c r="O195" s="8" t="inlineStr"/>
    </row>
    <row r="196">
      <c r="A196" s="8" t="n">
        <v>195</v>
      </c>
      <c r="B196" s="8" t="n">
        <v>5</v>
      </c>
      <c r="C196" s="8" t="inlineStr">
        <is>
          <t>13 (court)</t>
        </is>
      </c>
      <c r="D196" s="8" t="inlineStr">
        <is>
          <t>Visit mustbe virtual</t>
        </is>
      </c>
      <c r="E196" s="8" t="inlineStr">
        <is>
          <t>DV-140[0].Page5[0].List13[0].Li1[0].CheckBoxRightCaptionitem13[1]</t>
        </is>
      </c>
      <c r="F196" s="8" t="inlineStr">
        <is>
          <t>checkbox</t>
        </is>
      </c>
      <c r="G196" s="8" t="inlineStr">
        <is>
          <t>21</t>
        </is>
      </c>
      <c r="H196" s="8" t="inlineStr"/>
      <c r="I196" s="8" t="inlineStr">
        <is>
          <t>275, 441, 284, 450</t>
        </is>
      </c>
      <c r="J196" s="8" t="inlineStr">
        <is>
          <t>court/clerk</t>
        </is>
      </c>
      <c r="K196" s="8" t="inlineStr"/>
      <c r="L196" s="8" t="inlineStr"/>
      <c r="M196" s="8" t="inlineStr"/>
      <c r="N196" s="8" t="inlineStr">
        <is>
          <t>Judge completes.</t>
        </is>
      </c>
      <c r="O196" s="8" t="inlineStr"/>
    </row>
    <row r="197">
      <c r="A197" s="8" t="n">
        <v>196</v>
      </c>
      <c r="B197" s="8" t="n">
        <v>5</v>
      </c>
      <c r="C197" s="8" t="inlineStr">
        <is>
          <t>13 (court)</t>
        </is>
      </c>
      <c r="D197" s="8" t="inlineStr">
        <is>
          <t>Visit mustbe virtual</t>
        </is>
      </c>
      <c r="E197" s="8" t="inlineStr">
        <is>
          <t>DV-140[0].Page5[0].List13[0].Li1[0].CheckBoxRightCaptionitem13[2]</t>
        </is>
      </c>
      <c r="F197" s="8" t="inlineStr">
        <is>
          <t>checkbox</t>
        </is>
      </c>
      <c r="G197" s="8" t="inlineStr">
        <is>
          <t>21</t>
        </is>
      </c>
      <c r="H197" s="8" t="inlineStr"/>
      <c r="I197" s="8" t="inlineStr">
        <is>
          <t>275, 477, 284, 486</t>
        </is>
      </c>
      <c r="J197" s="8" t="inlineStr">
        <is>
          <t>court/clerk</t>
        </is>
      </c>
      <c r="K197" s="8" t="inlineStr"/>
      <c r="L197" s="8" t="inlineStr"/>
      <c r="M197" s="8" t="inlineStr"/>
      <c r="N197" s="8" t="inlineStr">
        <is>
          <t>Judge completes.</t>
        </is>
      </c>
      <c r="O197" s="8" t="inlineStr"/>
    </row>
    <row r="198">
      <c r="A198" s="8" t="n">
        <v>197</v>
      </c>
      <c r="B198" s="8" t="n">
        <v>5</v>
      </c>
      <c r="C198" s="8" t="inlineStr">
        <is>
          <t>13 (court)</t>
        </is>
      </c>
      <c r="D198" s="8" t="inlineStr">
        <is>
          <t>Visit mustbe virtual</t>
        </is>
      </c>
      <c r="E198" s="8" t="inlineStr">
        <is>
          <t>DV-140[0].Page5[0].List13[0].Li1[0].CheckBoxRightCaptionitem13[3]</t>
        </is>
      </c>
      <c r="F198" s="8" t="inlineStr">
        <is>
          <t>checkbox</t>
        </is>
      </c>
      <c r="G198" s="8" t="inlineStr">
        <is>
          <t>21</t>
        </is>
      </c>
      <c r="H198" s="8" t="inlineStr"/>
      <c r="I198" s="8" t="inlineStr">
        <is>
          <t>275, 508, 284, 517</t>
        </is>
      </c>
      <c r="J198" s="8" t="inlineStr">
        <is>
          <t>court/clerk</t>
        </is>
      </c>
      <c r="K198" s="8" t="inlineStr"/>
      <c r="L198" s="8" t="inlineStr"/>
      <c r="M198" s="8" t="inlineStr"/>
      <c r="N198" s="8" t="inlineStr">
        <is>
          <t>Judge completes.</t>
        </is>
      </c>
      <c r="O198" s="8" t="inlineStr"/>
    </row>
    <row r="199">
      <c r="A199" s="8" t="n">
        <v>198</v>
      </c>
      <c r="B199" s="8" t="n">
        <v>5</v>
      </c>
      <c r="C199" s="8" t="inlineStr">
        <is>
          <t>13 (court)</t>
        </is>
      </c>
      <c r="D199" s="8" t="inlineStr">
        <is>
          <t>Visit mustbe virtual</t>
        </is>
      </c>
      <c r="E199" s="8" t="inlineStr">
        <is>
          <t>DV-140[0].Page5[0].List13[0].Li1[0].CheckBoxRightCaptionitem13[4]</t>
        </is>
      </c>
      <c r="F199" s="8" t="inlineStr">
        <is>
          <t>checkbox</t>
        </is>
      </c>
      <c r="G199" s="8" t="inlineStr">
        <is>
          <t>21</t>
        </is>
      </c>
      <c r="H199" s="8" t="inlineStr"/>
      <c r="I199" s="8" t="inlineStr">
        <is>
          <t>275, 542, 284, 551</t>
        </is>
      </c>
      <c r="J199" s="8" t="inlineStr">
        <is>
          <t>court/clerk</t>
        </is>
      </c>
      <c r="K199" s="8" t="inlineStr"/>
      <c r="L199" s="8" t="inlineStr"/>
      <c r="M199" s="8" t="inlineStr"/>
      <c r="N199" s="8" t="inlineStr">
        <is>
          <t>Judge completes.</t>
        </is>
      </c>
      <c r="O199" s="8" t="inlineStr"/>
    </row>
    <row r="200">
      <c r="A200" s="8" t="n">
        <v>199</v>
      </c>
      <c r="B200" s="8" t="n">
        <v>5</v>
      </c>
      <c r="C200" s="8" t="inlineStr">
        <is>
          <t>13 (court)</t>
        </is>
      </c>
      <c r="D200" s="8" t="inlineStr">
        <is>
          <t>Visit mustbe virtual</t>
        </is>
      </c>
      <c r="E200" s="8" t="inlineStr">
        <is>
          <t>DV-140[0].Page5[0].List13[0].Li1[0].CheckBoxRightCaptionitem13[5]</t>
        </is>
      </c>
      <c r="F200" s="8" t="inlineStr">
        <is>
          <t>checkbox</t>
        </is>
      </c>
      <c r="G200" s="8" t="inlineStr">
        <is>
          <t>21</t>
        </is>
      </c>
      <c r="H200" s="8" t="inlineStr"/>
      <c r="I200" s="8" t="inlineStr">
        <is>
          <t>275, 575, 284, 584</t>
        </is>
      </c>
      <c r="J200" s="8" t="inlineStr">
        <is>
          <t>court/clerk</t>
        </is>
      </c>
      <c r="K200" s="8" t="inlineStr"/>
      <c r="L200" s="8" t="inlineStr"/>
      <c r="M200" s="8" t="inlineStr"/>
      <c r="N200" s="8" t="inlineStr">
        <is>
          <t>Judge completes.</t>
        </is>
      </c>
      <c r="O200" s="8" t="inlineStr"/>
    </row>
    <row r="201">
      <c r="A201" s="8" t="n">
        <v>200</v>
      </c>
      <c r="B201" s="8" t="n">
        <v>5</v>
      </c>
      <c r="C201" s="8" t="inlineStr">
        <is>
          <t>13 (court)</t>
        </is>
      </c>
      <c r="D201" s="8" t="inlineStr">
        <is>
          <t>Visit mustbe virtual</t>
        </is>
      </c>
      <c r="E201" s="8" t="inlineStr">
        <is>
          <t>DV-140[0].Page5[0].List13[0].Li1[0].CheckBoxRightCaptionitem13[6]</t>
        </is>
      </c>
      <c r="F201" s="8" t="inlineStr">
        <is>
          <t>checkbox</t>
        </is>
      </c>
      <c r="G201" s="8" t="inlineStr">
        <is>
          <t>21</t>
        </is>
      </c>
      <c r="H201" s="8" t="inlineStr"/>
      <c r="I201" s="8" t="inlineStr">
        <is>
          <t>275, 609, 284, 618</t>
        </is>
      </c>
      <c r="J201" s="8" t="inlineStr">
        <is>
          <t>court/clerk</t>
        </is>
      </c>
      <c r="K201" s="8" t="inlineStr"/>
      <c r="L201" s="8" t="inlineStr"/>
      <c r="M201" s="8" t="inlineStr"/>
      <c r="N201" s="8" t="inlineStr">
        <is>
          <t>Judge completes.</t>
        </is>
      </c>
      <c r="O201" s="8" t="inlineStr"/>
    </row>
    <row r="202">
      <c r="A202" s="7" t="n">
        <v>201</v>
      </c>
      <c r="B202" s="7" t="n">
        <v>6</v>
      </c>
      <c r="C202" s="7" t="inlineStr">
        <is>
          <t>—</t>
        </is>
      </c>
      <c r="D202" s="7" t="inlineStr">
        <is>
          <t>Print</t>
        </is>
      </c>
      <c r="E202" s="7" t="inlineStr">
        <is>
          <t>DV-140[0].#pageSet[0].LastPage[0].Footer[0].FooterSub[0].#area[0].Print[0]</t>
        </is>
      </c>
      <c r="F202" s="7" t="inlineStr">
        <is>
          <t>button</t>
        </is>
      </c>
      <c r="G202" s="7" t="inlineStr"/>
      <c r="H202" s="7" t="inlineStr"/>
      <c r="I202" s="7" t="inlineStr">
        <is>
          <t>259, 760, 340, 777</t>
        </is>
      </c>
      <c r="J202" s="7" t="inlineStr">
        <is>
          <t>ignore (UI button)</t>
        </is>
      </c>
      <c r="K202" s="7" t="inlineStr"/>
      <c r="L202" s="7" t="inlineStr"/>
      <c r="M202" s="7" t="inlineStr"/>
      <c r="N202" s="7" t="inlineStr">
        <is>
          <t>Print/Save/Clear button. Do not fill.</t>
        </is>
      </c>
      <c r="O202" s="7" t="inlineStr"/>
    </row>
    <row r="203">
      <c r="A203" s="7" t="n">
        <v>202</v>
      </c>
      <c r="B203" s="7" t="n">
        <v>6</v>
      </c>
      <c r="C203" s="7" t="inlineStr">
        <is>
          <t>—</t>
        </is>
      </c>
      <c r="D203" s="7" t="inlineStr">
        <is>
          <t>Save</t>
        </is>
      </c>
      <c r="E203" s="7" t="inlineStr">
        <is>
          <t>DV-140[0].#pageSet[0].LastPage[0].Footer[0].FooterSub[0].#area[0].Save[0]</t>
        </is>
      </c>
      <c r="F203" s="7" t="inlineStr">
        <is>
          <t>button</t>
        </is>
      </c>
      <c r="G203" s="7" t="inlineStr"/>
      <c r="H203" s="7" t="inlineStr"/>
      <c r="I203" s="7" t="inlineStr">
        <is>
          <t>345, 760, 426, 777</t>
        </is>
      </c>
      <c r="J203" s="7" t="inlineStr">
        <is>
          <t>ignore (UI button)</t>
        </is>
      </c>
      <c r="K203" s="7" t="inlineStr"/>
      <c r="L203" s="7" t="inlineStr"/>
      <c r="M203" s="7" t="inlineStr"/>
      <c r="N203" s="7" t="inlineStr">
        <is>
          <t>Print/Save/Clear button. Do not fill.</t>
        </is>
      </c>
      <c r="O203" s="7" t="inlineStr"/>
    </row>
    <row r="204">
      <c r="A204" s="7" t="n">
        <v>203</v>
      </c>
      <c r="B204" s="7" t="n">
        <v>6</v>
      </c>
      <c r="C204" s="7" t="inlineStr">
        <is>
          <t>—</t>
        </is>
      </c>
      <c r="D204" s="7" t="inlineStr">
        <is>
          <t>Clear</t>
        </is>
      </c>
      <c r="E204" s="7" t="inlineStr">
        <is>
          <t>DV-140[0].#pageSet[0].LastPage[0].Footer[0].FooterSub[0].#area[0].Reset[0]</t>
        </is>
      </c>
      <c r="F204" s="7" t="inlineStr">
        <is>
          <t>button</t>
        </is>
      </c>
      <c r="G204" s="7" t="inlineStr"/>
      <c r="H204" s="7" t="inlineStr"/>
      <c r="I204" s="7" t="inlineStr">
        <is>
          <t>495, 760, 576, 777</t>
        </is>
      </c>
      <c r="J204" s="7" t="inlineStr">
        <is>
          <t>ignore (UI button)</t>
        </is>
      </c>
      <c r="K204" s="7" t="inlineStr"/>
      <c r="L204" s="7" t="inlineStr"/>
      <c r="M204" s="7" t="inlineStr"/>
      <c r="N204" s="7" t="inlineStr">
        <is>
          <t>Print/Save/Clear button. Do not fill.</t>
        </is>
      </c>
      <c r="O204" s="7" t="inlineStr"/>
    </row>
    <row r="205">
      <c r="A205" s="5" t="n">
        <v>204</v>
      </c>
      <c r="B205" s="5" t="n">
        <v>6</v>
      </c>
      <c r="C205" s="5" t="inlineStr">
        <is>
          <t>Caption</t>
        </is>
      </c>
      <c r="D205" s="5" t="inlineStr">
        <is>
          <t>Case Number</t>
        </is>
      </c>
      <c r="E205" s="5" t="inlineStr">
        <is>
          <t>DV-140[0].Page6[0].Caption[0].PxCaption[0].CaseNumber_ft[0]</t>
        </is>
      </c>
      <c r="F205" s="5" t="inlineStr">
        <is>
          <t>text</t>
        </is>
      </c>
      <c r="G205" s="5" t="inlineStr"/>
      <c r="H205" s="5" t="inlineStr"/>
      <c r="I205" s="5" t="inlineStr">
        <is>
          <t>399, 50, 572, 61</t>
        </is>
      </c>
      <c r="J205" s="5" t="inlineStr">
        <is>
          <t>question</t>
        </is>
      </c>
      <c r="K205" s="5" t="inlineStr">
        <is>
          <t>S3,S4</t>
        </is>
      </c>
      <c r="L205" s="5">
        <f> S4</f>
        <v/>
      </c>
      <c r="M205" s="5" t="inlineStr">
        <is>
          <t>S3 == "update"; otherwise blank for clerk</t>
        </is>
      </c>
      <c r="N205" s="5" t="inlineStr"/>
      <c r="O205" s="5" t="inlineStr"/>
    </row>
    <row r="206">
      <c r="A206" s="8" t="n">
        <v>205</v>
      </c>
      <c r="B206" s="8" t="n">
        <v>6</v>
      </c>
      <c r="C206" s="8" t="inlineStr">
        <is>
          <t>14 (court)</t>
        </is>
      </c>
      <c r="D206" s="8" t="inlineStr">
        <is>
          <t>No findings required by law</t>
        </is>
      </c>
      <c r="E206" s="8" t="inlineStr">
        <is>
          <t>DV-140[0].Page6[0].List14[0].Li1[0].item14ab[0]</t>
        </is>
      </c>
      <c r="F206" s="8" t="inlineStr">
        <is>
          <t>checkbox</t>
        </is>
      </c>
      <c r="G206" s="8" t="inlineStr">
        <is>
          <t>1</t>
        </is>
      </c>
      <c r="H206" s="8" t="inlineStr"/>
      <c r="I206" s="8" t="inlineStr">
        <is>
          <t>79, 131, 88, 140</t>
        </is>
      </c>
      <c r="J206" s="8" t="inlineStr">
        <is>
          <t>court/clerk</t>
        </is>
      </c>
      <c r="K206" s="8" t="inlineStr"/>
      <c r="L206" s="8" t="inlineStr"/>
      <c r="M206" s="8" t="inlineStr"/>
      <c r="N206" s="8" t="inlineStr">
        <is>
          <t>Judge completes.</t>
        </is>
      </c>
      <c r="O206" s="8" t="inlineStr"/>
    </row>
    <row r="207">
      <c r="A207" s="8" t="n">
        <v>206</v>
      </c>
      <c r="B207" s="8" t="n">
        <v>6</v>
      </c>
      <c r="C207" s="8" t="inlineStr">
        <is>
          <t>14 (court)</t>
        </is>
      </c>
      <c r="D207" s="8" t="inlineStr">
        <is>
          <t>Findings required by law</t>
        </is>
      </c>
      <c r="E207" s="8" t="inlineStr">
        <is>
          <t>DV-140[0].Page6[0].List14[0].Li2[0].item14ab[0]</t>
        </is>
      </c>
      <c r="F207" s="8" t="inlineStr">
        <is>
          <t>checkbox</t>
        </is>
      </c>
      <c r="G207" s="8" t="inlineStr">
        <is>
          <t>11</t>
        </is>
      </c>
      <c r="H207" s="8" t="inlineStr"/>
      <c r="I207" s="8" t="inlineStr">
        <is>
          <t>79, 151, 88, 160</t>
        </is>
      </c>
      <c r="J207" s="8" t="inlineStr">
        <is>
          <t>court/clerk</t>
        </is>
      </c>
      <c r="K207" s="8" t="inlineStr"/>
      <c r="L207" s="8" t="inlineStr"/>
      <c r="M207" s="8" t="inlineStr"/>
      <c r="N207" s="8" t="inlineStr">
        <is>
          <t>Judge completes.</t>
        </is>
      </c>
      <c r="O207" s="8" t="inlineStr"/>
    </row>
    <row r="208">
      <c r="A208" s="8" t="n">
        <v>207</v>
      </c>
      <c r="B208" s="8" t="n">
        <v>6</v>
      </c>
      <c r="C208" s="8" t="inlineStr">
        <is>
          <t>14 (court)</t>
        </is>
      </c>
      <c r="D208" s="8" t="inlineStr">
        <is>
          <t>Other:</t>
        </is>
      </c>
      <c r="E208" s="8" t="inlineStr">
        <is>
          <t>DV-140[0].Page6[0].List14[0].Li2[0].List[0].Li1[0].CheckBoxRightCaption[0]</t>
        </is>
      </c>
      <c r="F208" s="8" t="inlineStr">
        <is>
          <t>checkbox</t>
        </is>
      </c>
      <c r="G208" s="8" t="inlineStr">
        <is>
          <t>1</t>
        </is>
      </c>
      <c r="H208" s="8" t="inlineStr"/>
      <c r="I208" s="8" t="inlineStr">
        <is>
          <t>111, 204, 120, 213</t>
        </is>
      </c>
      <c r="J208" s="8" t="inlineStr">
        <is>
          <t>court/clerk</t>
        </is>
      </c>
      <c r="K208" s="8" t="inlineStr"/>
      <c r="L208" s="8" t="inlineStr"/>
      <c r="M208" s="8" t="inlineStr"/>
      <c r="N208" s="8" t="inlineStr">
        <is>
          <t>Judge completes.</t>
        </is>
      </c>
      <c r="O208" s="8" t="inlineStr"/>
    </row>
    <row r="209">
      <c r="A209" s="8" t="n">
        <v>208</v>
      </c>
      <c r="B209" s="8" t="n">
        <v>6</v>
      </c>
      <c r="C209" s="8" t="inlineStr">
        <is>
          <t>14 (court)</t>
        </is>
      </c>
      <c r="D209" s="8" t="inlineStr">
        <is>
          <t>Other:</t>
        </is>
      </c>
      <c r="E209" s="8" t="inlineStr">
        <is>
          <t>DV-140[0].Page6[0].List14[0].Li2[0].List[0].Li1[0].TextField[0]</t>
        </is>
      </c>
      <c r="F209" s="8" t="inlineStr">
        <is>
          <t>text</t>
        </is>
      </c>
      <c r="G209" s="8" t="inlineStr"/>
      <c r="H209" s="8" t="inlineStr"/>
      <c r="I209" s="8" t="inlineStr">
        <is>
          <t>156, 204, 567, 217</t>
        </is>
      </c>
      <c r="J209" s="8" t="inlineStr">
        <is>
          <t>court/clerk</t>
        </is>
      </c>
      <c r="K209" s="8" t="inlineStr"/>
      <c r="L209" s="8" t="inlineStr"/>
      <c r="M209" s="8" t="inlineStr"/>
      <c r="N209" s="8" t="inlineStr">
        <is>
          <t>Judge completes.</t>
        </is>
      </c>
      <c r="O209" s="8" t="inlineStr"/>
    </row>
    <row r="210">
      <c r="A210" s="8" t="n">
        <v>209</v>
      </c>
      <c r="B210" s="8" t="n">
        <v>6</v>
      </c>
      <c r="C210" s="8" t="inlineStr">
        <is>
          <t>14 (court)</t>
        </is>
      </c>
      <c r="D210" s="8" t="inlineStr">
        <is>
          <t>The court has made the required findings. The court’s reasons are in writing (check one):</t>
        </is>
      </c>
      <c r="E210" s="8" t="inlineStr">
        <is>
          <t>DV-140[0].Page6[0].List14[0].Li2[0].List[0].Li1[0].CheckBoxRightCaption[1]</t>
        </is>
      </c>
      <c r="F210" s="8" t="inlineStr">
        <is>
          <t>checkbox</t>
        </is>
      </c>
      <c r="G210" s="8" t="inlineStr">
        <is>
          <t>1</t>
        </is>
      </c>
      <c r="H210" s="8" t="inlineStr"/>
      <c r="I210" s="8" t="inlineStr">
        <is>
          <t>96, 171, 105, 180</t>
        </is>
      </c>
      <c r="J210" s="8" t="inlineStr">
        <is>
          <t>court/clerk</t>
        </is>
      </c>
      <c r="K210" s="8" t="inlineStr"/>
      <c r="L210" s="8" t="inlineStr"/>
      <c r="M210" s="8" t="inlineStr"/>
      <c r="N210" s="8" t="inlineStr">
        <is>
          <t>Judge completes.</t>
        </is>
      </c>
      <c r="O210" s="8" t="inlineStr"/>
    </row>
    <row r="211">
      <c r="A211" s="8" t="n">
        <v>210</v>
      </c>
      <c r="B211" s="8" t="n">
        <v>6</v>
      </c>
      <c r="C211" s="8" t="inlineStr">
        <is>
          <t>14 (court)</t>
        </is>
      </c>
      <c r="D211" s="8" t="inlineStr">
        <is>
          <t>On form DV-150, Mandatory Findings for Child Custody and Visitation Order.</t>
        </is>
      </c>
      <c r="E211" s="8" t="inlineStr">
        <is>
          <t>DV-140[0].Page6[0].List14[0].Li2[0].List[0].Li1[0].CheckBoxRightCaption[2]</t>
        </is>
      </c>
      <c r="F211" s="8" t="inlineStr">
        <is>
          <t>checkbox</t>
        </is>
      </c>
      <c r="G211" s="8" t="inlineStr">
        <is>
          <t>1</t>
        </is>
      </c>
      <c r="H211" s="8" t="inlineStr"/>
      <c r="I211" s="8" t="inlineStr">
        <is>
          <t>111, 186, 120, 195</t>
        </is>
      </c>
      <c r="J211" s="8" t="inlineStr">
        <is>
          <t>court/clerk</t>
        </is>
      </c>
      <c r="K211" s="8" t="inlineStr"/>
      <c r="L211" s="8" t="inlineStr"/>
      <c r="M211" s="8" t="inlineStr"/>
      <c r="N211" s="8" t="inlineStr">
        <is>
          <t>Judge completes.</t>
        </is>
      </c>
      <c r="O211" s="8" t="inlineStr"/>
    </row>
    <row r="212">
      <c r="A212" s="8" t="n">
        <v>211</v>
      </c>
      <c r="B212" s="8" t="n">
        <v>6</v>
      </c>
      <c r="C212" s="8" t="inlineStr">
        <is>
          <t>14 (court)</t>
        </is>
      </c>
      <c r="D212" s="8" t="inlineStr">
        <is>
          <t>In a minute order</t>
        </is>
      </c>
      <c r="E212" s="8" t="inlineStr">
        <is>
          <t>DV-140[0].Page6[0].List14[0].Li2[0].List[0].Li2[0].CheckBoxRightCaption[0]</t>
        </is>
      </c>
      <c r="F212" s="8" t="inlineStr">
        <is>
          <t>checkbox</t>
        </is>
      </c>
      <c r="G212" s="8" t="inlineStr">
        <is>
          <t>1</t>
        </is>
      </c>
      <c r="H212" s="8" t="inlineStr"/>
      <c r="I212" s="8" t="inlineStr">
        <is>
          <t>110, 244, 119, 253</t>
        </is>
      </c>
      <c r="J212" s="8" t="inlineStr">
        <is>
          <t>court/clerk</t>
        </is>
      </c>
      <c r="K212" s="8" t="inlineStr"/>
      <c r="L212" s="8" t="inlineStr"/>
      <c r="M212" s="8" t="inlineStr"/>
      <c r="N212" s="8" t="inlineStr">
        <is>
          <t>Judge completes.</t>
        </is>
      </c>
      <c r="O212" s="8" t="inlineStr"/>
    </row>
    <row r="213">
      <c r="A213" s="8" t="n">
        <v>212</v>
      </c>
      <c r="B213" s="8" t="n">
        <v>6</v>
      </c>
      <c r="C213" s="8" t="inlineStr">
        <is>
          <t>14 (court)</t>
        </is>
      </c>
      <c r="D213" s="8" t="inlineStr">
        <is>
          <t>By a court reporter</t>
        </is>
      </c>
      <c r="E213" s="8" t="inlineStr">
        <is>
          <t>DV-140[0].Page6[0].List14[0].Li2[0].List[0].Li2[0].CheckBoxRightCaption[1]</t>
        </is>
      </c>
      <c r="F213" s="8" t="inlineStr">
        <is>
          <t>checkbox</t>
        </is>
      </c>
      <c r="G213" s="8" t="inlineStr">
        <is>
          <t>1</t>
        </is>
      </c>
      <c r="H213" s="8" t="inlineStr"/>
      <c r="I213" s="8" t="inlineStr">
        <is>
          <t>217, 244, 226, 253</t>
        </is>
      </c>
      <c r="J213" s="8" t="inlineStr">
        <is>
          <t>court/clerk</t>
        </is>
      </c>
      <c r="K213" s="8" t="inlineStr"/>
      <c r="L213" s="8" t="inlineStr"/>
      <c r="M213" s="8" t="inlineStr"/>
      <c r="N213" s="8" t="inlineStr">
        <is>
          <t>Judge completes.</t>
        </is>
      </c>
      <c r="O213" s="8" t="inlineStr"/>
    </row>
    <row r="214">
      <c r="A214" s="8" t="n">
        <v>213</v>
      </c>
      <c r="B214" s="8" t="n">
        <v>6</v>
      </c>
      <c r="C214" s="8" t="inlineStr">
        <is>
          <t>14 (court)</t>
        </is>
      </c>
      <c r="D214" s="8" t="inlineStr">
        <is>
          <t>Other:</t>
        </is>
      </c>
      <c r="E214" s="8" t="inlineStr">
        <is>
          <t>DV-140[0].Page6[0].List14[0].Li2[0].List[0].Li2[0].CheckBoxRightCaption[2]</t>
        </is>
      </c>
      <c r="F214" s="8" t="inlineStr">
        <is>
          <t>checkbox</t>
        </is>
      </c>
      <c r="G214" s="8" t="inlineStr">
        <is>
          <t>1</t>
        </is>
      </c>
      <c r="H214" s="8" t="inlineStr"/>
      <c r="I214" s="8" t="inlineStr">
        <is>
          <t>330, 244, 339, 253</t>
        </is>
      </c>
      <c r="J214" s="8" t="inlineStr">
        <is>
          <t>court/clerk</t>
        </is>
      </c>
      <c r="K214" s="8" t="inlineStr"/>
      <c r="L214" s="8" t="inlineStr"/>
      <c r="M214" s="8" t="inlineStr"/>
      <c r="N214" s="8" t="inlineStr">
        <is>
          <t>Judge completes.</t>
        </is>
      </c>
      <c r="O214" s="8" t="inlineStr"/>
    </row>
    <row r="215">
      <c r="A215" s="8" t="n">
        <v>214</v>
      </c>
      <c r="B215" s="8" t="n">
        <v>6</v>
      </c>
      <c r="C215" s="8" t="inlineStr">
        <is>
          <t>14 (court)</t>
        </is>
      </c>
      <c r="D215" s="8" t="inlineStr">
        <is>
          <t>Other:</t>
        </is>
      </c>
      <c r="E215" s="8" t="inlineStr">
        <is>
          <t>DV-140[0].Page6[0].List14[0].Li2[0].List[0].Li2[0].TextField[0]</t>
        </is>
      </c>
      <c r="F215" s="8" t="inlineStr">
        <is>
          <t>text</t>
        </is>
      </c>
      <c r="G215" s="8" t="inlineStr"/>
      <c r="H215" s="8" t="inlineStr"/>
      <c r="I215" s="8" t="inlineStr">
        <is>
          <t>374, 244, 568, 257</t>
        </is>
      </c>
      <c r="J215" s="8" t="inlineStr">
        <is>
          <t>court/clerk</t>
        </is>
      </c>
      <c r="K215" s="8" t="inlineStr"/>
      <c r="L215" s="8" t="inlineStr"/>
      <c r="M215" s="8" t="inlineStr"/>
      <c r="N215" s="8" t="inlineStr">
        <is>
          <t>Judge completes.</t>
        </is>
      </c>
      <c r="O215" s="8" t="inlineStr"/>
    </row>
    <row r="216">
      <c r="A216" s="8" t="n">
        <v>215</v>
      </c>
      <c r="B216" s="8" t="n">
        <v>6</v>
      </c>
      <c r="C216" s="8" t="inlineStr">
        <is>
          <t>14 (court)</t>
        </is>
      </c>
      <c r="D216" s="8" t="inlineStr">
        <is>
          <t>The court has made the required findings. The court’s reasons were recorded (check all that apply):</t>
        </is>
      </c>
      <c r="E216" s="8" t="inlineStr">
        <is>
          <t>DV-140[0].Page6[0].List14[0].Li2[0].List[0].Li2[0].CheckBoxRightCaption1[0]</t>
        </is>
      </c>
      <c r="F216" s="8" t="inlineStr">
        <is>
          <t>checkbox</t>
        </is>
      </c>
      <c r="G216" s="8" t="inlineStr">
        <is>
          <t>1</t>
        </is>
      </c>
      <c r="H216" s="8" t="inlineStr"/>
      <c r="I216" s="8" t="inlineStr">
        <is>
          <t>96, 227, 105, 236</t>
        </is>
      </c>
      <c r="J216" s="8" t="inlineStr">
        <is>
          <t>court/clerk</t>
        </is>
      </c>
      <c r="K216" s="8" t="inlineStr"/>
      <c r="L216" s="8" t="inlineStr"/>
      <c r="M216" s="8" t="inlineStr"/>
      <c r="N216" s="8" t="inlineStr">
        <is>
          <t>Judge completes.</t>
        </is>
      </c>
      <c r="O216" s="8" t="inlineStr"/>
    </row>
    <row r="217">
      <c r="A217" s="8" t="n">
        <v>216</v>
      </c>
      <c r="B217" s="8" t="n">
        <v>6</v>
      </c>
      <c r="C217" s="8" t="inlineStr">
        <is>
          <t>15 (court)</t>
        </is>
      </c>
      <c r="D217" s="8" t="inlineStr">
        <is>
          <t>Other Orders</t>
        </is>
      </c>
      <c r="E217" s="8" t="inlineStr">
        <is>
          <t>DV-140[0].Page6[0].List15[0].Li1[0].CheckBoxRightCaption[0]</t>
        </is>
      </c>
      <c r="F217" s="8" t="inlineStr">
        <is>
          <t>checkbox</t>
        </is>
      </c>
      <c r="G217" s="8" t="inlineStr">
        <is>
          <t>1</t>
        </is>
      </c>
      <c r="H217" s="8" t="inlineStr"/>
      <c r="I217" s="8" t="inlineStr">
        <is>
          <t>63, 278, 72, 287</t>
        </is>
      </c>
      <c r="J217" s="8" t="inlineStr">
        <is>
          <t>court/clerk</t>
        </is>
      </c>
      <c r="K217" s="8" t="inlineStr"/>
      <c r="L217" s="8" t="inlineStr"/>
      <c r="M217" s="8" t="inlineStr"/>
      <c r="N217" s="8" t="inlineStr">
        <is>
          <t>Judge completes.</t>
        </is>
      </c>
      <c r="O217" s="8" t="inlineStr"/>
    </row>
    <row r="218">
      <c r="A218" s="8" t="n">
        <v>217</v>
      </c>
      <c r="B218" s="8" t="n">
        <v>6</v>
      </c>
      <c r="C218" s="8" t="inlineStr">
        <is>
          <t>15 (court)</t>
        </is>
      </c>
      <c r="D218" s="8" t="inlineStr">
        <is>
          <t>Describe additional orders in the space below or use a separate attachment (e.g., FL-341(C), Children’s Holiday Schedule Attachment).</t>
        </is>
      </c>
      <c r="E218" s="8" t="inlineStr">
        <is>
          <t>DV-140[0].Page6[0].List15[0].Li1[0].TextField[0]</t>
        </is>
      </c>
      <c r="F218" s="8" t="inlineStr">
        <is>
          <t>text</t>
        </is>
      </c>
      <c r="G218" s="8" t="inlineStr"/>
      <c r="H218" s="8" t="inlineStr"/>
      <c r="I218" s="8" t="inlineStr">
        <is>
          <t>63, 321, 574, 348</t>
        </is>
      </c>
      <c r="J218" s="8" t="inlineStr">
        <is>
          <t>court/clerk</t>
        </is>
      </c>
      <c r="K218" s="8" t="inlineStr"/>
      <c r="L218" s="8" t="inlineStr"/>
      <c r="M218" s="8" t="inlineStr"/>
      <c r="N218" s="8" t="inlineStr">
        <is>
          <t>Judge completes.</t>
        </is>
      </c>
      <c r="O218" s="8" t="inlineStr"/>
    </row>
    <row r="219">
      <c r="A219" s="8" t="n">
        <v>218</v>
      </c>
      <c r="B219" s="8" t="n">
        <v>6</v>
      </c>
      <c r="C219" s="8" t="inlineStr">
        <is>
          <t>16 (court)</t>
        </is>
      </c>
      <c r="D219" s="8" t="inlineStr">
        <is>
          <t>Criminal Protective Order</t>
        </is>
      </c>
      <c r="E219" s="8" t="inlineStr">
        <is>
          <t>DV-140[0].Page6[0].List16[0].Li1[0].CheckBoxRightCaption[0]</t>
        </is>
      </c>
      <c r="F219" s="8" t="inlineStr">
        <is>
          <t>checkbox</t>
        </is>
      </c>
      <c r="G219" s="8" t="inlineStr">
        <is>
          <t>1</t>
        </is>
      </c>
      <c r="H219" s="8" t="inlineStr"/>
      <c r="I219" s="8" t="inlineStr">
        <is>
          <t>63, 373, 72, 382</t>
        </is>
      </c>
      <c r="J219" s="8" t="inlineStr">
        <is>
          <t>court/clerk</t>
        </is>
      </c>
      <c r="K219" s="8" t="inlineStr"/>
      <c r="L219" s="8" t="inlineStr"/>
      <c r="M219" s="8" t="inlineStr"/>
      <c r="N219" s="8" t="inlineStr">
        <is>
          <t>Judge completes.</t>
        </is>
      </c>
      <c r="O219" s="8" t="inlineStr"/>
    </row>
    <row r="220">
      <c r="A220" s="8" t="n">
        <v>219</v>
      </c>
      <c r="B220" s="8" t="n">
        <v>6</v>
      </c>
      <c r="C220" s="8" t="inlineStr">
        <is>
          <t>16 (court)</t>
        </is>
      </c>
      <c r="D220" s="8" t="inlineStr">
        <is>
          <t>Case number:</t>
        </is>
      </c>
      <c r="E220" s="8" t="inlineStr">
        <is>
          <t>DV-140[0].Page6[0].List16[0].Li1[0].TextField1[0]</t>
        </is>
      </c>
      <c r="F220" s="8" t="inlineStr">
        <is>
          <t>text</t>
        </is>
      </c>
      <c r="G220" s="8" t="inlineStr"/>
      <c r="H220" s="8" t="inlineStr"/>
      <c r="I220" s="8" t="inlineStr">
        <is>
          <t>128, 407, 310, 422</t>
        </is>
      </c>
      <c r="J220" s="8" t="inlineStr">
        <is>
          <t>court/clerk</t>
        </is>
      </c>
      <c r="K220" s="8" t="inlineStr"/>
      <c r="L220" s="8" t="inlineStr"/>
      <c r="M220" s="8" t="inlineStr"/>
      <c r="N220" s="8" t="inlineStr">
        <is>
          <t>Judge completes.</t>
        </is>
      </c>
      <c r="O220" s="8" t="inlineStr"/>
    </row>
    <row r="221">
      <c r="A221" s="8" t="n">
        <v>220</v>
      </c>
      <c r="B221" s="8" t="n">
        <v>6</v>
      </c>
      <c r="C221" s="8" t="inlineStr">
        <is>
          <t>16 (court)</t>
        </is>
      </c>
      <c r="D221" s="8" t="inlineStr">
        <is>
          <t>County:</t>
        </is>
      </c>
      <c r="E221" s="8" t="inlineStr">
        <is>
          <t>DV-140[0].Page6[0].List16[0].Li1[0].TextField2[0]</t>
        </is>
      </c>
      <c r="F221" s="8" t="inlineStr">
        <is>
          <t>text</t>
        </is>
      </c>
      <c r="G221" s="8" t="inlineStr"/>
      <c r="H221" s="8" t="inlineStr"/>
      <c r="I221" s="8" t="inlineStr">
        <is>
          <t>360, 407, 550, 422</t>
        </is>
      </c>
      <c r="J221" s="8" t="inlineStr">
        <is>
          <t>court/clerk</t>
        </is>
      </c>
      <c r="K221" s="8" t="inlineStr"/>
      <c r="L221" s="8" t="inlineStr"/>
      <c r="M221" s="8" t="inlineStr"/>
      <c r="N221" s="8" t="inlineStr">
        <is>
          <t>Judge completes.</t>
        </is>
      </c>
      <c r="O221" s="8" t="inlineStr"/>
    </row>
    <row r="222">
      <c r="A222" s="8" t="n">
        <v>221</v>
      </c>
      <c r="B222" s="8" t="n">
        <v>6</v>
      </c>
      <c r="C222" s="8" t="inlineStr">
        <is>
          <t>16 (court)</t>
        </is>
      </c>
      <c r="D222" s="8" t="inlineStr">
        <is>
          <t>Case number:</t>
        </is>
      </c>
      <c r="E222" s="8" t="inlineStr">
        <is>
          <t>DV-140[0].Page6[0].List16[0].Li1[0].TextField3[0]</t>
        </is>
      </c>
      <c r="F222" s="8" t="inlineStr">
        <is>
          <t>text</t>
        </is>
      </c>
      <c r="G222" s="8" t="inlineStr"/>
      <c r="H222" s="8" t="inlineStr"/>
      <c r="I222" s="8" t="inlineStr">
        <is>
          <t>128, 425, 310, 440</t>
        </is>
      </c>
      <c r="J222" s="8" t="inlineStr">
        <is>
          <t>court/clerk</t>
        </is>
      </c>
      <c r="K222" s="8" t="inlineStr"/>
      <c r="L222" s="8" t="inlineStr"/>
      <c r="M222" s="8" t="inlineStr"/>
      <c r="N222" s="8" t="inlineStr">
        <is>
          <t>Judge completes.</t>
        </is>
      </c>
      <c r="O222" s="8" t="inlineStr"/>
    </row>
    <row r="223">
      <c r="A223" s="8" t="n">
        <v>222</v>
      </c>
      <c r="B223" s="8" t="n">
        <v>6</v>
      </c>
      <c r="C223" s="8" t="inlineStr">
        <is>
          <t>16 (court)</t>
        </is>
      </c>
      <c r="D223" s="8" t="inlineStr">
        <is>
          <t>County:</t>
        </is>
      </c>
      <c r="E223" s="8" t="inlineStr">
        <is>
          <t>DV-140[0].Page6[0].List16[0].Li1[0].TextField4[0]</t>
        </is>
      </c>
      <c r="F223" s="8" t="inlineStr">
        <is>
          <t>text</t>
        </is>
      </c>
      <c r="G223" s="8" t="inlineStr"/>
      <c r="H223" s="8" t="inlineStr"/>
      <c r="I223" s="8" t="inlineStr">
        <is>
          <t>360, 425, 550, 440</t>
        </is>
      </c>
      <c r="J223" s="8" t="inlineStr">
        <is>
          <t>court/clerk</t>
        </is>
      </c>
      <c r="K223" s="8" t="inlineStr"/>
      <c r="L223" s="8" t="inlineStr"/>
      <c r="M223" s="8" t="inlineStr"/>
      <c r="N223" s="8" t="inlineStr">
        <is>
          <t>Judge completes.</t>
        </is>
      </c>
      <c r="O223" s="8" t="inlineStr"/>
    </row>
    <row r="224">
      <c r="A224" s="8" t="n">
        <v>223</v>
      </c>
      <c r="B224" s="8" t="n">
        <v>6</v>
      </c>
      <c r="C224" s="8" t="inlineStr">
        <is>
          <t>17 (court)</t>
        </is>
      </c>
      <c r="D224" s="8" t="inlineStr">
        <is>
          <t>The United States,</t>
        </is>
      </c>
      <c r="E224" s="8" t="inlineStr">
        <is>
          <t>DV-140[0].Page6[0].List17[0].Li1[0].CheckBoxRightCaption8[0]</t>
        </is>
      </c>
      <c r="F224" s="8" t="inlineStr">
        <is>
          <t>checkbox</t>
        </is>
      </c>
      <c r="G224" s="8" t="inlineStr">
        <is>
          <t>1</t>
        </is>
      </c>
      <c r="H224" s="8" t="inlineStr"/>
      <c r="I224" s="8" t="inlineStr">
        <is>
          <t>63, 525, 72, 534</t>
        </is>
      </c>
      <c r="J224" s="8" t="inlineStr">
        <is>
          <t>court/clerk</t>
        </is>
      </c>
      <c r="K224" s="8" t="inlineStr"/>
      <c r="L224" s="8" t="inlineStr"/>
      <c r="M224" s="8" t="inlineStr"/>
      <c r="N224" s="8" t="inlineStr">
        <is>
          <t>Judge completes.</t>
        </is>
      </c>
      <c r="O224" s="8" t="inlineStr"/>
    </row>
    <row r="225">
      <c r="A225" s="8" t="n">
        <v>224</v>
      </c>
      <c r="B225" s="8" t="n">
        <v>6</v>
      </c>
      <c r="C225" s="8" t="inlineStr">
        <is>
          <t>17 (court)</t>
        </is>
      </c>
      <c r="D225" s="8" t="inlineStr">
        <is>
          <t>Other</t>
        </is>
      </c>
      <c r="E225" s="8" t="inlineStr">
        <is>
          <t>DV-140[0].Page6[0].List17[0].Li1[0].CheckBoxRightCaption8[1]</t>
        </is>
      </c>
      <c r="F225" s="8" t="inlineStr">
        <is>
          <t>checkbox</t>
        </is>
      </c>
      <c r="G225" s="8" t="inlineStr">
        <is>
          <t>2</t>
        </is>
      </c>
      <c r="H225" s="8" t="inlineStr"/>
      <c r="I225" s="8" t="inlineStr">
        <is>
          <t>63, 541, 72, 550</t>
        </is>
      </c>
      <c r="J225" s="8" t="inlineStr">
        <is>
          <t>court/clerk</t>
        </is>
      </c>
      <c r="K225" s="8" t="inlineStr"/>
      <c r="L225" s="8" t="inlineStr"/>
      <c r="M225" s="8" t="inlineStr"/>
      <c r="N225" s="8" t="inlineStr">
        <is>
          <t>Judge completes.</t>
        </is>
      </c>
      <c r="O225" s="8" t="inlineStr"/>
    </row>
    <row r="226">
      <c r="A226" s="8" t="n">
        <v>225</v>
      </c>
      <c r="B226" s="8" t="n">
        <v>6</v>
      </c>
      <c r="C226" s="8" t="inlineStr">
        <is>
          <t>17 (court)</t>
        </is>
      </c>
      <c r="D226" s="8" t="inlineStr">
        <is>
          <t>(name of country):</t>
        </is>
      </c>
      <c r="E226" s="8" t="inlineStr">
        <is>
          <t>DV-140[0].Page6[0].List17[0].Li1[0].TextField2[0]</t>
        </is>
      </c>
      <c r="F226" s="8" t="inlineStr">
        <is>
          <t>text</t>
        </is>
      </c>
      <c r="G226" s="8" t="inlineStr"/>
      <c r="H226" s="8" t="inlineStr"/>
      <c r="I226" s="8" t="inlineStr">
        <is>
          <t>196, 541, 535, 553</t>
        </is>
      </c>
      <c r="J226" s="8" t="inlineStr">
        <is>
          <t>court/clerk</t>
        </is>
      </c>
      <c r="K226" s="8" t="inlineStr"/>
      <c r="L226" s="8" t="inlineStr"/>
      <c r="M226" s="8" t="inlineStr"/>
      <c r="N226" s="8" t="inlineStr">
        <is>
          <t>Judge completes.</t>
        </is>
      </c>
      <c r="O226" s="8" t="inlineStr"/>
    </row>
  </sheetData>
  <autoFilter ref="A1:O226"/>
  <dataValidations count="1">
    <dataValidation sqref="J2:J226" showDropDown="0" showInputMessage="0" showErrorMessage="0" allowBlank="1" type="list">
      <formula1>"question,derived,court/clerk,server,ignore (UI button)"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7" t="n">
        <v>1</v>
      </c>
      <c r="B2" s="7" t="n">
        <v>1</v>
      </c>
      <c r="C2" s="7" t="inlineStr">
        <is>
          <t>—</t>
        </is>
      </c>
      <c r="D2" s="7" t="inlineStr">
        <is>
          <t>COURTS DOT CA DOT GOV</t>
        </is>
      </c>
      <c r="E2" s="7" t="inlineStr">
        <is>
          <t>DV-108[0].#pageSet[0].PageArea1[0].FooterSub[0].Footer[0].Button1[0]</t>
        </is>
      </c>
      <c r="F2" s="7" t="inlineStr">
        <is>
          <t>button</t>
        </is>
      </c>
      <c r="G2" s="7" t="inlineStr"/>
      <c r="H2" s="7" t="inlineStr"/>
      <c r="I2" s="7" t="inlineStr">
        <is>
          <t>115, 744, 166, 754</t>
        </is>
      </c>
      <c r="J2" s="7" t="inlineStr">
        <is>
          <t>ignore (UI button)</t>
        </is>
      </c>
      <c r="K2" s="7" t="inlineStr"/>
      <c r="L2" s="7" t="inlineStr"/>
      <c r="M2" s="7" t="inlineStr"/>
      <c r="N2" s="7" t="inlineStr">
        <is>
          <t>Print/Save/Clear button. Do not fill.</t>
        </is>
      </c>
      <c r="O2" s="7" t="inlineStr"/>
    </row>
    <row r="3">
      <c r="A3" s="5" t="n">
        <v>2</v>
      </c>
      <c r="B3" s="5" t="n">
        <v>1</v>
      </c>
      <c r="C3" s="5" t="inlineStr">
        <is>
          <t>Caption</t>
        </is>
      </c>
      <c r="D3" s="5" t="inlineStr">
        <is>
          <t>Case Number</t>
        </is>
      </c>
      <c r="E3" s="5" t="inlineStr">
        <is>
          <t>DV-108[0].Page1[0].RightCaption[0].CaseNumber[0]</t>
        </is>
      </c>
      <c r="F3" s="5" t="inlineStr">
        <is>
          <t>text</t>
        </is>
      </c>
      <c r="G3" s="5" t="inlineStr"/>
      <c r="H3" s="5" t="inlineStr"/>
      <c r="I3" s="5" t="inlineStr">
        <is>
          <t>399, 49, 573, 66</t>
        </is>
      </c>
      <c r="J3" s="5" t="inlineStr">
        <is>
          <t>question</t>
        </is>
      </c>
      <c r="K3" s="5" t="inlineStr">
        <is>
          <t>S3,S4</t>
        </is>
      </c>
      <c r="L3" s="5">
        <f> S4</f>
        <v/>
      </c>
      <c r="M3" s="5" t="inlineStr">
        <is>
          <t>S3 == "update"; otherwise blank for clerk</t>
        </is>
      </c>
      <c r="N3" s="5" t="inlineStr"/>
      <c r="O3" s="5" t="inlineStr"/>
    </row>
    <row r="4">
      <c r="A4" s="5" t="n">
        <v>3</v>
      </c>
      <c r="B4" s="5" t="n">
        <v>1</v>
      </c>
      <c r="C4" s="5" t="inlineStr">
        <is>
          <t>1</t>
        </is>
      </c>
      <c r="D4" s="5" t="inlineStr">
        <is>
          <t>Your name (person requesting child custody and visitation orders)</t>
        </is>
      </c>
      <c r="E4" s="5" t="inlineStr">
        <is>
          <t>DV-108[0].Page1[0].List1[0].LI1[0].Yourname[0]</t>
        </is>
      </c>
      <c r="F4" s="5" t="inlineStr">
        <is>
          <t>text</t>
        </is>
      </c>
      <c r="G4" s="5" t="inlineStr"/>
      <c r="H4" s="5" t="inlineStr"/>
      <c r="I4" s="5" t="inlineStr">
        <is>
          <t>136, 138, 575, 154</t>
        </is>
      </c>
      <c r="J4" s="5" t="inlineStr">
        <is>
          <t>question</t>
        </is>
      </c>
      <c r="K4" s="5" t="inlineStr">
        <is>
          <t>P1</t>
        </is>
      </c>
      <c r="L4" s="5">
        <f> P1</f>
        <v/>
      </c>
      <c r="M4" s="5" t="inlineStr"/>
      <c r="N4" s="5" t="inlineStr"/>
      <c r="O4" s="5" t="inlineStr"/>
    </row>
    <row r="5">
      <c r="A5" s="5" t="n">
        <v>4</v>
      </c>
      <c r="B5" s="5" t="n">
        <v>1</v>
      </c>
      <c r="C5" s="5" t="inlineStr">
        <is>
          <t>2</t>
        </is>
      </c>
      <c r="D5" s="5" t="inlineStr">
        <is>
          <t>Name of Person You Want Protection From:</t>
        </is>
      </c>
      <c r="E5" s="5" t="inlineStr">
        <is>
          <t>DV-108[0].Page1[0].List2[0].LI1[0].OtherParentsName[0]</t>
        </is>
      </c>
      <c r="F5" s="5" t="inlineStr">
        <is>
          <t>text</t>
        </is>
      </c>
      <c r="G5" s="5" t="inlineStr"/>
      <c r="H5" s="5" t="inlineStr"/>
      <c r="I5" s="5" t="inlineStr">
        <is>
          <t>315, 173, 574, 188</t>
        </is>
      </c>
      <c r="J5" s="5" t="inlineStr">
        <is>
          <t>question</t>
        </is>
      </c>
      <c r="K5" s="5" t="inlineStr">
        <is>
          <t>R1</t>
        </is>
      </c>
      <c r="L5" s="5">
        <f> R1</f>
        <v/>
      </c>
      <c r="M5" s="5" t="inlineStr"/>
      <c r="N5" s="5" t="inlineStr"/>
      <c r="O5" s="5" t="inlineStr"/>
    </row>
    <row r="6">
      <c r="A6" s="5" t="n">
        <v>5</v>
      </c>
      <c r="B6" s="5" t="n">
        <v>1</v>
      </c>
      <c r="C6" s="5" t="inlineStr">
        <is>
          <t>3a</t>
        </is>
      </c>
      <c r="D6" s="5" t="inlineStr">
        <is>
          <t>Has violated or threatened to violate a custody or visitation order.</t>
        </is>
      </c>
      <c r="E6" s="5" t="inlineStr">
        <is>
          <t>DV-108[0].Page1[0].List3[0].Li1[0].CheckBoxRightCaption[0]</t>
        </is>
      </c>
      <c r="F6" s="5" t="inlineStr">
        <is>
          <t>checkbox</t>
        </is>
      </c>
      <c r="G6" s="5" t="inlineStr">
        <is>
          <t>1</t>
        </is>
      </c>
      <c r="H6" s="5" t="inlineStr"/>
      <c r="I6" s="5" t="inlineStr">
        <is>
          <t>74, 307, 83, 316</t>
        </is>
      </c>
      <c r="J6" s="5" t="inlineStr">
        <is>
          <t>question</t>
        </is>
      </c>
      <c r="K6" s="5" t="inlineStr">
        <is>
          <t>B1</t>
        </is>
      </c>
      <c r="L6" s="5" t="inlineStr">
        <is>
          <t>check if B1 == "Y"</t>
        </is>
      </c>
      <c r="M6" s="5" t="inlineStr"/>
      <c r="N6" s="5" t="inlineStr">
        <is>
          <t>Suggested when C6 = Y.</t>
        </is>
      </c>
      <c r="O6" s="5" t="inlineStr"/>
    </row>
    <row r="7">
      <c r="A7" s="5" t="n">
        <v>6</v>
      </c>
      <c r="B7" s="5" t="n">
        <v>1</v>
      </c>
      <c r="C7" s="5" t="inlineStr">
        <is>
          <t>3b</t>
        </is>
      </c>
      <c r="D7" s="5" t="inlineStr">
        <is>
          <t>Does not have strong ties to California.</t>
        </is>
      </c>
      <c r="E7" s="5" t="inlineStr">
        <is>
          <t>DV-108[0].Page1[0].List3[0].Li2[0].CheckBoxRightCaption[0]</t>
        </is>
      </c>
      <c r="F7" s="5" t="inlineStr">
        <is>
          <t>checkbox</t>
        </is>
      </c>
      <c r="G7" s="5" t="inlineStr">
        <is>
          <t>1</t>
        </is>
      </c>
      <c r="H7" s="5" t="inlineStr"/>
      <c r="I7" s="5" t="inlineStr">
        <is>
          <t>74, 327, 83, 336</t>
        </is>
      </c>
      <c r="J7" s="5" t="inlineStr">
        <is>
          <t>question</t>
        </is>
      </c>
      <c r="K7" s="5" t="inlineStr">
        <is>
          <t>B2</t>
        </is>
      </c>
      <c r="L7" s="5" t="inlineStr">
        <is>
          <t>check if B2 == "Y"</t>
        </is>
      </c>
      <c r="M7" s="5" t="inlineStr"/>
      <c r="N7" s="5" t="inlineStr"/>
      <c r="O7" s="5" t="inlineStr"/>
    </row>
    <row r="8">
      <c r="A8" s="6" t="n">
        <v>7</v>
      </c>
      <c r="B8" s="6" t="n">
        <v>1</v>
      </c>
      <c r="C8" s="6" t="inlineStr">
        <is>
          <t>3c</t>
        </is>
      </c>
      <c r="D8" s="6" t="inlineStr">
        <is>
          <t>Has done things recently that make it easy to take our children, like (check all that apply):</t>
        </is>
      </c>
      <c r="E8" s="6" t="inlineStr">
        <is>
          <t>DV-108[0].Page1[0].List3[0].Li3[0].CheckBoxRightCaption1[0]</t>
        </is>
      </c>
      <c r="F8" s="6" t="inlineStr">
        <is>
          <t>checkbox</t>
        </is>
      </c>
      <c r="G8" s="6" t="inlineStr">
        <is>
          <t>1</t>
        </is>
      </c>
      <c r="H8" s="6" t="inlineStr"/>
      <c r="I8" s="6" t="inlineStr">
        <is>
          <t>74, 347, 83, 356</t>
        </is>
      </c>
      <c r="J8" s="6" t="inlineStr">
        <is>
          <t>derived</t>
        </is>
      </c>
      <c r="K8" s="6" t="inlineStr">
        <is>
          <t>B3</t>
        </is>
      </c>
      <c r="L8" s="6" t="inlineStr">
        <is>
          <t>check if B3 is not empty</t>
        </is>
      </c>
      <c r="M8" s="6" t="inlineStr"/>
      <c r="N8" s="6" t="inlineStr"/>
      <c r="O8" s="6" t="inlineStr"/>
    </row>
    <row r="9">
      <c r="A9" s="5" t="n">
        <v>8</v>
      </c>
      <c r="B9" s="5" t="n">
        <v>1</v>
      </c>
      <c r="C9" s="5" t="inlineStr">
        <is>
          <t>3c</t>
        </is>
      </c>
      <c r="D9" s="5" t="inlineStr">
        <is>
          <t>Quit a job</t>
        </is>
      </c>
      <c r="E9" s="5" t="inlineStr">
        <is>
          <t>DV-108[0].Page1[0].List3[0].Li3[0].CheckBoxRightCaption2[0]</t>
        </is>
      </c>
      <c r="F9" s="5" t="inlineStr">
        <is>
          <t>checkbox</t>
        </is>
      </c>
      <c r="G9" s="5" t="inlineStr">
        <is>
          <t>1</t>
        </is>
      </c>
      <c r="H9" s="5" t="inlineStr"/>
      <c r="I9" s="5" t="inlineStr">
        <is>
          <t>90, 364, 99, 373</t>
        </is>
      </c>
      <c r="J9" s="5" t="inlineStr">
        <is>
          <t>question</t>
        </is>
      </c>
      <c r="K9" s="5" t="inlineStr">
        <is>
          <t>B3</t>
        </is>
      </c>
      <c r="L9" s="5" t="inlineStr">
        <is>
          <t>check if B3 has "quit a job"</t>
        </is>
      </c>
      <c r="M9" s="5" t="inlineStr"/>
      <c r="N9" s="5" t="inlineStr"/>
      <c r="O9" s="5" t="inlineStr"/>
    </row>
    <row r="10">
      <c r="A10" s="5" t="n">
        <v>9</v>
      </c>
      <c r="B10" s="5" t="n">
        <v>1</v>
      </c>
      <c r="C10" s="5" t="inlineStr">
        <is>
          <t>3c</t>
        </is>
      </c>
      <c r="D10" s="5" t="inlineStr">
        <is>
          <t>Applied for a passport, birth certificate, or school or medical records</t>
        </is>
      </c>
      <c r="E10" s="5" t="inlineStr">
        <is>
          <t>DV-108[0].Page1[0].List3[0].Li3[0].CheckBoxRightCaption3[0]</t>
        </is>
      </c>
      <c r="F10" s="5" t="inlineStr">
        <is>
          <t>checkbox</t>
        </is>
      </c>
      <c r="G10" s="5" t="inlineStr">
        <is>
          <t>1</t>
        </is>
      </c>
      <c r="H10" s="5" t="inlineStr"/>
      <c r="I10" s="5" t="inlineStr">
        <is>
          <t>239, 364, 248, 373</t>
        </is>
      </c>
      <c r="J10" s="5" t="inlineStr">
        <is>
          <t>question</t>
        </is>
      </c>
      <c r="K10" s="5" t="inlineStr">
        <is>
          <t>B3</t>
        </is>
      </c>
      <c r="L10" s="5" t="inlineStr">
        <is>
          <t>check if B3 has "applied for documents"</t>
        </is>
      </c>
      <c r="M10" s="5" t="inlineStr"/>
      <c r="N10" s="5" t="inlineStr"/>
      <c r="O10" s="5" t="inlineStr"/>
    </row>
    <row r="11">
      <c r="A11" s="5" t="n">
        <v>10</v>
      </c>
      <c r="B11" s="5" t="n">
        <v>1</v>
      </c>
      <c r="C11" s="5" t="inlineStr">
        <is>
          <t>3c</t>
        </is>
      </c>
      <c r="D11" s="5" t="inlineStr">
        <is>
          <t>Closed a bank account</t>
        </is>
      </c>
      <c r="E11" s="5" t="inlineStr">
        <is>
          <t>DV-108[0].Page1[0].List3[0].Li3[0].CheckBoxRightCaption4[0]</t>
        </is>
      </c>
      <c r="F11" s="5" t="inlineStr">
        <is>
          <t>checkbox</t>
        </is>
      </c>
      <c r="G11" s="5" t="inlineStr">
        <is>
          <t>1</t>
        </is>
      </c>
      <c r="H11" s="5" t="inlineStr"/>
      <c r="I11" s="5" t="inlineStr">
        <is>
          <t>90, 377, 99, 386</t>
        </is>
      </c>
      <c r="J11" s="5" t="inlineStr">
        <is>
          <t>question</t>
        </is>
      </c>
      <c r="K11" s="5" t="inlineStr">
        <is>
          <t>B3</t>
        </is>
      </c>
      <c r="L11" s="5" t="inlineStr">
        <is>
          <t>check if B3 has "closed a bank account"</t>
        </is>
      </c>
      <c r="M11" s="5" t="inlineStr"/>
      <c r="N11" s="5" t="inlineStr"/>
      <c r="O11" s="5" t="inlineStr"/>
    </row>
    <row r="12">
      <c r="A12" s="5" t="n">
        <v>11</v>
      </c>
      <c r="B12" s="5" t="n">
        <v>1</v>
      </c>
      <c r="C12" s="5" t="inlineStr">
        <is>
          <t>3c</t>
        </is>
      </c>
      <c r="D12" s="5" t="inlineStr">
        <is>
          <t>Hidden or destroyed documents</t>
        </is>
      </c>
      <c r="E12" s="5" t="inlineStr">
        <is>
          <t>DV-108[0].Page1[0].List3[0].Li3[0].CheckBoxRightCaption5[0]</t>
        </is>
      </c>
      <c r="F12" s="5" t="inlineStr">
        <is>
          <t>checkbox</t>
        </is>
      </c>
      <c r="G12" s="5" t="inlineStr">
        <is>
          <t>1</t>
        </is>
      </c>
      <c r="H12" s="5" t="inlineStr"/>
      <c r="I12" s="5" t="inlineStr">
        <is>
          <t>239, 377, 248, 386</t>
        </is>
      </c>
      <c r="J12" s="5" t="inlineStr">
        <is>
          <t>question</t>
        </is>
      </c>
      <c r="K12" s="5" t="inlineStr">
        <is>
          <t>B3</t>
        </is>
      </c>
      <c r="L12" s="5" t="inlineStr">
        <is>
          <t>check if B3 has "hid or destroyed documents"</t>
        </is>
      </c>
      <c r="M12" s="5" t="inlineStr"/>
      <c r="N12" s="5" t="inlineStr"/>
      <c r="O12" s="5" t="inlineStr"/>
    </row>
    <row r="13">
      <c r="A13" s="5" t="n">
        <v>12</v>
      </c>
      <c r="B13" s="5" t="n">
        <v>1</v>
      </c>
      <c r="C13" s="5" t="inlineStr">
        <is>
          <t>3c</t>
        </is>
      </c>
      <c r="D13" s="5" t="inlineStr">
        <is>
          <t>Sold or gotten rid of property</t>
        </is>
      </c>
      <c r="E13" s="5" t="inlineStr">
        <is>
          <t>DV-108[0].Page1[0].List3[0].Li3[0].CheckBoxRightCaption6[0]</t>
        </is>
      </c>
      <c r="F13" s="5" t="inlineStr">
        <is>
          <t>checkbox</t>
        </is>
      </c>
      <c r="G13" s="5" t="inlineStr">
        <is>
          <t>1</t>
        </is>
      </c>
      <c r="H13" s="5" t="inlineStr"/>
      <c r="I13" s="5" t="inlineStr">
        <is>
          <t>90, 391, 99, 400</t>
        </is>
      </c>
      <c r="J13" s="5" t="inlineStr">
        <is>
          <t>question</t>
        </is>
      </c>
      <c r="K13" s="5" t="inlineStr">
        <is>
          <t>B3</t>
        </is>
      </c>
      <c r="L13" s="5" t="inlineStr">
        <is>
          <t>check if B3 has "sold or got rid of property"</t>
        </is>
      </c>
      <c r="M13" s="5" t="inlineStr"/>
      <c r="N13" s="5" t="inlineStr"/>
      <c r="O13" s="5" t="inlineStr"/>
    </row>
    <row r="14">
      <c r="A14" s="5" t="n">
        <v>13</v>
      </c>
      <c r="B14" s="5" t="n">
        <v>1</v>
      </c>
      <c r="C14" s="5" t="inlineStr">
        <is>
          <t>3c</t>
        </is>
      </c>
      <c r="D14" s="5" t="inlineStr">
        <is>
          <t>Other (explain):</t>
        </is>
      </c>
      <c r="E14" s="5" t="inlineStr">
        <is>
          <t>DV-108[0].Page1[0].List3[0].Li3[0].CheckBoxRightCaption7[0]</t>
        </is>
      </c>
      <c r="F14" s="5" t="inlineStr">
        <is>
          <t>checkbox</t>
        </is>
      </c>
      <c r="G14" s="5" t="inlineStr">
        <is>
          <t>1</t>
        </is>
      </c>
      <c r="H14" s="5" t="inlineStr"/>
      <c r="I14" s="5" t="inlineStr">
        <is>
          <t>239, 391, 248, 400</t>
        </is>
      </c>
      <c r="J14" s="5" t="inlineStr">
        <is>
          <t>question</t>
        </is>
      </c>
      <c r="K14" s="5" t="inlineStr">
        <is>
          <t>B3</t>
        </is>
      </c>
      <c r="L14" s="5" t="inlineStr">
        <is>
          <t>check if B3 has "other"</t>
        </is>
      </c>
      <c r="M14" s="5" t="inlineStr"/>
      <c r="N14" s="5" t="inlineStr"/>
      <c r="O14" s="5" t="inlineStr"/>
    </row>
    <row r="15">
      <c r="A15" s="5" t="n">
        <v>14</v>
      </c>
      <c r="B15" s="5" t="n">
        <v>1</v>
      </c>
      <c r="C15" s="5" t="inlineStr">
        <is>
          <t>3c</t>
        </is>
      </c>
      <c r="D15" s="5" t="inlineStr">
        <is>
          <t>explain</t>
        </is>
      </c>
      <c r="E15" s="5" t="inlineStr">
        <is>
          <t>DV-108[0].Page1[0].List3[0].Li3[0].TextField[0]</t>
        </is>
      </c>
      <c r="F15" s="5" t="inlineStr">
        <is>
          <t>text</t>
        </is>
      </c>
      <c r="G15" s="5" t="inlineStr"/>
      <c r="H15" s="5" t="inlineStr"/>
      <c r="I15" s="5" t="inlineStr">
        <is>
          <t>329, 389, 571, 402</t>
        </is>
      </c>
      <c r="J15" s="5" t="inlineStr">
        <is>
          <t>question</t>
        </is>
      </c>
      <c r="K15" s="5" t="inlineStr">
        <is>
          <t>B3</t>
        </is>
      </c>
      <c r="L15" s="5">
        <f> B3.otherText</f>
        <v/>
      </c>
      <c r="M15" s="5" t="inlineStr">
        <is>
          <t>B3 has "other"</t>
        </is>
      </c>
      <c r="N15" s="5" t="inlineStr"/>
      <c r="O15" s="5" t="inlineStr"/>
    </row>
    <row r="16">
      <c r="A16" s="5" t="n">
        <v>15</v>
      </c>
      <c r="B16" s="5" t="n">
        <v>1</v>
      </c>
      <c r="C16" s="5" t="inlineStr">
        <is>
          <t>3c</t>
        </is>
      </c>
      <c r="D16" s="5" t="inlineStr">
        <is>
          <t>Sold a home or ended a lease</t>
        </is>
      </c>
      <c r="E16" s="5" t="inlineStr">
        <is>
          <t>DV-108[0].Page1[0].List3[0].Li3[0].CheckBoxRightCaption8[0]</t>
        </is>
      </c>
      <c r="F16" s="5" t="inlineStr">
        <is>
          <t>checkbox</t>
        </is>
      </c>
      <c r="G16" s="5" t="inlineStr">
        <is>
          <t>1</t>
        </is>
      </c>
      <c r="H16" s="5" t="inlineStr"/>
      <c r="I16" s="5" t="inlineStr">
        <is>
          <t>90, 405, 99, 414</t>
        </is>
      </c>
      <c r="J16" s="5" t="inlineStr">
        <is>
          <t>question</t>
        </is>
      </c>
      <c r="K16" s="5" t="inlineStr">
        <is>
          <t>B3</t>
        </is>
      </c>
      <c r="L16" s="5" t="inlineStr">
        <is>
          <t>check if B3 has "sold a home or ended a lease"</t>
        </is>
      </c>
      <c r="M16" s="5" t="inlineStr"/>
      <c r="N16" s="5" t="inlineStr"/>
      <c r="O16" s="5" t="inlineStr"/>
    </row>
    <row r="17">
      <c r="A17" s="6" t="n">
        <v>16</v>
      </c>
      <c r="B17" s="6" t="n">
        <v>1</v>
      </c>
      <c r="C17" s="6" t="inlineStr">
        <is>
          <t>3d</t>
        </is>
      </c>
      <c r="D17" s="6" t="inlineStr">
        <is>
          <t>Has a history of:</t>
        </is>
      </c>
      <c r="E17" s="6" t="inlineStr">
        <is>
          <t>DV-108[0].Page1[0].List3[0].Li4[0].CheckBoxRightCaption[0]</t>
        </is>
      </c>
      <c r="F17" s="6" t="inlineStr">
        <is>
          <t>checkbox</t>
        </is>
      </c>
      <c r="G17" s="6" t="inlineStr">
        <is>
          <t>1</t>
        </is>
      </c>
      <c r="H17" s="6" t="inlineStr"/>
      <c r="I17" s="6" t="inlineStr">
        <is>
          <t>74, 426, 83, 435</t>
        </is>
      </c>
      <c r="J17" s="6" t="inlineStr">
        <is>
          <t>derived</t>
        </is>
      </c>
      <c r="K17" s="6" t="inlineStr">
        <is>
          <t>B4</t>
        </is>
      </c>
      <c r="L17" s="6" t="inlineStr">
        <is>
          <t>check if B4 is not empty</t>
        </is>
      </c>
      <c r="M17" s="6" t="inlineStr"/>
      <c r="N17" s="6" t="inlineStr"/>
      <c r="O17" s="6" t="inlineStr"/>
    </row>
    <row r="18">
      <c r="A18" s="5" t="n">
        <v>17</v>
      </c>
      <c r="B18" s="5" t="n">
        <v>1</v>
      </c>
      <c r="C18" s="5" t="inlineStr">
        <is>
          <t>3d</t>
        </is>
      </c>
      <c r="D18" s="5" t="inlineStr">
        <is>
          <t>Abusing me</t>
        </is>
      </c>
      <c r="E18" s="5" t="inlineStr">
        <is>
          <t>DV-108[0].Page1[0].List3[0].Li4[0].CheckBoxRightCaption1[0]</t>
        </is>
      </c>
      <c r="F18" s="5" t="inlineStr">
        <is>
          <t>checkbox</t>
        </is>
      </c>
      <c r="G18" s="5" t="inlineStr">
        <is>
          <t>1</t>
        </is>
      </c>
      <c r="H18" s="5" t="inlineStr"/>
      <c r="I18" s="5" t="inlineStr">
        <is>
          <t>89, 440, 98, 449</t>
        </is>
      </c>
      <c r="J18" s="5" t="inlineStr">
        <is>
          <t>question</t>
        </is>
      </c>
      <c r="K18" s="5" t="inlineStr">
        <is>
          <t>B4</t>
        </is>
      </c>
      <c r="L18" s="5" t="inlineStr">
        <is>
          <t>check if B4 has "abusing you"</t>
        </is>
      </c>
      <c r="M18" s="5" t="inlineStr"/>
      <c r="N18" s="5" t="inlineStr">
        <is>
          <t>"Abusing you" is pre-checked when Step 6 has incidents; "child abuse" when A0 includes it.</t>
        </is>
      </c>
      <c r="O18" s="5" t="inlineStr"/>
    </row>
    <row r="19">
      <c r="A19" s="5" t="n">
        <v>18</v>
      </c>
      <c r="B19" s="5" t="n">
        <v>1</v>
      </c>
      <c r="C19" s="5" t="inlineStr">
        <is>
          <t>3d</t>
        </is>
      </c>
      <c r="D19" s="5" t="inlineStr">
        <is>
          <t>Taking away or hiding our children from me</t>
        </is>
      </c>
      <c r="E19" s="5" t="inlineStr">
        <is>
          <t>DV-108[0].Page1[0].List3[0].Li4[0].CheckBoxRightCaption2[0]</t>
        </is>
      </c>
      <c r="F19" s="5" t="inlineStr">
        <is>
          <t>checkbox</t>
        </is>
      </c>
      <c r="G19" s="5" t="inlineStr">
        <is>
          <t>1</t>
        </is>
      </c>
      <c r="H19" s="5" t="inlineStr"/>
      <c r="I19" s="5" t="inlineStr">
        <is>
          <t>238, 440, 247, 449</t>
        </is>
      </c>
      <c r="J19" s="5" t="inlineStr">
        <is>
          <t>question</t>
        </is>
      </c>
      <c r="K19" s="5" t="inlineStr">
        <is>
          <t>B4</t>
        </is>
      </c>
      <c r="L19" s="5" t="inlineStr">
        <is>
          <t>check if B4 has "taking or hiding the children"</t>
        </is>
      </c>
      <c r="M19" s="5" t="inlineStr"/>
      <c r="N19" s="5" t="inlineStr"/>
      <c r="O19" s="5" t="inlineStr"/>
    </row>
    <row r="20">
      <c r="A20" s="5" t="n">
        <v>19</v>
      </c>
      <c r="B20" s="5" t="n">
        <v>1</v>
      </c>
      <c r="C20" s="5" t="inlineStr">
        <is>
          <t>3d</t>
        </is>
      </c>
      <c r="D20" s="5" t="inlineStr">
        <is>
          <t>Child abuse</t>
        </is>
      </c>
      <c r="E20" s="5" t="inlineStr">
        <is>
          <t>DV-108[0].Page1[0].List3[0].Li4[0].CheckBoxRightCaption3[0]</t>
        </is>
      </c>
      <c r="F20" s="5" t="inlineStr">
        <is>
          <t>checkbox</t>
        </is>
      </c>
      <c r="G20" s="5" t="inlineStr">
        <is>
          <t>1</t>
        </is>
      </c>
      <c r="H20" s="5" t="inlineStr"/>
      <c r="I20" s="5" t="inlineStr">
        <is>
          <t>89, 454, 98, 463</t>
        </is>
      </c>
      <c r="J20" s="5" t="inlineStr">
        <is>
          <t>question</t>
        </is>
      </c>
      <c r="K20" s="5" t="inlineStr">
        <is>
          <t>B4</t>
        </is>
      </c>
      <c r="L20" s="5" t="inlineStr">
        <is>
          <t>check if B4 has "child abuse"</t>
        </is>
      </c>
      <c r="M20" s="5" t="inlineStr"/>
      <c r="N20" s="5" t="inlineStr"/>
      <c r="O20" s="5" t="inlineStr"/>
    </row>
    <row r="21">
      <c r="A21" s="5" t="n">
        <v>20</v>
      </c>
      <c r="B21" s="5" t="n">
        <v>1</v>
      </c>
      <c r="C21" s="5" t="inlineStr">
        <is>
          <t>3d</t>
        </is>
      </c>
      <c r="D21" s="5" t="inlineStr">
        <is>
          <t>Threatening to take away or hide our children from me</t>
        </is>
      </c>
      <c r="E21" s="5" t="inlineStr">
        <is>
          <t>DV-108[0].Page1[0].List3[0].Li4[0].CheckBoxRightCaption4[0]</t>
        </is>
      </c>
      <c r="F21" s="5" t="inlineStr">
        <is>
          <t>checkbox</t>
        </is>
      </c>
      <c r="G21" s="5" t="inlineStr">
        <is>
          <t>1</t>
        </is>
      </c>
      <c r="H21" s="5" t="inlineStr"/>
      <c r="I21" s="5" t="inlineStr">
        <is>
          <t>238, 454, 247, 463</t>
        </is>
      </c>
      <c r="J21" s="5" t="inlineStr">
        <is>
          <t>question</t>
        </is>
      </c>
      <c r="K21" s="5" t="inlineStr">
        <is>
          <t>B4</t>
        </is>
      </c>
      <c r="L21" s="5" t="inlineStr">
        <is>
          <t>check if B4 has "threatening to take the children"</t>
        </is>
      </c>
      <c r="M21" s="5" t="inlineStr"/>
      <c r="N21" s="5" t="inlineStr"/>
      <c r="O21" s="5" t="inlineStr"/>
    </row>
    <row r="22">
      <c r="A22" s="5" t="n">
        <v>21</v>
      </c>
      <c r="B22" s="5" t="n">
        <v>1</v>
      </c>
      <c r="C22" s="5" t="inlineStr">
        <is>
          <t>3d</t>
        </is>
      </c>
      <c r="D22" s="5" t="inlineStr">
        <is>
          <t>Abusing other partners</t>
        </is>
      </c>
      <c r="E22" s="5" t="inlineStr">
        <is>
          <t>DV-108[0].Page1[0].List3[0].Li4[0].CheckBoxRightCaption5[0]</t>
        </is>
      </c>
      <c r="F22" s="5" t="inlineStr">
        <is>
          <t>checkbox</t>
        </is>
      </c>
      <c r="G22" s="5" t="inlineStr">
        <is>
          <t>1</t>
        </is>
      </c>
      <c r="H22" s="5" t="inlineStr"/>
      <c r="I22" s="5" t="inlineStr">
        <is>
          <t>89, 468, 98, 477</t>
        </is>
      </c>
      <c r="J22" s="5" t="inlineStr">
        <is>
          <t>question</t>
        </is>
      </c>
      <c r="K22" s="5" t="inlineStr">
        <is>
          <t>B4</t>
        </is>
      </c>
      <c r="L22" s="5" t="inlineStr">
        <is>
          <t>check if B4 has "abusing other partners"</t>
        </is>
      </c>
      <c r="M22" s="5" t="inlineStr"/>
      <c r="N22" s="5" t="inlineStr"/>
      <c r="O22" s="5" t="inlineStr"/>
    </row>
    <row r="23">
      <c r="A23" s="5" t="n">
        <v>22</v>
      </c>
      <c r="B23" s="5" t="n">
        <v>1</v>
      </c>
      <c r="C23" s="5" t="inlineStr">
        <is>
          <t>3d</t>
        </is>
      </c>
      <c r="D23" s="5" t="inlineStr">
        <is>
          <t>Not cooperating with me in parenting</t>
        </is>
      </c>
      <c r="E23" s="5" t="inlineStr">
        <is>
          <t>DV-108[0].Page1[0].List3[0].Li4[0].CheckBoxRightCaption6[0]</t>
        </is>
      </c>
      <c r="F23" s="5" t="inlineStr">
        <is>
          <t>checkbox</t>
        </is>
      </c>
      <c r="G23" s="5" t="inlineStr">
        <is>
          <t>1</t>
        </is>
      </c>
      <c r="H23" s="5" t="inlineStr"/>
      <c r="I23" s="5" t="inlineStr">
        <is>
          <t>238, 468, 247, 477</t>
        </is>
      </c>
      <c r="J23" s="5" t="inlineStr">
        <is>
          <t>question</t>
        </is>
      </c>
      <c r="K23" s="5" t="inlineStr">
        <is>
          <t>B4</t>
        </is>
      </c>
      <c r="L23" s="5" t="inlineStr">
        <is>
          <t>check if B4 has "not cooperating in parenting"</t>
        </is>
      </c>
      <c r="M23" s="5" t="inlineStr"/>
      <c r="N23" s="5" t="inlineStr"/>
      <c r="O23" s="5" t="inlineStr"/>
    </row>
    <row r="24">
      <c r="A24" s="5" t="n">
        <v>23</v>
      </c>
      <c r="B24" s="5" t="n">
        <v>1</v>
      </c>
      <c r="C24" s="5" t="inlineStr">
        <is>
          <t>3e</t>
        </is>
      </c>
      <c r="D24" s="5" t="inlineStr">
        <is>
          <t>Has a criminal record</t>
        </is>
      </c>
      <c r="E24" s="5" t="inlineStr">
        <is>
          <t>DV-108[0].Page1[0].List3[0].Li5[0].CheckBoxRightCaption[0]</t>
        </is>
      </c>
      <c r="F24" s="5" t="inlineStr">
        <is>
          <t>checkbox</t>
        </is>
      </c>
      <c r="G24" s="5" t="inlineStr">
        <is>
          <t>1</t>
        </is>
      </c>
      <c r="H24" s="5" t="inlineStr"/>
      <c r="I24" s="5" t="inlineStr">
        <is>
          <t>74, 488, 83, 497</t>
        </is>
      </c>
      <c r="J24" s="5" t="inlineStr">
        <is>
          <t>question</t>
        </is>
      </c>
      <c r="K24" s="5" t="inlineStr">
        <is>
          <t>B5</t>
        </is>
      </c>
      <c r="L24" s="5" t="inlineStr">
        <is>
          <t>check if B5 == "Y"</t>
        </is>
      </c>
      <c r="M24" s="5" t="inlineStr"/>
      <c r="N24" s="5" t="inlineStr"/>
      <c r="O24" s="5" t="inlineStr"/>
    </row>
    <row r="25">
      <c r="A25" s="6" t="n">
        <v>24</v>
      </c>
      <c r="B25" s="6" t="n">
        <v>1</v>
      </c>
      <c r="C25" s="6" t="inlineStr">
        <is>
          <t>3f</t>
        </is>
      </c>
      <c r="D25" s="6" t="inlineStr">
        <is>
          <t>Has strong ties in:</t>
        </is>
      </c>
      <c r="E25" s="6" t="inlineStr">
        <is>
          <t>DV-108[0].Page1[0].List3[0].Li6[0].CheckBoxRightCaption[0]</t>
        </is>
      </c>
      <c r="F25" s="6" t="inlineStr">
        <is>
          <t>checkbox</t>
        </is>
      </c>
      <c r="G25" s="6" t="inlineStr">
        <is>
          <t>1</t>
        </is>
      </c>
      <c r="H25" s="6" t="inlineStr"/>
      <c r="I25" s="6" t="inlineStr">
        <is>
          <t>74, 508, 83, 517</t>
        </is>
      </c>
      <c r="J25" s="6" t="inlineStr">
        <is>
          <t>derived</t>
        </is>
      </c>
      <c r="K25" s="6" t="inlineStr">
        <is>
          <t>B6</t>
        </is>
      </c>
      <c r="L25" s="6" t="inlineStr">
        <is>
          <t>check if B6 is not empty</t>
        </is>
      </c>
      <c r="M25" s="6" t="inlineStr"/>
      <c r="N25" s="6" t="inlineStr"/>
      <c r="O25" s="6" t="inlineStr"/>
    </row>
    <row r="26">
      <c r="A26" s="5" t="n">
        <v>25</v>
      </c>
      <c r="B26" s="5" t="n">
        <v>1</v>
      </c>
      <c r="C26" s="5" t="inlineStr">
        <is>
          <t>3f</t>
        </is>
      </c>
      <c r="D26" s="5" t="inlineStr">
        <is>
          <t>Another county in California (list county):</t>
        </is>
      </c>
      <c r="E26" s="5" t="inlineStr">
        <is>
          <t>DV-108[0].Page1[0].List3[0].Li6[0].CheckBoxRightCaption1[0]</t>
        </is>
      </c>
      <c r="F26" s="5" t="inlineStr">
        <is>
          <t>checkbox</t>
        </is>
      </c>
      <c r="G26" s="5" t="inlineStr">
        <is>
          <t>1</t>
        </is>
      </c>
      <c r="H26" s="5" t="inlineStr"/>
      <c r="I26" s="5" t="inlineStr">
        <is>
          <t>89, 522, 98, 531</t>
        </is>
      </c>
      <c r="J26" s="5" t="inlineStr">
        <is>
          <t>question</t>
        </is>
      </c>
      <c r="K26" s="5" t="inlineStr">
        <is>
          <t>B6</t>
        </is>
      </c>
      <c r="L26" s="5" t="inlineStr">
        <is>
          <t>check if B6 has "another county"</t>
        </is>
      </c>
      <c r="M26" s="5" t="inlineStr"/>
      <c r="N26" s="5" t="inlineStr"/>
      <c r="O26" s="5" t="inlineStr"/>
    </row>
    <row r="27">
      <c r="A27" s="5" t="n">
        <v>26</v>
      </c>
      <c r="B27" s="5" t="n">
        <v>1</v>
      </c>
      <c r="C27" s="5" t="inlineStr">
        <is>
          <t>3f</t>
        </is>
      </c>
      <c r="D27" s="5" t="inlineStr">
        <is>
          <t>list county</t>
        </is>
      </c>
      <c r="E27" s="5" t="inlineStr">
        <is>
          <t>DV-108[0].Page1[0].List3[0].Li6[0].TextField[0]</t>
        </is>
      </c>
      <c r="F27" s="5" t="inlineStr">
        <is>
          <t>text</t>
        </is>
      </c>
      <c r="G27" s="5" t="inlineStr"/>
      <c r="H27" s="5" t="inlineStr"/>
      <c r="I27" s="5" t="inlineStr">
        <is>
          <t>291, 520, 571, 533</t>
        </is>
      </c>
      <c r="J27" s="5" t="inlineStr">
        <is>
          <t>question</t>
        </is>
      </c>
      <c r="K27" s="5" t="inlineStr">
        <is>
          <t>B6</t>
        </is>
      </c>
      <c r="L27" s="5">
        <f> B6.countyName</f>
        <v/>
      </c>
      <c r="M27" s="5" t="inlineStr">
        <is>
          <t>B6 has "another county"</t>
        </is>
      </c>
      <c r="N27" s="5" t="inlineStr"/>
      <c r="O27" s="5" t="inlineStr"/>
    </row>
    <row r="28">
      <c r="A28" s="5" t="n">
        <v>27</v>
      </c>
      <c r="B28" s="5" t="n">
        <v>1</v>
      </c>
      <c r="C28" s="5" t="inlineStr">
        <is>
          <t>3f</t>
        </is>
      </c>
      <c r="D28" s="5" t="inlineStr">
        <is>
          <t>Another state (list state):</t>
        </is>
      </c>
      <c r="E28" s="5" t="inlineStr">
        <is>
          <t>DV-108[0].Page1[0].List3[0].Li6[0].CheckBoxRightCaption2[0]</t>
        </is>
      </c>
      <c r="F28" s="5" t="inlineStr">
        <is>
          <t>checkbox</t>
        </is>
      </c>
      <c r="G28" s="5" t="inlineStr">
        <is>
          <t>1</t>
        </is>
      </c>
      <c r="H28" s="5" t="inlineStr"/>
      <c r="I28" s="5" t="inlineStr">
        <is>
          <t>89, 536, 98, 545</t>
        </is>
      </c>
      <c r="J28" s="5" t="inlineStr">
        <is>
          <t>question</t>
        </is>
      </c>
      <c r="K28" s="5" t="inlineStr">
        <is>
          <t>B6</t>
        </is>
      </c>
      <c r="L28" s="5" t="inlineStr">
        <is>
          <t>check if B6 has "another state"</t>
        </is>
      </c>
      <c r="M28" s="5" t="inlineStr"/>
      <c r="N28" s="5" t="inlineStr"/>
      <c r="O28" s="5" t="inlineStr"/>
    </row>
    <row r="29">
      <c r="A29" s="5" t="n">
        <v>28</v>
      </c>
      <c r="B29" s="5" t="n">
        <v>1</v>
      </c>
      <c r="C29" s="5" t="inlineStr">
        <is>
          <t>3f</t>
        </is>
      </c>
      <c r="D29" s="5" t="inlineStr">
        <is>
          <t>list state</t>
        </is>
      </c>
      <c r="E29" s="5" t="inlineStr">
        <is>
          <t>DV-108[0].Page1[0].List3[0].Li6[0].TextField1[0]</t>
        </is>
      </c>
      <c r="F29" s="5" t="inlineStr">
        <is>
          <t>text</t>
        </is>
      </c>
      <c r="G29" s="5" t="inlineStr"/>
      <c r="H29" s="5" t="inlineStr"/>
      <c r="I29" s="5" t="inlineStr">
        <is>
          <t>216, 534, 571, 547</t>
        </is>
      </c>
      <c r="J29" s="5" t="inlineStr">
        <is>
          <t>question</t>
        </is>
      </c>
      <c r="K29" s="5" t="inlineStr">
        <is>
          <t>B6</t>
        </is>
      </c>
      <c r="L29" s="5">
        <f> B6.stateName</f>
        <v/>
      </c>
      <c r="M29" s="5" t="inlineStr">
        <is>
          <t>B6 has "another state"</t>
        </is>
      </c>
      <c r="N29" s="5" t="inlineStr"/>
      <c r="O29" s="5" t="inlineStr"/>
    </row>
    <row r="30">
      <c r="A30" s="5" t="n">
        <v>29</v>
      </c>
      <c r="B30" s="5" t="n">
        <v>1</v>
      </c>
      <c r="C30" s="5" t="inlineStr">
        <is>
          <t>3f</t>
        </is>
      </c>
      <c r="D30" s="5" t="inlineStr">
        <is>
          <t>Another country (list country):</t>
        </is>
      </c>
      <c r="E30" s="5" t="inlineStr">
        <is>
          <t>DV-108[0].Page1[0].List3[0].Li6[0].CheckBoxRightCaption3[0]</t>
        </is>
      </c>
      <c r="F30" s="5" t="inlineStr">
        <is>
          <t>checkbox</t>
        </is>
      </c>
      <c r="G30" s="5" t="inlineStr">
        <is>
          <t>1</t>
        </is>
      </c>
      <c r="H30" s="5" t="inlineStr"/>
      <c r="I30" s="5" t="inlineStr">
        <is>
          <t>89, 551, 98, 560</t>
        </is>
      </c>
      <c r="J30" s="5" t="inlineStr">
        <is>
          <t>question</t>
        </is>
      </c>
      <c r="K30" s="5" t="inlineStr">
        <is>
          <t>B6</t>
        </is>
      </c>
      <c r="L30" s="5" t="inlineStr">
        <is>
          <t>check if B6 has "another country"</t>
        </is>
      </c>
      <c r="M30" s="5" t="inlineStr"/>
      <c r="N30" s="5" t="inlineStr"/>
      <c r="O30" s="5" t="inlineStr"/>
    </row>
    <row r="31">
      <c r="A31" s="5" t="n">
        <v>30</v>
      </c>
      <c r="B31" s="5" t="n">
        <v>1</v>
      </c>
      <c r="C31" s="5" t="inlineStr">
        <is>
          <t>3f</t>
        </is>
      </c>
      <c r="D31" s="5" t="inlineStr">
        <is>
          <t>list country</t>
        </is>
      </c>
      <c r="E31" s="5" t="inlineStr">
        <is>
          <t>DV-108[0].Page1[0].List3[0].Li6[0].TextField2[0]</t>
        </is>
      </c>
      <c r="F31" s="5" t="inlineStr">
        <is>
          <t>text</t>
        </is>
      </c>
      <c r="G31" s="5" t="inlineStr"/>
      <c r="H31" s="5" t="inlineStr"/>
      <c r="I31" s="5" t="inlineStr">
        <is>
          <t>240, 549, 572, 562</t>
        </is>
      </c>
      <c r="J31" s="5" t="inlineStr">
        <is>
          <t>question</t>
        </is>
      </c>
      <c r="K31" s="5" t="inlineStr">
        <is>
          <t>B6</t>
        </is>
      </c>
      <c r="L31" s="5">
        <f> B6.countryName</f>
        <v/>
      </c>
      <c r="M31" s="5" t="inlineStr">
        <is>
          <t>B6 has "another country"</t>
        </is>
      </c>
      <c r="N31" s="5" t="inlineStr"/>
      <c r="O31" s="5" t="inlineStr"/>
    </row>
    <row r="32">
      <c r="A32" s="5" t="n">
        <v>31</v>
      </c>
      <c r="B32" s="5" t="n">
        <v>1</v>
      </c>
      <c r="C32" s="5" t="inlineStr">
        <is>
          <t>3g</t>
        </is>
      </c>
      <c r="D32" s="5" t="inlineStr">
        <is>
          <t>Is a citizen of another country (list country or countries):</t>
        </is>
      </c>
      <c r="E32" s="5" t="inlineStr">
        <is>
          <t>DV-108[0].Page1[0].List3[0].Li7[0].CheckBoxRightCaption[0]</t>
        </is>
      </c>
      <c r="F32" s="5" t="inlineStr">
        <is>
          <t>checkbox</t>
        </is>
      </c>
      <c r="G32" s="5" t="inlineStr">
        <is>
          <t>1</t>
        </is>
      </c>
      <c r="H32" s="5" t="inlineStr"/>
      <c r="I32" s="5" t="inlineStr">
        <is>
          <t>74, 576, 83, 585</t>
        </is>
      </c>
      <c r="J32" s="5" t="inlineStr">
        <is>
          <t>question</t>
        </is>
      </c>
      <c r="K32" s="5" t="inlineStr">
        <is>
          <t>B7</t>
        </is>
      </c>
      <c r="L32" s="5" t="inlineStr">
        <is>
          <t>check if B7.citizen == "Y"</t>
        </is>
      </c>
      <c r="M32" s="5" t="inlineStr"/>
      <c r="N32" s="5" t="inlineStr"/>
      <c r="O32" s="5" t="inlineStr"/>
    </row>
    <row r="33">
      <c r="A33" s="5" t="n">
        <v>32</v>
      </c>
      <c r="B33" s="5" t="n">
        <v>1</v>
      </c>
      <c r="C33" s="5" t="inlineStr">
        <is>
          <t>3g</t>
        </is>
      </c>
      <c r="D33" s="5" t="inlineStr">
        <is>
          <t>list country or countries</t>
        </is>
      </c>
      <c r="E33" s="5" t="inlineStr">
        <is>
          <t>DV-108[0].Page1[0].List3[0].Li7[0].TextField[0]</t>
        </is>
      </c>
      <c r="F33" s="5" t="inlineStr">
        <is>
          <t>text</t>
        </is>
      </c>
      <c r="G33" s="5" t="inlineStr"/>
      <c r="H33" s="5" t="inlineStr"/>
      <c r="I33" s="5" t="inlineStr">
        <is>
          <t>342, 574, 571, 587</t>
        </is>
      </c>
      <c r="J33" s="5" t="inlineStr">
        <is>
          <t>question</t>
        </is>
      </c>
      <c r="K33" s="5" t="inlineStr">
        <is>
          <t>B7</t>
        </is>
      </c>
      <c r="L33" s="5">
        <f> B7.countries</f>
        <v/>
      </c>
      <c r="M33" s="5" t="inlineStr">
        <is>
          <t>B7.citizen == "Y"</t>
        </is>
      </c>
      <c r="N33" s="5" t="inlineStr"/>
      <c r="O33" s="5" t="inlineStr"/>
    </row>
    <row r="34">
      <c r="A34" s="5" t="n">
        <v>33</v>
      </c>
      <c r="B34" s="5" t="n">
        <v>1</v>
      </c>
      <c r="C34" s="5" t="inlineStr">
        <is>
          <t>3g</t>
        </is>
      </c>
      <c r="D34" s="5" t="inlineStr">
        <is>
          <t>Yes</t>
        </is>
      </c>
      <c r="E34" s="5" t="inlineStr">
        <is>
          <t>DV-108[0].Page1[0].List3[0].Li7[0].ChoiceItem3g[0]</t>
        </is>
      </c>
      <c r="F34" s="5" t="inlineStr">
        <is>
          <t>checkbox</t>
        </is>
      </c>
      <c r="G34" s="5" t="inlineStr">
        <is>
          <t>1</t>
        </is>
      </c>
      <c r="H34" s="5" t="inlineStr"/>
      <c r="I34" s="5" t="inlineStr">
        <is>
          <t>468, 594, 477, 603</t>
        </is>
      </c>
      <c r="J34" s="5" t="inlineStr">
        <is>
          <t>question</t>
        </is>
      </c>
      <c r="K34" s="5" t="inlineStr">
        <is>
          <t>B7</t>
        </is>
      </c>
      <c r="L34" s="5" t="inlineStr">
        <is>
          <t>check if B7.strongTies == "Y"</t>
        </is>
      </c>
      <c r="M34" s="5" t="inlineStr">
        <is>
          <t>B7.citizen == "Y"</t>
        </is>
      </c>
      <c r="N34" s="5" t="inlineStr">
        <is>
          <t>Strong ties to that country? Yes export 1, No export 12.</t>
        </is>
      </c>
      <c r="O34" s="5" t="inlineStr"/>
    </row>
    <row r="35">
      <c r="A35" s="5" t="n">
        <v>34</v>
      </c>
      <c r="B35" s="5" t="n">
        <v>1</v>
      </c>
      <c r="C35" s="5" t="inlineStr">
        <is>
          <t>3g</t>
        </is>
      </c>
      <c r="D35" s="5" t="inlineStr">
        <is>
          <t>No</t>
        </is>
      </c>
      <c r="E35" s="5" t="inlineStr">
        <is>
          <t>DV-108[0].Page1[0].List3[0].Li7[0].ChoiceItem3g[1]</t>
        </is>
      </c>
      <c r="F35" s="5" t="inlineStr">
        <is>
          <t>checkbox</t>
        </is>
      </c>
      <c r="G35" s="5" t="inlineStr">
        <is>
          <t>12</t>
        </is>
      </c>
      <c r="H35" s="5" t="inlineStr"/>
      <c r="I35" s="5" t="inlineStr">
        <is>
          <t>514, 594, 523, 603</t>
        </is>
      </c>
      <c r="J35" s="5" t="inlineStr">
        <is>
          <t>question</t>
        </is>
      </c>
      <c r="K35" s="5" t="inlineStr">
        <is>
          <t>B7</t>
        </is>
      </c>
      <c r="L35" s="5" t="inlineStr">
        <is>
          <t>check if B7.strongTies == "N"</t>
        </is>
      </c>
      <c r="M35" s="5" t="inlineStr">
        <is>
          <t>B7.citizen == "Y"</t>
        </is>
      </c>
      <c r="N35" s="5" t="inlineStr"/>
      <c r="O35" s="5" t="inlineStr"/>
    </row>
    <row r="36">
      <c r="A36" s="5" t="n">
        <v>35</v>
      </c>
      <c r="B36" s="5" t="n">
        <v>1</v>
      </c>
      <c r="C36" s="5" t="inlineStr">
        <is>
          <t>3</t>
        </is>
      </c>
      <c r="D36" s="5" t="inlineStr">
        <is>
          <t>Give examples or reasons for your answers above:</t>
        </is>
      </c>
      <c r="E36" s="5" t="inlineStr">
        <is>
          <t>DV-108[0].Page1[0].List3[0].Li7[0].item26d_tf[0]</t>
        </is>
      </c>
      <c r="F36" s="5" t="inlineStr">
        <is>
          <t>text</t>
        </is>
      </c>
      <c r="G36" s="5" t="inlineStr"/>
      <c r="H36" s="5" t="inlineStr"/>
      <c r="I36" s="5" t="inlineStr">
        <is>
          <t>62, 625, 576, 681</t>
        </is>
      </c>
      <c r="J36" s="5" t="inlineStr">
        <is>
          <t>question</t>
        </is>
      </c>
      <c r="K36" s="5" t="inlineStr">
        <is>
          <t>B8</t>
        </is>
      </c>
      <c r="L36" s="5">
        <f> fit(B8)</f>
        <v/>
      </c>
      <c r="M36" s="5" t="inlineStr"/>
      <c r="N36" s="5" t="inlineStr"/>
      <c r="O36" s="5" t="inlineStr"/>
    </row>
    <row r="37">
      <c r="A37" s="7" t="n">
        <v>36</v>
      </c>
      <c r="B37" s="7" t="n">
        <v>2</v>
      </c>
      <c r="C37" s="7" t="inlineStr">
        <is>
          <t>—</t>
        </is>
      </c>
      <c r="D37" s="7" t="inlineStr">
        <is>
          <t>For your protection and privacy, please press the Clear This Form button after you have printed the form.</t>
        </is>
      </c>
      <c r="E37" s="7" t="inlineStr">
        <is>
          <t>DV-108[0].#pageSet[0].MP2[0].FooterSub[0].Footer[0].#area[0].Warning[0]</t>
        </is>
      </c>
      <c r="F37" s="7" t="inlineStr">
        <is>
          <t>button</t>
        </is>
      </c>
      <c r="G37" s="7" t="inlineStr"/>
      <c r="H37" s="7" t="inlineStr"/>
      <c r="I37" s="7" t="inlineStr">
        <is>
          <t>35, 751, 247, 775</t>
        </is>
      </c>
      <c r="J37" s="7" t="inlineStr">
        <is>
          <t>ignore (UI button)</t>
        </is>
      </c>
      <c r="K37" s="7" t="inlineStr"/>
      <c r="L37" s="7" t="inlineStr"/>
      <c r="M37" s="7" t="inlineStr"/>
      <c r="N37" s="7" t="inlineStr">
        <is>
          <t>Print/Save/Clear button. Do not fill.</t>
        </is>
      </c>
      <c r="O37" s="7" t="inlineStr"/>
    </row>
    <row r="38">
      <c r="A38" s="7" t="n">
        <v>37</v>
      </c>
      <c r="B38" s="7" t="n">
        <v>2</v>
      </c>
      <c r="C38" s="7" t="inlineStr">
        <is>
          <t>—</t>
        </is>
      </c>
      <c r="D38" s="7" t="inlineStr">
        <is>
          <t>Print this form</t>
        </is>
      </c>
      <c r="E38" s="7" t="inlineStr">
        <is>
          <t>DV-108[0].#pageSet[0].MP2[0].FooterSub[0].Footer[0].#area[0].Print[0]</t>
        </is>
      </c>
      <c r="F38" s="7" t="inlineStr">
        <is>
          <t>button</t>
        </is>
      </c>
      <c r="G38" s="7" t="inlineStr"/>
      <c r="H38" s="7" t="inlineStr"/>
      <c r="I38" s="7" t="inlineStr">
        <is>
          <t>258, 758, 339, 775</t>
        </is>
      </c>
      <c r="J38" s="7" t="inlineStr">
        <is>
          <t>ignore (UI button)</t>
        </is>
      </c>
      <c r="K38" s="7" t="inlineStr"/>
      <c r="L38" s="7" t="inlineStr"/>
      <c r="M38" s="7" t="inlineStr"/>
      <c r="N38" s="7" t="inlineStr">
        <is>
          <t>Print/Save/Clear button. Do not fill.</t>
        </is>
      </c>
      <c r="O38" s="7" t="inlineStr"/>
    </row>
    <row r="39">
      <c r="A39" s="7" t="n">
        <v>38</v>
      </c>
      <c r="B39" s="7" t="n">
        <v>2</v>
      </c>
      <c r="C39" s="7" t="inlineStr">
        <is>
          <t>—</t>
        </is>
      </c>
      <c r="D39" s="7" t="inlineStr">
        <is>
          <t>Save this form</t>
        </is>
      </c>
      <c r="E39" s="7" t="inlineStr">
        <is>
          <t>DV-108[0].#pageSet[0].MP2[0].FooterSub[0].Footer[0].#area[0].Save[0]</t>
        </is>
      </c>
      <c r="F39" s="7" t="inlineStr">
        <is>
          <t>button</t>
        </is>
      </c>
      <c r="G39" s="7" t="inlineStr"/>
      <c r="H39" s="7" t="inlineStr"/>
      <c r="I39" s="7" t="inlineStr">
        <is>
          <t>345, 758, 426, 775</t>
        </is>
      </c>
      <c r="J39" s="7" t="inlineStr">
        <is>
          <t>ignore (UI button)</t>
        </is>
      </c>
      <c r="K39" s="7" t="inlineStr"/>
      <c r="L39" s="7" t="inlineStr"/>
      <c r="M39" s="7" t="inlineStr"/>
      <c r="N39" s="7" t="inlineStr">
        <is>
          <t>Print/Save/Clear button. Do not fill.</t>
        </is>
      </c>
      <c r="O39" s="7" t="inlineStr"/>
    </row>
    <row r="40">
      <c r="A40" s="7" t="n">
        <v>39</v>
      </c>
      <c r="B40" s="7" t="n">
        <v>2</v>
      </c>
      <c r="C40" s="7" t="inlineStr">
        <is>
          <t>—</t>
        </is>
      </c>
      <c r="D40" s="7" t="inlineStr">
        <is>
          <t>Clear this form</t>
        </is>
      </c>
      <c r="E40" s="7" t="inlineStr">
        <is>
          <t>DV-108[0].#pageSet[0].MP2[0].FooterSub[0].Footer[0].#area[0].Reset[0]</t>
        </is>
      </c>
      <c r="F40" s="7" t="inlineStr">
        <is>
          <t>button</t>
        </is>
      </c>
      <c r="G40" s="7" t="inlineStr"/>
      <c r="H40" s="7" t="inlineStr"/>
      <c r="I40" s="7" t="inlineStr">
        <is>
          <t>494, 758, 575, 775</t>
        </is>
      </c>
      <c r="J40" s="7" t="inlineStr">
        <is>
          <t>ignore (UI button)</t>
        </is>
      </c>
      <c r="K40" s="7" t="inlineStr"/>
      <c r="L40" s="7" t="inlineStr"/>
      <c r="M40" s="7" t="inlineStr"/>
      <c r="N40" s="7" t="inlineStr">
        <is>
          <t>Print/Save/Clear button. Do not fill.</t>
        </is>
      </c>
      <c r="O40" s="7" t="inlineStr"/>
    </row>
    <row r="41">
      <c r="A41" s="5" t="n">
        <v>40</v>
      </c>
      <c r="B41" s="5" t="n">
        <v>2</v>
      </c>
      <c r="C41" s="5" t="inlineStr">
        <is>
          <t>Caption</t>
        </is>
      </c>
      <c r="D41" s="5" t="inlineStr">
        <is>
          <t>Case Number:</t>
        </is>
      </c>
      <c r="E41" s="5" t="inlineStr">
        <is>
          <t>DV-108[0].Page2[0].CaptionSub[0].PxCaption[0].CaseNumber[0]</t>
        </is>
      </c>
      <c r="F41" s="5" t="inlineStr">
        <is>
          <t>text</t>
        </is>
      </c>
      <c r="G41" s="5" t="inlineStr"/>
      <c r="H41" s="5" t="inlineStr"/>
      <c r="I41" s="5" t="inlineStr">
        <is>
          <t>399, 49, 572, 64</t>
        </is>
      </c>
      <c r="J41" s="5" t="inlineStr">
        <is>
          <t>question</t>
        </is>
      </c>
      <c r="K41" s="5" t="inlineStr">
        <is>
          <t>S3,S4</t>
        </is>
      </c>
      <c r="L41" s="5">
        <f> S4</f>
        <v/>
      </c>
      <c r="M41" s="5" t="inlineStr">
        <is>
          <t>S3 == "update"; otherwise blank for clerk</t>
        </is>
      </c>
      <c r="N41" s="5" t="inlineStr"/>
      <c r="O41" s="5" t="inlineStr"/>
    </row>
    <row r="42">
      <c r="A42" s="5" t="n">
        <v>41</v>
      </c>
      <c r="B42" s="5" t="n">
        <v>2</v>
      </c>
      <c r="C42" s="5" t="inlineStr">
        <is>
          <t>4</t>
        </is>
      </c>
      <c r="D42" s="5" t="inlineStr">
        <is>
          <t>Do Not Move With Children Without Permission</t>
        </is>
      </c>
      <c r="E42" s="5" t="inlineStr">
        <is>
          <t>DV-108[0].Page2[0].List4[0].Li1[0].CheckBoxRightCaption[0]</t>
        </is>
      </c>
      <c r="F42" s="5" t="inlineStr">
        <is>
          <t>checkbox</t>
        </is>
      </c>
      <c r="G42" s="5" t="inlineStr">
        <is>
          <t>1</t>
        </is>
      </c>
      <c r="H42" s="5" t="inlineStr"/>
      <c r="I42" s="5" t="inlineStr">
        <is>
          <t>62, 156, 71, 165</t>
        </is>
      </c>
      <c r="J42" s="5" t="inlineStr">
        <is>
          <t>question</t>
        </is>
      </c>
      <c r="K42" s="5" t="inlineStr">
        <is>
          <t>B9</t>
        </is>
      </c>
      <c r="L42" s="5" t="inlineStr">
        <is>
          <t>check if B9 has "no move without permission"</t>
        </is>
      </c>
      <c r="M42" s="5" t="inlineStr"/>
      <c r="N42" s="5" t="inlineStr"/>
      <c r="O42" s="5" t="inlineStr"/>
    </row>
    <row r="43">
      <c r="A43" s="5" t="n">
        <v>42</v>
      </c>
      <c r="B43" s="5" t="n">
        <v>2</v>
      </c>
      <c r="C43" s="5" t="inlineStr">
        <is>
          <t>5</t>
        </is>
      </c>
      <c r="D43" s="5" t="inlineStr">
        <is>
          <t>Turn In and Do Not Apply for Passports or Other Important Documents</t>
        </is>
      </c>
      <c r="E43" s="5" t="inlineStr">
        <is>
          <t>DV-108[0].Page2[0].List5[0].Li1[0].CheckBoxRightCaption[0]</t>
        </is>
      </c>
      <c r="F43" s="5" t="inlineStr">
        <is>
          <t>checkbox</t>
        </is>
      </c>
      <c r="G43" s="5" t="inlineStr">
        <is>
          <t>1</t>
        </is>
      </c>
      <c r="H43" s="5" t="inlineStr"/>
      <c r="I43" s="5" t="inlineStr">
        <is>
          <t>62, 219, 71, 228</t>
        </is>
      </c>
      <c r="J43" s="5" t="inlineStr">
        <is>
          <t>question</t>
        </is>
      </c>
      <c r="K43" s="5" t="inlineStr">
        <is>
          <t>B9</t>
        </is>
      </c>
      <c r="L43" s="5" t="inlineStr">
        <is>
          <t>check if B9 has "surrender documents"</t>
        </is>
      </c>
      <c r="M43" s="5" t="inlineStr"/>
      <c r="N43" s="5" t="inlineStr"/>
      <c r="O43" s="5" t="inlineStr"/>
    </row>
    <row r="44">
      <c r="A44" s="5" t="n">
        <v>43</v>
      </c>
      <c r="B44" s="5" t="n">
        <v>2</v>
      </c>
      <c r="C44" s="5" t="inlineStr">
        <is>
          <t>5</t>
        </is>
      </c>
      <c r="D44" s="5" t="inlineStr">
        <is>
          <t>list documents</t>
        </is>
      </c>
      <c r="E44" s="5" t="inlineStr">
        <is>
          <t>DV-108[0].Page2[0].List5[0].Li1[0].TextField[0]</t>
        </is>
      </c>
      <c r="F44" s="5" t="inlineStr">
        <is>
          <t>text</t>
        </is>
      </c>
      <c r="G44" s="5" t="inlineStr"/>
      <c r="H44" s="5" t="inlineStr"/>
      <c r="I44" s="5" t="inlineStr">
        <is>
          <t>378, 245, 576, 260</t>
        </is>
      </c>
      <c r="J44" s="5" t="inlineStr">
        <is>
          <t>question</t>
        </is>
      </c>
      <c r="K44" s="5" t="inlineStr">
        <is>
          <t>B10</t>
        </is>
      </c>
      <c r="L44" s="5">
        <f> B10.documents</f>
        <v/>
      </c>
      <c r="M44" s="5" t="inlineStr">
        <is>
          <t>B9 has "surrender documents"</t>
        </is>
      </c>
      <c r="N44" s="5" t="inlineStr"/>
      <c r="O44" s="5" t="inlineStr"/>
    </row>
    <row r="45">
      <c r="A45" s="5" t="n">
        <v>44</v>
      </c>
      <c r="B45" s="5" t="n">
        <v>2</v>
      </c>
      <c r="C45" s="5" t="inlineStr">
        <is>
          <t>5</t>
        </is>
      </c>
      <c r="D45" s="5" t="inlineStr">
        <is>
          <t>by (date):</t>
        </is>
      </c>
      <c r="E45" s="5" t="inlineStr">
        <is>
          <t>DV-108[0].Page2[0].List5[0].Li1[0].tf1[0]</t>
        </is>
      </c>
      <c r="F45" s="5" t="inlineStr">
        <is>
          <t>text</t>
        </is>
      </c>
      <c r="G45" s="5" t="inlineStr"/>
      <c r="H45" s="5" t="inlineStr"/>
      <c r="I45" s="5" t="inlineStr">
        <is>
          <t>114, 265, 219, 280</t>
        </is>
      </c>
      <c r="J45" s="5" t="inlineStr">
        <is>
          <t>question</t>
        </is>
      </c>
      <c r="K45" s="5" t="inlineStr">
        <is>
          <t>B10</t>
        </is>
      </c>
      <c r="L45" s="5">
        <f> fmtDate(B10.date)</f>
        <v/>
      </c>
      <c r="M45" s="5" t="inlineStr">
        <is>
          <t>B9 has "surrender documents"</t>
        </is>
      </c>
      <c r="N45" s="5" t="inlineStr"/>
      <c r="O45" s="5" t="inlineStr"/>
    </row>
    <row r="46">
      <c r="A46" s="5" t="n">
        <v>45</v>
      </c>
      <c r="B46" s="5" t="n">
        <v>2</v>
      </c>
      <c r="C46" s="5" t="inlineStr">
        <is>
          <t>5</t>
        </is>
      </c>
      <c r="D46" s="5" t="inlineStr">
        <is>
          <t>to (name of person to give documents to):</t>
        </is>
      </c>
      <c r="E46" s="5" t="inlineStr">
        <is>
          <t>DV-108[0].Page2[0].List5[0].Li1[0].TextField1[0]</t>
        </is>
      </c>
      <c r="F46" s="5" t="inlineStr">
        <is>
          <t>text</t>
        </is>
      </c>
      <c r="G46" s="5" t="inlineStr"/>
      <c r="H46" s="5" t="inlineStr"/>
      <c r="I46" s="5" t="inlineStr">
        <is>
          <t>408, 265, 574, 280</t>
        </is>
      </c>
      <c r="J46" s="5" t="inlineStr">
        <is>
          <t>question</t>
        </is>
      </c>
      <c r="K46" s="5" t="inlineStr">
        <is>
          <t>B10</t>
        </is>
      </c>
      <c r="L46" s="5">
        <f> B10.giveTo</f>
        <v/>
      </c>
      <c r="M46" s="5" t="inlineStr">
        <is>
          <t>B9 has "surrender documents"</t>
        </is>
      </c>
      <c r="N46" s="5" t="inlineStr"/>
      <c r="O46" s="5" t="inlineStr"/>
    </row>
    <row r="47">
      <c r="A47" s="5" t="n">
        <v>46</v>
      </c>
      <c r="B47" s="5" t="n">
        <v>2</v>
      </c>
      <c r="C47" s="5" t="inlineStr">
        <is>
          <t>6</t>
        </is>
      </c>
      <c r="D47" s="5" t="inlineStr">
        <is>
          <t>Provide Travel Plan and Documents</t>
        </is>
      </c>
      <c r="E47" s="5" t="inlineStr">
        <is>
          <t>DV-108[0].Page2[0].List6[0].Li1[0].CheckBoxRightCaption[0]</t>
        </is>
      </c>
      <c r="F47" s="5" t="inlineStr">
        <is>
          <t>checkbox</t>
        </is>
      </c>
      <c r="G47" s="5" t="inlineStr">
        <is>
          <t>1</t>
        </is>
      </c>
      <c r="H47" s="5" t="inlineStr"/>
      <c r="I47" s="5" t="inlineStr">
        <is>
          <t>62, 300, 71, 309</t>
        </is>
      </c>
      <c r="J47" s="5" t="inlineStr">
        <is>
          <t>question</t>
        </is>
      </c>
      <c r="K47" s="5" t="inlineStr">
        <is>
          <t>B9</t>
        </is>
      </c>
      <c r="L47" s="5" t="inlineStr">
        <is>
          <t>check if B9 has "travel plan"</t>
        </is>
      </c>
      <c r="M47" s="5" t="inlineStr"/>
      <c r="N47" s="5" t="inlineStr"/>
      <c r="O47" s="5" t="inlineStr"/>
    </row>
    <row r="48">
      <c r="A48" s="5" t="n">
        <v>47</v>
      </c>
      <c r="B48" s="5" t="n">
        <v>2</v>
      </c>
      <c r="C48" s="5" t="inlineStr">
        <is>
          <t>6</t>
        </is>
      </c>
      <c r="D48" s="5" t="inlineStr">
        <is>
          <t>Children's travel schedule</t>
        </is>
      </c>
      <c r="E48" s="5" t="inlineStr">
        <is>
          <t>DV-108[0].Page2[0].List6[0].Li1[0].CheckBoxRightCaption1[0]</t>
        </is>
      </c>
      <c r="F48" s="5" t="inlineStr">
        <is>
          <t>checkbox</t>
        </is>
      </c>
      <c r="G48" s="5" t="inlineStr">
        <is>
          <t>1</t>
        </is>
      </c>
      <c r="H48" s="5" t="inlineStr"/>
      <c r="I48" s="5" t="inlineStr">
        <is>
          <t>64, 346, 73, 355</t>
        </is>
      </c>
      <c r="J48" s="5" t="inlineStr">
        <is>
          <t>question</t>
        </is>
      </c>
      <c r="K48" s="5" t="inlineStr">
        <is>
          <t>B11</t>
        </is>
      </c>
      <c r="L48" s="5" t="inlineStr">
        <is>
          <t>check if B11 has "schedule"</t>
        </is>
      </c>
      <c r="M48" s="5" t="inlineStr">
        <is>
          <t>B9 has "travel plan"</t>
        </is>
      </c>
      <c r="N48" s="5" t="inlineStr"/>
      <c r="O48" s="5" t="inlineStr"/>
    </row>
    <row r="49">
      <c r="A49" s="5" t="n">
        <v>48</v>
      </c>
      <c r="B49" s="5" t="n">
        <v>2</v>
      </c>
      <c r="C49" s="5" t="inlineStr">
        <is>
          <t>6</t>
        </is>
      </c>
      <c r="D49" s="5" t="inlineStr">
        <is>
          <t>Copies of round-trip airline tickets</t>
        </is>
      </c>
      <c r="E49" s="5" t="inlineStr">
        <is>
          <t>DV-108[0].Page2[0].List6[0].Li1[0].CheckBoxRightCaption2[0]</t>
        </is>
      </c>
      <c r="F49" s="5" t="inlineStr">
        <is>
          <t>checkbox</t>
        </is>
      </c>
      <c r="G49" s="5" t="inlineStr">
        <is>
          <t>1</t>
        </is>
      </c>
      <c r="H49" s="5" t="inlineStr"/>
      <c r="I49" s="5" t="inlineStr">
        <is>
          <t>64, 360, 73, 369</t>
        </is>
      </c>
      <c r="J49" s="5" t="inlineStr">
        <is>
          <t>question</t>
        </is>
      </c>
      <c r="K49" s="5" t="inlineStr">
        <is>
          <t>B11</t>
        </is>
      </c>
      <c r="L49" s="5" t="inlineStr">
        <is>
          <t>check if B11 has "round-trip tickets"</t>
        </is>
      </c>
      <c r="M49" s="5" t="inlineStr">
        <is>
          <t>B9 has "travel plan"</t>
        </is>
      </c>
      <c r="N49" s="5" t="inlineStr"/>
      <c r="O49" s="5" t="inlineStr"/>
    </row>
    <row r="50">
      <c r="A50" s="5" t="n">
        <v>49</v>
      </c>
      <c r="B50" s="5" t="n">
        <v>2</v>
      </c>
      <c r="C50" s="5" t="inlineStr">
        <is>
          <t>6</t>
        </is>
      </c>
      <c r="D50" s="5" t="inlineStr">
        <is>
          <t>Addresses and telephone numbers where the children can be reached</t>
        </is>
      </c>
      <c r="E50" s="5" t="inlineStr">
        <is>
          <t>DV-108[0].Page2[0].List6[0].Li1[0].CheckBoxRightCaption3[0]</t>
        </is>
      </c>
      <c r="F50" s="5" t="inlineStr">
        <is>
          <t>checkbox</t>
        </is>
      </c>
      <c r="G50" s="5" t="inlineStr">
        <is>
          <t>1</t>
        </is>
      </c>
      <c r="H50" s="5" t="inlineStr"/>
      <c r="I50" s="5" t="inlineStr">
        <is>
          <t>64, 374, 73, 383</t>
        </is>
      </c>
      <c r="J50" s="5" t="inlineStr">
        <is>
          <t>question</t>
        </is>
      </c>
      <c r="K50" s="5" t="inlineStr">
        <is>
          <t>B11</t>
        </is>
      </c>
      <c r="L50" s="5" t="inlineStr">
        <is>
          <t>check if B11 has "addresses and phones"</t>
        </is>
      </c>
      <c r="M50" s="5" t="inlineStr">
        <is>
          <t>B9 has "travel plan"</t>
        </is>
      </c>
      <c r="N50" s="5" t="inlineStr"/>
      <c r="O50" s="5" t="inlineStr"/>
    </row>
    <row r="51">
      <c r="A51" s="5" t="n">
        <v>50</v>
      </c>
      <c r="B51" s="5" t="n">
        <v>2</v>
      </c>
      <c r="C51" s="5" t="inlineStr">
        <is>
          <t>6</t>
        </is>
      </c>
      <c r="D51" s="5" t="inlineStr">
        <is>
          <t>An open airline ticket for me in case the children are not returned.</t>
        </is>
      </c>
      <c r="E51" s="5" t="inlineStr">
        <is>
          <t>DV-108[0].Page2[0].List6[0].Li1[0].CheckBoxRightCaption4[0]</t>
        </is>
      </c>
      <c r="F51" s="5" t="inlineStr">
        <is>
          <t>checkbox</t>
        </is>
      </c>
      <c r="G51" s="5" t="inlineStr">
        <is>
          <t>1</t>
        </is>
      </c>
      <c r="H51" s="5" t="inlineStr"/>
      <c r="I51" s="5" t="inlineStr">
        <is>
          <t>64, 388, 73, 397</t>
        </is>
      </c>
      <c r="J51" s="5" t="inlineStr">
        <is>
          <t>question</t>
        </is>
      </c>
      <c r="K51" s="5" t="inlineStr">
        <is>
          <t>B11</t>
        </is>
      </c>
      <c r="L51" s="5" t="inlineStr">
        <is>
          <t>check if B11 has "open ticket for you"</t>
        </is>
      </c>
      <c r="M51" s="5" t="inlineStr">
        <is>
          <t>B9 has "travel plan"</t>
        </is>
      </c>
      <c r="N51" s="5" t="inlineStr"/>
      <c r="O51" s="5" t="inlineStr"/>
    </row>
    <row r="52">
      <c r="A52" s="5" t="n">
        <v>51</v>
      </c>
      <c r="B52" s="5" t="n">
        <v>2</v>
      </c>
      <c r="C52" s="5" t="inlineStr">
        <is>
          <t>6</t>
        </is>
      </c>
      <c r="D52" s="5" t="inlineStr">
        <is>
          <t>Other</t>
        </is>
      </c>
      <c r="E52" s="5" t="inlineStr">
        <is>
          <t>DV-108[0].Page2[0].List6[0].Li1[0].CheckBoxRightCaption5[0]</t>
        </is>
      </c>
      <c r="F52" s="5" t="inlineStr">
        <is>
          <t>checkbox</t>
        </is>
      </c>
      <c r="G52" s="5" t="inlineStr">
        <is>
          <t>1</t>
        </is>
      </c>
      <c r="H52" s="5" t="inlineStr"/>
      <c r="I52" s="5" t="inlineStr">
        <is>
          <t>64, 400, 73, 409</t>
        </is>
      </c>
      <c r="J52" s="5" t="inlineStr">
        <is>
          <t>question</t>
        </is>
      </c>
      <c r="K52" s="5" t="inlineStr">
        <is>
          <t>B11</t>
        </is>
      </c>
      <c r="L52" s="5" t="inlineStr">
        <is>
          <t>check if B11 has "other"</t>
        </is>
      </c>
      <c r="M52" s="5" t="inlineStr">
        <is>
          <t>B9 has "travel plan"</t>
        </is>
      </c>
      <c r="N52" s="5" t="inlineStr"/>
      <c r="O52" s="5" t="inlineStr"/>
    </row>
    <row r="53">
      <c r="A53" s="5" t="n">
        <v>52</v>
      </c>
      <c r="B53" s="5" t="n">
        <v>2</v>
      </c>
      <c r="C53" s="5" t="inlineStr">
        <is>
          <t>6</t>
        </is>
      </c>
      <c r="D53" s="5" t="inlineStr">
        <is>
          <t>(describe):</t>
        </is>
      </c>
      <c r="E53" s="5" t="inlineStr">
        <is>
          <t>DV-108[0].Page2[0].List6[0].Li1[0].TextField2[0]</t>
        </is>
      </c>
      <c r="F53" s="5" t="inlineStr">
        <is>
          <t>text</t>
        </is>
      </c>
      <c r="G53" s="5" t="inlineStr"/>
      <c r="H53" s="5" t="inlineStr"/>
      <c r="I53" s="5" t="inlineStr">
        <is>
          <t>159, 399, 574, 412</t>
        </is>
      </c>
      <c r="J53" s="5" t="inlineStr">
        <is>
          <t>question</t>
        </is>
      </c>
      <c r="K53" s="5" t="inlineStr">
        <is>
          <t>B11</t>
        </is>
      </c>
      <c r="L53" s="5">
        <f> B11.otherText</f>
        <v/>
      </c>
      <c r="M53" s="5" t="inlineStr">
        <is>
          <t>B11 has "other"</t>
        </is>
      </c>
      <c r="N53" s="5" t="inlineStr"/>
      <c r="O53" s="5" t="inlineStr"/>
    </row>
    <row r="54">
      <c r="A54" s="5" t="n">
        <v>53</v>
      </c>
      <c r="B54" s="5" t="n">
        <v>2</v>
      </c>
      <c r="C54" s="5" t="inlineStr">
        <is>
          <t>7</t>
        </is>
      </c>
      <c r="D54" s="5" t="inlineStr">
        <is>
          <t>Notify Other State of Travel Restrictions</t>
        </is>
      </c>
      <c r="E54" s="5" t="inlineStr">
        <is>
          <t>DV-108[0].Page2[0].List7[0].Li1[0].CheckBoxRightCaption[0]</t>
        </is>
      </c>
      <c r="F54" s="5" t="inlineStr">
        <is>
          <t>checkbox</t>
        </is>
      </c>
      <c r="G54" s="5" t="inlineStr">
        <is>
          <t>1</t>
        </is>
      </c>
      <c r="H54" s="5" t="inlineStr"/>
      <c r="I54" s="5" t="inlineStr">
        <is>
          <t>62, 432, 71, 441</t>
        </is>
      </c>
      <c r="J54" s="5" t="inlineStr">
        <is>
          <t>question</t>
        </is>
      </c>
      <c r="K54" s="5" t="inlineStr">
        <is>
          <t>B9</t>
        </is>
      </c>
      <c r="L54" s="5" t="inlineStr">
        <is>
          <t>check if B9 has "register in another state"</t>
        </is>
      </c>
      <c r="M54" s="5" t="inlineStr"/>
      <c r="N54" s="5" t="inlineStr"/>
      <c r="O54" s="5" t="inlineStr"/>
    </row>
    <row r="55">
      <c r="A55" s="5" t="n">
        <v>54</v>
      </c>
      <c r="B55" s="5" t="n">
        <v>2</v>
      </c>
      <c r="C55" s="5" t="inlineStr">
        <is>
          <t>7</t>
        </is>
      </c>
      <c r="D55" s="5" t="inlineStr">
        <is>
          <t>list county and state</t>
        </is>
      </c>
      <c r="E55" s="5" t="inlineStr">
        <is>
          <t>DV-108[0].Page2[0].List7[0].Li1[0].TextField[0]</t>
        </is>
      </c>
      <c r="F55" s="5" t="inlineStr">
        <is>
          <t>text</t>
        </is>
      </c>
      <c r="G55" s="5" t="inlineStr"/>
      <c r="H55" s="5" t="inlineStr"/>
      <c r="I55" s="5" t="inlineStr">
        <is>
          <t>163, 461, 341, 476</t>
        </is>
      </c>
      <c r="J55" s="5" t="inlineStr">
        <is>
          <t>question</t>
        </is>
      </c>
      <c r="K55" s="5" t="inlineStr">
        <is>
          <t>B12</t>
        </is>
      </c>
      <c r="L55" s="5">
        <f> B12</f>
        <v/>
      </c>
      <c r="M55" s="5" t="inlineStr">
        <is>
          <t>B9 has "register in another state"</t>
        </is>
      </c>
      <c r="N55" s="5" t="inlineStr"/>
      <c r="O55" s="5" t="inlineStr"/>
    </row>
    <row r="56">
      <c r="A56" s="5" t="n">
        <v>55</v>
      </c>
      <c r="B56" s="5" t="n">
        <v>2</v>
      </c>
      <c r="C56" s="5" t="inlineStr">
        <is>
          <t>8</t>
        </is>
      </c>
      <c r="D56" s="5" t="inlineStr">
        <is>
          <t>Notify Foreign Embassy or Consulate of Passport Restrictions</t>
        </is>
      </c>
      <c r="E56" s="5" t="inlineStr">
        <is>
          <t>DV-108[0].Page2[0].List8[0].Li1[0].CheckBoxRightCaption[0]</t>
        </is>
      </c>
      <c r="F56" s="5" t="inlineStr">
        <is>
          <t>checkbox</t>
        </is>
      </c>
      <c r="G56" s="5" t="inlineStr">
        <is>
          <t>1</t>
        </is>
      </c>
      <c r="H56" s="5" t="inlineStr"/>
      <c r="I56" s="5" t="inlineStr">
        <is>
          <t>63, 495, 72, 504</t>
        </is>
      </c>
      <c r="J56" s="5" t="inlineStr">
        <is>
          <t>question</t>
        </is>
      </c>
      <c r="K56" s="5" t="inlineStr">
        <is>
          <t>B9</t>
        </is>
      </c>
      <c r="L56" s="5" t="inlineStr">
        <is>
          <t>check if B9 has "notify embassy"</t>
        </is>
      </c>
      <c r="M56" s="5" t="inlineStr"/>
      <c r="N56" s="5" t="inlineStr"/>
      <c r="O56" s="5" t="inlineStr"/>
    </row>
    <row r="57">
      <c r="A57" s="5" t="n">
        <v>56</v>
      </c>
      <c r="B57" s="5" t="n">
        <v>2</v>
      </c>
      <c r="C57" s="5" t="inlineStr">
        <is>
          <t>8</t>
        </is>
      </c>
      <c r="D57" s="5" t="inlineStr">
        <is>
          <t>(name of embassy or consulate</t>
        </is>
      </c>
      <c r="E57" s="5" t="inlineStr">
        <is>
          <t>DV-108[0].Page2[0].List8[0].Li1[0].DateField1[0]</t>
        </is>
      </c>
      <c r="F57" s="5" t="inlineStr">
        <is>
          <t>text</t>
        </is>
      </c>
      <c r="G57" s="5" t="inlineStr"/>
      <c r="H57" s="5" t="inlineStr"/>
      <c r="I57" s="5" t="inlineStr">
        <is>
          <t>432, 510, 573, 526</t>
        </is>
      </c>
      <c r="J57" s="5" t="inlineStr">
        <is>
          <t>question</t>
        </is>
      </c>
      <c r="K57" s="5" t="inlineStr">
        <is>
          <t>B13</t>
        </is>
      </c>
      <c r="L57" s="5">
        <f> B13.embassy</f>
        <v/>
      </c>
      <c r="M57" s="5" t="inlineStr">
        <is>
          <t>B9 has "notify embassy"</t>
        </is>
      </c>
      <c r="N57" s="5" t="inlineStr">
        <is>
          <t>Field names are swapped: "DateField1" holds the embassy name.</t>
        </is>
      </c>
      <c r="O57" s="5" t="inlineStr"/>
    </row>
    <row r="58">
      <c r="A58" s="5" t="n">
        <v>57</v>
      </c>
      <c r="B58" s="5" t="n">
        <v>2</v>
      </c>
      <c r="C58" s="5" t="inlineStr">
        <is>
          <t>8</t>
        </is>
      </c>
      <c r="D58" s="5" t="inlineStr">
        <is>
          <t>date</t>
        </is>
      </c>
      <c r="E58" s="5" t="inlineStr">
        <is>
          <t>DV-108[0].Page2[0].List8[0].Li1[0].TextField2[0]</t>
        </is>
      </c>
      <c r="F58" s="5" t="inlineStr">
        <is>
          <t>text</t>
        </is>
      </c>
      <c r="G58" s="5" t="inlineStr"/>
      <c r="H58" s="5" t="inlineStr"/>
      <c r="I58" s="5" t="inlineStr">
        <is>
          <t>386, 526, 573, 541</t>
        </is>
      </c>
      <c r="J58" s="5" t="inlineStr">
        <is>
          <t>question</t>
        </is>
      </c>
      <c r="K58" s="5" t="inlineStr">
        <is>
          <t>B13</t>
        </is>
      </c>
      <c r="L58" s="5">
        <f> fmtDate(B13.proofDate)</f>
        <v/>
      </c>
      <c r="M58" s="5" t="inlineStr">
        <is>
          <t>B9 has "notify embassy"</t>
        </is>
      </c>
      <c r="N58" s="5" t="inlineStr">
        <is>
          <t>"TextField2" holds the date.</t>
        </is>
      </c>
      <c r="O58" s="5" t="inlineStr"/>
    </row>
    <row r="59">
      <c r="A59" s="5" t="n">
        <v>58</v>
      </c>
      <c r="B59" s="5" t="n">
        <v>2</v>
      </c>
      <c r="C59" s="5" t="inlineStr">
        <is>
          <t>9</t>
        </is>
      </c>
      <c r="D59" s="5" t="inlineStr">
        <is>
          <t>Foreign Custody and Visitation Order</t>
        </is>
      </c>
      <c r="E59" s="5" t="inlineStr">
        <is>
          <t>DV-108[0].Page2[0].List9[0].L1[0].CheckBoxRightCaption[0]</t>
        </is>
      </c>
      <c r="F59" s="5" t="inlineStr">
        <is>
          <t>checkbox</t>
        </is>
      </c>
      <c r="G59" s="5" t="inlineStr">
        <is>
          <t>1</t>
        </is>
      </c>
      <c r="H59" s="5" t="inlineStr"/>
      <c r="I59" s="5" t="inlineStr">
        <is>
          <t>63, 560, 72, 569</t>
        </is>
      </c>
      <c r="J59" s="5" t="inlineStr">
        <is>
          <t>question</t>
        </is>
      </c>
      <c r="K59" s="5" t="inlineStr">
        <is>
          <t>B9</t>
        </is>
      </c>
      <c r="L59" s="5" t="inlineStr">
        <is>
          <t>check if B9 has "foreign custody order"</t>
        </is>
      </c>
      <c r="M59" s="5" t="inlineStr"/>
      <c r="N59" s="5" t="inlineStr"/>
      <c r="O59" s="5" t="inlineStr"/>
    </row>
    <row r="60">
      <c r="A60" s="5" t="n">
        <v>59</v>
      </c>
      <c r="B60" s="5" t="n">
        <v>2</v>
      </c>
      <c r="C60" s="5" t="inlineStr">
        <is>
          <t>9</t>
        </is>
      </c>
      <c r="D60" s="5" t="inlineStr">
        <is>
          <t>list country</t>
        </is>
      </c>
      <c r="E60" s="5" t="inlineStr">
        <is>
          <t>DV-108[0].Page2[0].List9[0].L1[0].TextField[0]</t>
        </is>
      </c>
      <c r="F60" s="5" t="inlineStr">
        <is>
          <t>text</t>
        </is>
      </c>
      <c r="G60" s="5" t="inlineStr"/>
      <c r="H60" s="5" t="inlineStr"/>
      <c r="I60" s="5" t="inlineStr">
        <is>
          <t>256, 587, 511, 602</t>
        </is>
      </c>
      <c r="J60" s="5" t="inlineStr">
        <is>
          <t>question</t>
        </is>
      </c>
      <c r="K60" s="5" t="inlineStr">
        <is>
          <t>B14</t>
        </is>
      </c>
      <c r="L60" s="5">
        <f> B14</f>
        <v/>
      </c>
      <c r="M60" s="5" t="inlineStr">
        <is>
          <t>B9 has "foreign custody order"</t>
        </is>
      </c>
      <c r="N60" s="5" t="inlineStr"/>
      <c r="O60" s="5" t="inlineStr"/>
    </row>
    <row r="61">
      <c r="A61" s="5" t="n">
        <v>60</v>
      </c>
      <c r="B61" s="5" t="n">
        <v>2</v>
      </c>
      <c r="C61" s="5" t="inlineStr">
        <is>
          <t>10</t>
        </is>
      </c>
      <c r="D61" s="5" t="inlineStr">
        <is>
          <t>Post a Bond</t>
        </is>
      </c>
      <c r="E61" s="5" t="inlineStr">
        <is>
          <t>DV-108[0].Page2[0].List10[0].Li1[0].CheckBoxRightCaption[0]</t>
        </is>
      </c>
      <c r="F61" s="5" t="inlineStr">
        <is>
          <t>checkbox</t>
        </is>
      </c>
      <c r="G61" s="5" t="inlineStr">
        <is>
          <t>1</t>
        </is>
      </c>
      <c r="H61" s="5" t="inlineStr"/>
      <c r="I61" s="5" t="inlineStr">
        <is>
          <t>63, 636, 72, 645</t>
        </is>
      </c>
      <c r="J61" s="5" t="inlineStr">
        <is>
          <t>question</t>
        </is>
      </c>
      <c r="K61" s="5" t="inlineStr">
        <is>
          <t>B9</t>
        </is>
      </c>
      <c r="L61" s="5" t="inlineStr">
        <is>
          <t>check if B9 has "bond"</t>
        </is>
      </c>
      <c r="M61" s="5" t="inlineStr"/>
      <c r="N61" s="5" t="inlineStr"/>
      <c r="O61" s="5" t="inlineStr"/>
    </row>
    <row r="62">
      <c r="A62" s="5" t="n">
        <v>61</v>
      </c>
      <c r="B62" s="5" t="n">
        <v>2</v>
      </c>
      <c r="C62" s="5" t="inlineStr">
        <is>
          <t>10</t>
        </is>
      </c>
      <c r="D62" s="5" t="inlineStr">
        <is>
          <t>dollar amount</t>
        </is>
      </c>
      <c r="E62" s="5" t="inlineStr">
        <is>
          <t>DV-108[0].Page2[0].List10[0].Li1[0].TextField[0]</t>
        </is>
      </c>
      <c r="F62" s="5" t="inlineStr">
        <is>
          <t>text</t>
        </is>
      </c>
      <c r="G62" s="5" t="inlineStr"/>
      <c r="H62" s="5" t="inlineStr"/>
      <c r="I62" s="5" t="inlineStr">
        <is>
          <t>333, 651, 546, 666</t>
        </is>
      </c>
      <c r="J62" s="5" t="inlineStr">
        <is>
          <t>question</t>
        </is>
      </c>
      <c r="K62" s="5" t="inlineStr">
        <is>
          <t>B15</t>
        </is>
      </c>
      <c r="L62" s="5">
        <f> money(B15)</f>
        <v/>
      </c>
      <c r="M62" s="5" t="inlineStr">
        <is>
          <t>B9 has "bond"</t>
        </is>
      </c>
      <c r="N62" s="5" t="inlineStr">
        <is>
          <t>No "$" in the value.</t>
        </is>
      </c>
      <c r="O62" s="5" t="inlineStr"/>
    </row>
  </sheetData>
  <autoFilter ref="A1:O62"/>
  <dataValidations count="1">
    <dataValidation sqref="J2:J62" showDropDown="0" showInputMessage="0" showErrorMessage="0" allowBlank="1" type="list">
      <formula1>"question,derived,court/clerk,server,ignore (UI button)"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8"/>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7" t="n">
        <v>1</v>
      </c>
      <c r="B2" s="7" t="n">
        <v>1</v>
      </c>
      <c r="C2" s="7" t="inlineStr">
        <is>
          <t>—</t>
        </is>
      </c>
      <c r="D2" s="7" t="inlineStr">
        <is>
          <t>COURTS DOT CA DOT GOV</t>
        </is>
      </c>
      <c r="E2" s="7" t="inlineStr">
        <is>
          <t>DV-145[0].#pageSet[0].PageArea1[0].FooterSub[0].Footer[0].Button1[0]</t>
        </is>
      </c>
      <c r="F2" s="7" t="inlineStr">
        <is>
          <t>button</t>
        </is>
      </c>
      <c r="G2" s="7" t="inlineStr"/>
      <c r="H2" s="7" t="inlineStr"/>
      <c r="I2" s="7" t="inlineStr">
        <is>
          <t>115, 729, 166, 738</t>
        </is>
      </c>
      <c r="J2" s="7" t="inlineStr">
        <is>
          <t>ignore (UI button)</t>
        </is>
      </c>
      <c r="K2" s="7" t="inlineStr"/>
      <c r="L2" s="7" t="inlineStr"/>
      <c r="M2" s="7" t="inlineStr"/>
      <c r="N2" s="7" t="inlineStr">
        <is>
          <t>Print/Save/Clear button. Do not fill.</t>
        </is>
      </c>
      <c r="O2" s="7" t="inlineStr"/>
    </row>
    <row r="3">
      <c r="A3" s="5" t="n">
        <v>2</v>
      </c>
      <c r="B3" s="5" t="n">
        <v>1</v>
      </c>
      <c r="C3" s="5" t="inlineStr">
        <is>
          <t>Caption</t>
        </is>
      </c>
      <c r="D3" s="5" t="inlineStr">
        <is>
          <t>Case Number</t>
        </is>
      </c>
      <c r="E3" s="5" t="inlineStr">
        <is>
          <t>DV-145[0].Page1[0].RightCaption[0].CaseNumber[0]</t>
        </is>
      </c>
      <c r="F3" s="5" t="inlineStr">
        <is>
          <t>text</t>
        </is>
      </c>
      <c r="G3" s="5" t="inlineStr"/>
      <c r="H3" s="5" t="inlineStr"/>
      <c r="I3" s="5" t="inlineStr">
        <is>
          <t>399, 49, 573, 66</t>
        </is>
      </c>
      <c r="J3" s="5" t="inlineStr">
        <is>
          <t>question</t>
        </is>
      </c>
      <c r="K3" s="5" t="inlineStr">
        <is>
          <t>S3,S4</t>
        </is>
      </c>
      <c r="L3" s="5">
        <f> S4</f>
        <v/>
      </c>
      <c r="M3" s="5" t="inlineStr">
        <is>
          <t>S3 == "update"; otherwise blank for clerk</t>
        </is>
      </c>
      <c r="N3" s="5" t="inlineStr"/>
      <c r="O3" s="5" t="inlineStr"/>
    </row>
    <row r="4">
      <c r="A4" s="5" t="n">
        <v>3</v>
      </c>
      <c r="B4" s="5" t="n">
        <v>1</v>
      </c>
      <c r="C4" s="5" t="inlineStr">
        <is>
          <t>1</t>
        </is>
      </c>
      <c r="D4" s="5" t="inlineStr">
        <is>
          <t>Name of protected Person</t>
        </is>
      </c>
      <c r="E4" s="5" t="inlineStr">
        <is>
          <t>DV-145[0].Page1[0].List1[0].Li1[0].FullName_ft[0]</t>
        </is>
      </c>
      <c r="F4" s="5" t="inlineStr">
        <is>
          <t>text</t>
        </is>
      </c>
      <c r="G4" s="5" t="inlineStr"/>
      <c r="H4" s="5" t="inlineStr"/>
      <c r="I4" s="5" t="inlineStr">
        <is>
          <t>220, 100, 559, 116</t>
        </is>
      </c>
      <c r="J4" s="5" t="inlineStr">
        <is>
          <t>question</t>
        </is>
      </c>
      <c r="K4" s="5" t="inlineStr">
        <is>
          <t>P1</t>
        </is>
      </c>
      <c r="L4" s="5">
        <f> P1</f>
        <v/>
      </c>
      <c r="M4" s="5" t="inlineStr"/>
      <c r="N4" s="5" t="inlineStr"/>
      <c r="O4" s="5" t="inlineStr"/>
    </row>
    <row r="5">
      <c r="A5" s="5" t="n">
        <v>4</v>
      </c>
      <c r="B5" s="5" t="n">
        <v>1</v>
      </c>
      <c r="C5" s="5" t="inlineStr">
        <is>
          <t>1</t>
        </is>
      </c>
      <c r="D5" s="5" t="inlineStr">
        <is>
          <t>Parent</t>
        </is>
      </c>
      <c r="E5" s="5" t="inlineStr">
        <is>
          <t>DV-145[0].Page1[0].List1[0].Li1[0].CheckBoxRightCaptionItem1[0]</t>
        </is>
      </c>
      <c r="F5" s="5" t="inlineStr">
        <is>
          <t>checkbox</t>
        </is>
      </c>
      <c r="G5" s="5" t="inlineStr">
        <is>
          <t>1</t>
        </is>
      </c>
      <c r="H5" s="5" t="inlineStr"/>
      <c r="I5" s="5" t="inlineStr">
        <is>
          <t>179, 119, 188, 128</t>
        </is>
      </c>
      <c r="J5" s="5" t="inlineStr">
        <is>
          <t>question</t>
        </is>
      </c>
      <c r="K5" s="5" t="inlineStr">
        <is>
          <t>PR11</t>
        </is>
      </c>
      <c r="L5" s="5" t="inlineStr">
        <is>
          <t>check if PR11 == "parent"</t>
        </is>
      </c>
      <c r="M5" s="5" t="inlineStr"/>
      <c r="N5" s="5" t="inlineStr"/>
      <c r="O5" s="5" t="inlineStr"/>
    </row>
    <row r="6">
      <c r="A6" s="5" t="n">
        <v>5</v>
      </c>
      <c r="B6" s="5" t="n">
        <v>1</v>
      </c>
      <c r="C6" s="5" t="inlineStr">
        <is>
          <t>1</t>
        </is>
      </c>
      <c r="D6" s="5" t="inlineStr">
        <is>
          <t>Legal Guardian</t>
        </is>
      </c>
      <c r="E6" s="5" t="inlineStr">
        <is>
          <t>DV-145[0].Page1[0].List1[0].Li1[0].CheckBoxRightCaptionItem1[1]</t>
        </is>
      </c>
      <c r="F6" s="5" t="inlineStr">
        <is>
          <t>checkbox</t>
        </is>
      </c>
      <c r="G6" s="5" t="inlineStr">
        <is>
          <t>11</t>
        </is>
      </c>
      <c r="H6" s="5" t="inlineStr"/>
      <c r="I6" s="5" t="inlineStr">
        <is>
          <t>234, 119, 243, 128</t>
        </is>
      </c>
      <c r="J6" s="5" t="inlineStr">
        <is>
          <t>question</t>
        </is>
      </c>
      <c r="K6" s="5" t="inlineStr">
        <is>
          <t>PR11</t>
        </is>
      </c>
      <c r="L6" s="5" t="inlineStr">
        <is>
          <t>check if PR11 == "legal guardian"</t>
        </is>
      </c>
      <c r="M6" s="5" t="inlineStr"/>
      <c r="N6" s="5" t="inlineStr"/>
      <c r="O6" s="5" t="inlineStr"/>
    </row>
    <row r="7">
      <c r="A7" s="5" t="n">
        <v>6</v>
      </c>
      <c r="B7" s="5" t="n">
        <v>1</v>
      </c>
      <c r="C7" s="5" t="inlineStr">
        <is>
          <t>1</t>
        </is>
      </c>
      <c r="D7" s="5" t="inlineStr">
        <is>
          <t>Other (describe):</t>
        </is>
      </c>
      <c r="E7" s="5" t="inlineStr">
        <is>
          <t>DV-145[0].Page1[0].List1[0].Li1[0].CheckBoxRightCaptionItem1[2]</t>
        </is>
      </c>
      <c r="F7" s="5" t="inlineStr">
        <is>
          <t>checkbox</t>
        </is>
      </c>
      <c r="G7" s="5" t="inlineStr">
        <is>
          <t>3</t>
        </is>
      </c>
      <c r="H7" s="5" t="inlineStr"/>
      <c r="I7" s="5" t="inlineStr">
        <is>
          <t>326, 119, 335, 128</t>
        </is>
      </c>
      <c r="J7" s="5" t="inlineStr">
        <is>
          <t>question</t>
        </is>
      </c>
      <c r="K7" s="5" t="inlineStr">
        <is>
          <t>PR11</t>
        </is>
      </c>
      <c r="L7" s="5" t="inlineStr">
        <is>
          <t>check if PR11 == "other"</t>
        </is>
      </c>
      <c r="M7" s="5" t="inlineStr"/>
      <c r="N7" s="5" t="inlineStr"/>
      <c r="O7" s="5" t="inlineStr"/>
    </row>
    <row r="8">
      <c r="A8" s="5" t="n">
        <v>7</v>
      </c>
      <c r="B8" s="5" t="n">
        <v>1</v>
      </c>
      <c r="C8" s="5" t="inlineStr">
        <is>
          <t>1</t>
        </is>
      </c>
      <c r="D8" s="5" t="inlineStr">
        <is>
          <t>describe other</t>
        </is>
      </c>
      <c r="E8" s="5" t="inlineStr">
        <is>
          <t>DV-145[0].Page1[0].List1[0].Li1[0].TextField[0]</t>
        </is>
      </c>
      <c r="F8" s="5" t="inlineStr">
        <is>
          <t>text</t>
        </is>
      </c>
      <c r="G8" s="5" t="inlineStr"/>
      <c r="H8" s="5" t="inlineStr"/>
      <c r="I8" s="5" t="inlineStr">
        <is>
          <t>420, 115, 558, 130</t>
        </is>
      </c>
      <c r="J8" s="5" t="inlineStr">
        <is>
          <t>question</t>
        </is>
      </c>
      <c r="K8" s="5" t="inlineStr">
        <is>
          <t>PR11</t>
        </is>
      </c>
      <c r="L8" s="5">
        <f> PR11.otherText</f>
        <v/>
      </c>
      <c r="M8" s="5" t="inlineStr">
        <is>
          <t>PR11 == "other"</t>
        </is>
      </c>
      <c r="N8" s="5" t="inlineStr"/>
      <c r="O8" s="5" t="inlineStr"/>
    </row>
    <row r="9">
      <c r="A9" s="5" t="n">
        <v>8</v>
      </c>
      <c r="B9" s="5" t="n">
        <v>1</v>
      </c>
      <c r="C9" s="5" t="inlineStr">
        <is>
          <t>2</t>
        </is>
      </c>
      <c r="D9" s="5" t="inlineStr">
        <is>
          <t>Name of Restrained Person:</t>
        </is>
      </c>
      <c r="E9" s="5" t="inlineStr">
        <is>
          <t>DV-145[0].Page1[0].List2[0].LI1[0].FullName_ft1[0]</t>
        </is>
      </c>
      <c r="F9" s="5" t="inlineStr">
        <is>
          <t>text</t>
        </is>
      </c>
      <c r="G9" s="5" t="inlineStr"/>
      <c r="H9" s="5" t="inlineStr"/>
      <c r="I9" s="5" t="inlineStr">
        <is>
          <t>227, 146, 558, 161</t>
        </is>
      </c>
      <c r="J9" s="5" t="inlineStr">
        <is>
          <t>question</t>
        </is>
      </c>
      <c r="K9" s="5" t="inlineStr">
        <is>
          <t>R1</t>
        </is>
      </c>
      <c r="L9" s="5">
        <f> R1</f>
        <v/>
      </c>
      <c r="M9" s="5" t="inlineStr"/>
      <c r="N9" s="5" t="inlineStr"/>
      <c r="O9" s="5" t="inlineStr"/>
    </row>
    <row r="10">
      <c r="A10" s="5" t="n">
        <v>9</v>
      </c>
      <c r="B10" s="5" t="n">
        <v>1</v>
      </c>
      <c r="C10" s="5" t="inlineStr">
        <is>
          <t>2</t>
        </is>
      </c>
      <c r="D10" s="5" t="inlineStr">
        <is>
          <t>Other (describe):</t>
        </is>
      </c>
      <c r="E10" s="5" t="inlineStr">
        <is>
          <t>DV-145[0].Page1[0].List2[0].LI1[0].CheckBoxRightCaptionItem2[0]</t>
        </is>
      </c>
      <c r="F10" s="5" t="inlineStr">
        <is>
          <t>checkbox</t>
        </is>
      </c>
      <c r="G10" s="5" t="inlineStr">
        <is>
          <t>13</t>
        </is>
      </c>
      <c r="H10" s="5" t="inlineStr"/>
      <c r="I10" s="5" t="inlineStr">
        <is>
          <t>326, 165, 335, 174</t>
        </is>
      </c>
      <c r="J10" s="5" t="inlineStr">
        <is>
          <t>question</t>
        </is>
      </c>
      <c r="K10" s="5" t="inlineStr">
        <is>
          <t>PR12</t>
        </is>
      </c>
      <c r="L10" s="5" t="inlineStr">
        <is>
          <t>check if PR12 == "other"</t>
        </is>
      </c>
      <c r="M10" s="5" t="inlineStr"/>
      <c r="N10" s="5" t="inlineStr"/>
      <c r="O10" s="5" t="inlineStr"/>
    </row>
    <row r="11">
      <c r="A11" s="5" t="n">
        <v>10</v>
      </c>
      <c r="B11" s="5" t="n">
        <v>1</v>
      </c>
      <c r="C11" s="5" t="inlineStr">
        <is>
          <t>2</t>
        </is>
      </c>
      <c r="D11" s="5" t="inlineStr">
        <is>
          <t>Parent</t>
        </is>
      </c>
      <c r="E11" s="5" t="inlineStr">
        <is>
          <t>DV-145[0].Page1[0].List2[0].LI1[0].CheckBoxRightCaptionItem2[1]</t>
        </is>
      </c>
      <c r="F11" s="5" t="inlineStr">
        <is>
          <t>checkbox</t>
        </is>
      </c>
      <c r="G11" s="5" t="inlineStr">
        <is>
          <t>1</t>
        </is>
      </c>
      <c r="H11" s="5" t="inlineStr"/>
      <c r="I11" s="5" t="inlineStr">
        <is>
          <t>179, 165, 188, 174</t>
        </is>
      </c>
      <c r="J11" s="5" t="inlineStr">
        <is>
          <t>question</t>
        </is>
      </c>
      <c r="K11" s="5" t="inlineStr">
        <is>
          <t>PR12</t>
        </is>
      </c>
      <c r="L11" s="5" t="inlineStr">
        <is>
          <t>check if PR12 == "parent"</t>
        </is>
      </c>
      <c r="M11" s="5" t="inlineStr"/>
      <c r="N11" s="5" t="inlineStr"/>
      <c r="O11" s="5" t="inlineStr"/>
    </row>
    <row r="12">
      <c r="A12" s="5" t="n">
        <v>11</v>
      </c>
      <c r="B12" s="5" t="n">
        <v>1</v>
      </c>
      <c r="C12" s="5" t="inlineStr">
        <is>
          <t>2</t>
        </is>
      </c>
      <c r="D12" s="5" t="inlineStr">
        <is>
          <t>describe other</t>
        </is>
      </c>
      <c r="E12" s="5" t="inlineStr">
        <is>
          <t>DV-145[0].Page1[0].List2[0].LI1[0].TextField[0]</t>
        </is>
      </c>
      <c r="F12" s="5" t="inlineStr">
        <is>
          <t>text</t>
        </is>
      </c>
      <c r="G12" s="5" t="inlineStr"/>
      <c r="H12" s="5" t="inlineStr"/>
      <c r="I12" s="5" t="inlineStr">
        <is>
          <t>420, 161, 558, 176</t>
        </is>
      </c>
      <c r="J12" s="5" t="inlineStr">
        <is>
          <t>question</t>
        </is>
      </c>
      <c r="K12" s="5" t="inlineStr">
        <is>
          <t>PR12</t>
        </is>
      </c>
      <c r="L12" s="5">
        <f> PR12.otherText</f>
        <v/>
      </c>
      <c r="M12" s="5" t="inlineStr">
        <is>
          <t>PR12 == "other"</t>
        </is>
      </c>
      <c r="N12" s="5" t="inlineStr">
        <is>
          <t>Item 2 widget order differs: [0] is "Other" (export 13), [1] Parent, [2] Legal guardian.</t>
        </is>
      </c>
      <c r="O12" s="5" t="inlineStr"/>
    </row>
    <row r="13">
      <c r="A13" s="5" t="n">
        <v>12</v>
      </c>
      <c r="B13" s="5" t="n">
        <v>1</v>
      </c>
      <c r="C13" s="5" t="inlineStr">
        <is>
          <t>2</t>
        </is>
      </c>
      <c r="D13" s="5" t="inlineStr">
        <is>
          <t>Legal Guardian</t>
        </is>
      </c>
      <c r="E13" s="5" t="inlineStr">
        <is>
          <t>DV-145[0].Page1[0].List2[0].LI1[0].CheckBoxRightCaptionItem2[2]</t>
        </is>
      </c>
      <c r="F13" s="5" t="inlineStr">
        <is>
          <t>checkbox</t>
        </is>
      </c>
      <c r="G13" s="5" t="inlineStr">
        <is>
          <t>11</t>
        </is>
      </c>
      <c r="H13" s="5" t="inlineStr"/>
      <c r="I13" s="5" t="inlineStr">
        <is>
          <t>234, 165, 243, 174</t>
        </is>
      </c>
      <c r="J13" s="5" t="inlineStr">
        <is>
          <t>question</t>
        </is>
      </c>
      <c r="K13" s="5" t="inlineStr">
        <is>
          <t>PR12</t>
        </is>
      </c>
      <c r="L13" s="5" t="inlineStr">
        <is>
          <t>check if PR12 == "legal guardian"</t>
        </is>
      </c>
      <c r="M13" s="5" t="inlineStr"/>
      <c r="N13" s="5" t="inlineStr"/>
      <c r="O13" s="5" t="inlineStr"/>
    </row>
    <row r="14">
      <c r="A14" s="8" t="n">
        <v>13</v>
      </c>
      <c r="B14" s="8" t="n">
        <v>1</v>
      </c>
      <c r="C14" s="8" t="inlineStr">
        <is>
          <t>3 (court)</t>
        </is>
      </c>
      <c r="D14" s="8" t="inlineStr">
        <is>
          <t>There is not a risk that the person in 2 might take the children without proper permission. The judge has not granted any of the orders in 4-12.</t>
        </is>
      </c>
      <c r="E14" s="8" t="inlineStr">
        <is>
          <t>DV-145[0].Page1[0].List3[0].Li1[0].MultilineCheckBox[0]</t>
        </is>
      </c>
      <c r="F14" s="8" t="inlineStr">
        <is>
          <t>checkbox</t>
        </is>
      </c>
      <c r="G14" s="8" t="inlineStr">
        <is>
          <t>1</t>
        </is>
      </c>
      <c r="H14" s="8" t="inlineStr"/>
      <c r="I14" s="8" t="inlineStr">
        <is>
          <t>74, 226, 83, 235</t>
        </is>
      </c>
      <c r="J14" s="8" t="inlineStr">
        <is>
          <t>court/clerk</t>
        </is>
      </c>
      <c r="K14" s="8" t="inlineStr"/>
      <c r="L14" s="8" t="inlineStr"/>
      <c r="M14" s="8" t="inlineStr"/>
      <c r="N14" s="8" t="inlineStr">
        <is>
          <t>Judge completes.</t>
        </is>
      </c>
      <c r="O14" s="8" t="inlineStr"/>
    </row>
    <row r="15">
      <c r="A15" s="8" t="n">
        <v>14</v>
      </c>
      <c r="B15" s="8" t="n">
        <v>1</v>
      </c>
      <c r="C15" s="8" t="inlineStr">
        <is>
          <t>3 (court)</t>
        </is>
      </c>
      <c r="D15" s="8" t="inlineStr">
        <is>
          <t>There is a risk that the person in 2 might take the children without permission because person in 2:</t>
        </is>
      </c>
      <c r="E15" s="8" t="inlineStr">
        <is>
          <t>DV-145[0].Page1[0].List3[0].Li2[0].CheckBoxRightCaption[0]</t>
        </is>
      </c>
      <c r="F15" s="8" t="inlineStr">
        <is>
          <t>checkbox</t>
        </is>
      </c>
      <c r="G15" s="8" t="inlineStr">
        <is>
          <t>1</t>
        </is>
      </c>
      <c r="H15" s="8" t="inlineStr"/>
      <c r="I15" s="8" t="inlineStr">
        <is>
          <t>75, 262, 84, 271</t>
        </is>
      </c>
      <c r="J15" s="8" t="inlineStr">
        <is>
          <t>court/clerk</t>
        </is>
      </c>
      <c r="K15" s="8" t="inlineStr"/>
      <c r="L15" s="8" t="inlineStr"/>
      <c r="M15" s="8" t="inlineStr"/>
      <c r="N15" s="8" t="inlineStr">
        <is>
          <t>Judge completes.</t>
        </is>
      </c>
      <c r="O15" s="8" t="inlineStr"/>
    </row>
    <row r="16">
      <c r="A16" s="8" t="n">
        <v>15</v>
      </c>
      <c r="B16" s="8" t="n">
        <v>1</v>
      </c>
      <c r="C16" s="8" t="inlineStr">
        <is>
          <t>3 (court)</t>
        </is>
      </c>
      <c r="D16" s="8" t="inlineStr">
        <is>
          <t>Has violated or threatened to violate a custody or visitation order.</t>
        </is>
      </c>
      <c r="E16" s="8" t="inlineStr">
        <is>
          <t>DV-145[0].Page1[0].List3[0].Li2[0].List[0].Li1[0].CheckBoxRightCaption[0]</t>
        </is>
      </c>
      <c r="F16" s="8" t="inlineStr">
        <is>
          <t>checkbox</t>
        </is>
      </c>
      <c r="G16" s="8" t="inlineStr">
        <is>
          <t>1</t>
        </is>
      </c>
      <c r="H16" s="8" t="inlineStr"/>
      <c r="I16" s="8" t="inlineStr">
        <is>
          <t>104, 297, 113, 306</t>
        </is>
      </c>
      <c r="J16" s="8" t="inlineStr">
        <is>
          <t>court/clerk</t>
        </is>
      </c>
      <c r="K16" s="8" t="inlineStr"/>
      <c r="L16" s="8" t="inlineStr"/>
      <c r="M16" s="8" t="inlineStr"/>
      <c r="N16" s="8" t="inlineStr">
        <is>
          <t>Judge completes.</t>
        </is>
      </c>
      <c r="O16" s="8" t="inlineStr"/>
    </row>
    <row r="17">
      <c r="A17" s="8" t="n">
        <v>16</v>
      </c>
      <c r="B17" s="8" t="n">
        <v>1</v>
      </c>
      <c r="C17" s="8" t="inlineStr">
        <is>
          <t>3 (court)</t>
        </is>
      </c>
      <c r="D17" s="8" t="inlineStr">
        <is>
          <t>Does not have strong ties to California.</t>
        </is>
      </c>
      <c r="E17" s="8" t="inlineStr">
        <is>
          <t>DV-145[0].Page1[0].List3[0].Li2[0].List[0].Li2[0].CheckBoxRightCaption[0]</t>
        </is>
      </c>
      <c r="F17" s="8" t="inlineStr">
        <is>
          <t>checkbox</t>
        </is>
      </c>
      <c r="G17" s="8" t="inlineStr">
        <is>
          <t>1</t>
        </is>
      </c>
      <c r="H17" s="8" t="inlineStr"/>
      <c r="I17" s="8" t="inlineStr">
        <is>
          <t>104, 313, 113, 322</t>
        </is>
      </c>
      <c r="J17" s="8" t="inlineStr">
        <is>
          <t>court/clerk</t>
        </is>
      </c>
      <c r="K17" s="8" t="inlineStr"/>
      <c r="L17" s="8" t="inlineStr"/>
      <c r="M17" s="8" t="inlineStr"/>
      <c r="N17" s="8" t="inlineStr">
        <is>
          <t>Judge completes.</t>
        </is>
      </c>
      <c r="O17" s="8" t="inlineStr"/>
    </row>
    <row r="18">
      <c r="A18" s="8" t="n">
        <v>17</v>
      </c>
      <c r="B18" s="8" t="n">
        <v>1</v>
      </c>
      <c r="C18" s="8" t="inlineStr">
        <is>
          <t>3 (court)</t>
        </is>
      </c>
      <c r="D18" s="8" t="inlineStr">
        <is>
          <t>Has done things recently that make it easy to take the children (check all that apply):</t>
        </is>
      </c>
      <c r="E18" s="8" t="inlineStr">
        <is>
          <t>DV-145[0].Page1[0].List3[0].Li2[0].List[0].Li3[0].CheckBoxRightCaption[0]</t>
        </is>
      </c>
      <c r="F18" s="8" t="inlineStr">
        <is>
          <t>checkbox</t>
        </is>
      </c>
      <c r="G18" s="8" t="inlineStr">
        <is>
          <t>1</t>
        </is>
      </c>
      <c r="H18" s="8" t="inlineStr"/>
      <c r="I18" s="8" t="inlineStr">
        <is>
          <t>104, 330, 113, 339</t>
        </is>
      </c>
      <c r="J18" s="8" t="inlineStr">
        <is>
          <t>court/clerk</t>
        </is>
      </c>
      <c r="K18" s="8" t="inlineStr"/>
      <c r="L18" s="8" t="inlineStr"/>
      <c r="M18" s="8" t="inlineStr"/>
      <c r="N18" s="8" t="inlineStr">
        <is>
          <t>Judge completes.</t>
        </is>
      </c>
      <c r="O18" s="8" t="inlineStr"/>
    </row>
    <row r="19">
      <c r="A19" s="8" t="n">
        <v>18</v>
      </c>
      <c r="B19" s="8" t="n">
        <v>1</v>
      </c>
      <c r="C19" s="8" t="inlineStr">
        <is>
          <t>3 (court)</t>
        </is>
      </c>
      <c r="D19" s="8" t="inlineStr">
        <is>
          <t>Quit a job</t>
        </is>
      </c>
      <c r="E19" s="8" t="inlineStr">
        <is>
          <t>DV-145[0].Page1[0].List3[0].Li2[0].List[0].Li3[0].CheckBoxRightCaption1[0]</t>
        </is>
      </c>
      <c r="F19" s="8" t="inlineStr">
        <is>
          <t>checkbox</t>
        </is>
      </c>
      <c r="G19" s="8" t="inlineStr">
        <is>
          <t>1</t>
        </is>
      </c>
      <c r="H19" s="8" t="inlineStr"/>
      <c r="I19" s="8" t="inlineStr">
        <is>
          <t>114, 344, 123, 353</t>
        </is>
      </c>
      <c r="J19" s="8" t="inlineStr">
        <is>
          <t>court/clerk</t>
        </is>
      </c>
      <c r="K19" s="8" t="inlineStr"/>
      <c r="L19" s="8" t="inlineStr"/>
      <c r="M19" s="8" t="inlineStr"/>
      <c r="N19" s="8" t="inlineStr">
        <is>
          <t>Judge completes.</t>
        </is>
      </c>
      <c r="O19" s="8" t="inlineStr"/>
    </row>
    <row r="20">
      <c r="A20" s="8" t="n">
        <v>19</v>
      </c>
      <c r="B20" s="8" t="n">
        <v>1</v>
      </c>
      <c r="C20" s="8" t="inlineStr">
        <is>
          <t>3 (court)</t>
        </is>
      </c>
      <c r="D20" s="8" t="inlineStr">
        <is>
          <t>Sold a home or ended a lease</t>
        </is>
      </c>
      <c r="E20" s="8" t="inlineStr">
        <is>
          <t>DV-145[0].Page1[0].List3[0].Li2[0].List[0].Li3[0].CheckBoxRightCaption2[0]</t>
        </is>
      </c>
      <c r="F20" s="8" t="inlineStr">
        <is>
          <t>checkbox</t>
        </is>
      </c>
      <c r="G20" s="8" t="inlineStr">
        <is>
          <t>1</t>
        </is>
      </c>
      <c r="H20" s="8" t="inlineStr"/>
      <c r="I20" s="8" t="inlineStr">
        <is>
          <t>271, 344, 280, 353</t>
        </is>
      </c>
      <c r="J20" s="8" t="inlineStr">
        <is>
          <t>court/clerk</t>
        </is>
      </c>
      <c r="K20" s="8" t="inlineStr"/>
      <c r="L20" s="8" t="inlineStr"/>
      <c r="M20" s="8" t="inlineStr"/>
      <c r="N20" s="8" t="inlineStr">
        <is>
          <t>Judge completes.</t>
        </is>
      </c>
      <c r="O20" s="8" t="inlineStr"/>
    </row>
    <row r="21">
      <c r="A21" s="8" t="n">
        <v>20</v>
      </c>
      <c r="B21" s="8" t="n">
        <v>1</v>
      </c>
      <c r="C21" s="8" t="inlineStr">
        <is>
          <t>3 (court)</t>
        </is>
      </c>
      <c r="D21" s="8" t="inlineStr">
        <is>
          <t>Closed a bank account</t>
        </is>
      </c>
      <c r="E21" s="8" t="inlineStr">
        <is>
          <t>DV-145[0].Page1[0].List3[0].Li2[0].List[0].Li3[0].CheckBoxRightCaption3[0]</t>
        </is>
      </c>
      <c r="F21" s="8" t="inlineStr">
        <is>
          <t>checkbox</t>
        </is>
      </c>
      <c r="G21" s="8" t="inlineStr">
        <is>
          <t>1</t>
        </is>
      </c>
      <c r="H21" s="8" t="inlineStr"/>
      <c r="I21" s="8" t="inlineStr">
        <is>
          <t>114, 357, 123, 366</t>
        </is>
      </c>
      <c r="J21" s="8" t="inlineStr">
        <is>
          <t>court/clerk</t>
        </is>
      </c>
      <c r="K21" s="8" t="inlineStr"/>
      <c r="L21" s="8" t="inlineStr"/>
      <c r="M21" s="8" t="inlineStr"/>
      <c r="N21" s="8" t="inlineStr">
        <is>
          <t>Judge completes.</t>
        </is>
      </c>
      <c r="O21" s="8" t="inlineStr"/>
    </row>
    <row r="22">
      <c r="A22" s="8" t="n">
        <v>21</v>
      </c>
      <c r="B22" s="8" t="n">
        <v>1</v>
      </c>
      <c r="C22" s="8" t="inlineStr">
        <is>
          <t>3 (court)</t>
        </is>
      </c>
      <c r="D22" s="8" t="inlineStr">
        <is>
          <t>Hidden or destroyed documents</t>
        </is>
      </c>
      <c r="E22" s="8" t="inlineStr">
        <is>
          <t>DV-145[0].Page1[0].List3[0].Li2[0].List[0].Li3[0].CheckBoxRightCaption4[0]</t>
        </is>
      </c>
      <c r="F22" s="8" t="inlineStr">
        <is>
          <t>checkbox</t>
        </is>
      </c>
      <c r="G22" s="8" t="inlineStr">
        <is>
          <t>1</t>
        </is>
      </c>
      <c r="H22" s="8" t="inlineStr"/>
      <c r="I22" s="8" t="inlineStr">
        <is>
          <t>271, 357, 280, 366</t>
        </is>
      </c>
      <c r="J22" s="8" t="inlineStr">
        <is>
          <t>court/clerk</t>
        </is>
      </c>
      <c r="K22" s="8" t="inlineStr"/>
      <c r="L22" s="8" t="inlineStr"/>
      <c r="M22" s="8" t="inlineStr"/>
      <c r="N22" s="8" t="inlineStr">
        <is>
          <t>Judge completes.</t>
        </is>
      </c>
      <c r="O22" s="8" t="inlineStr"/>
    </row>
    <row r="23">
      <c r="A23" s="8" t="n">
        <v>22</v>
      </c>
      <c r="B23" s="8" t="n">
        <v>1</v>
      </c>
      <c r="C23" s="8" t="inlineStr">
        <is>
          <t>3 (court)</t>
        </is>
      </c>
      <c r="D23" s="8" t="inlineStr">
        <is>
          <t>Sold or gotten rid of property</t>
        </is>
      </c>
      <c r="E23" s="8" t="inlineStr">
        <is>
          <t>DV-145[0].Page1[0].List3[0].Li2[0].List[0].Li3[0].CheckBoxRightCaption5[0]</t>
        </is>
      </c>
      <c r="F23" s="8" t="inlineStr">
        <is>
          <t>checkbox</t>
        </is>
      </c>
      <c r="G23" s="8" t="inlineStr">
        <is>
          <t>1</t>
        </is>
      </c>
      <c r="H23" s="8" t="inlineStr"/>
      <c r="I23" s="8" t="inlineStr">
        <is>
          <t>114, 371, 123, 380</t>
        </is>
      </c>
      <c r="J23" s="8" t="inlineStr">
        <is>
          <t>court/clerk</t>
        </is>
      </c>
      <c r="K23" s="8" t="inlineStr"/>
      <c r="L23" s="8" t="inlineStr"/>
      <c r="M23" s="8" t="inlineStr"/>
      <c r="N23" s="8" t="inlineStr">
        <is>
          <t>Judge completes.</t>
        </is>
      </c>
      <c r="O23" s="8" t="inlineStr"/>
    </row>
    <row r="24">
      <c r="A24" s="8" t="n">
        <v>23</v>
      </c>
      <c r="B24" s="8" t="n">
        <v>1</v>
      </c>
      <c r="C24" s="8" t="inlineStr">
        <is>
          <t>3 (court)</t>
        </is>
      </c>
      <c r="D24" s="8" t="inlineStr">
        <is>
          <t>Applied for a passport, birth certificate, or school or</t>
        </is>
      </c>
      <c r="E24" s="8" t="inlineStr">
        <is>
          <t>DV-145[0].Page1[0].List3[0].Li2[0].List[0].Li3[0].CheckBoxRightCaption6[0]</t>
        </is>
      </c>
      <c r="F24" s="8" t="inlineStr">
        <is>
          <t>checkbox</t>
        </is>
      </c>
      <c r="G24" s="8" t="inlineStr">
        <is>
          <t>1</t>
        </is>
      </c>
      <c r="H24" s="8" t="inlineStr"/>
      <c r="I24" s="8" t="inlineStr">
        <is>
          <t>271, 371, 280, 380</t>
        </is>
      </c>
      <c r="J24" s="8" t="inlineStr">
        <is>
          <t>court/clerk</t>
        </is>
      </c>
      <c r="K24" s="8" t="inlineStr"/>
      <c r="L24" s="8" t="inlineStr"/>
      <c r="M24" s="8" t="inlineStr"/>
      <c r="N24" s="8" t="inlineStr">
        <is>
          <t>Judge completes.</t>
        </is>
      </c>
      <c r="O24" s="8" t="inlineStr"/>
    </row>
    <row r="25">
      <c r="A25" s="8" t="n">
        <v>24</v>
      </c>
      <c r="B25" s="8" t="n">
        <v>1</v>
      </c>
      <c r="C25" s="8" t="inlineStr">
        <is>
          <t>3 (court)</t>
        </is>
      </c>
      <c r="D25" s="8" t="inlineStr">
        <is>
          <t>Has a history of (check all that apply):</t>
        </is>
      </c>
      <c r="E25" s="8" t="inlineStr">
        <is>
          <t>DV-145[0].Page1[0].List3[0].Li2[0].List[0].Li4[0].CheckBoxRightCaption[0]</t>
        </is>
      </c>
      <c r="F25" s="8" t="inlineStr">
        <is>
          <t>checkbox</t>
        </is>
      </c>
      <c r="G25" s="8" t="inlineStr">
        <is>
          <t>1</t>
        </is>
      </c>
      <c r="H25" s="8" t="inlineStr"/>
      <c r="I25" s="8" t="inlineStr">
        <is>
          <t>104, 400, 113, 409</t>
        </is>
      </c>
      <c r="J25" s="8" t="inlineStr">
        <is>
          <t>court/clerk</t>
        </is>
      </c>
      <c r="K25" s="8" t="inlineStr"/>
      <c r="L25" s="8" t="inlineStr"/>
      <c r="M25" s="8" t="inlineStr"/>
      <c r="N25" s="8" t="inlineStr">
        <is>
          <t>Judge completes.</t>
        </is>
      </c>
      <c r="O25" s="8" t="inlineStr"/>
    </row>
    <row r="26">
      <c r="A26" s="8" t="n">
        <v>25</v>
      </c>
      <c r="B26" s="8" t="n">
        <v>1</v>
      </c>
      <c r="C26" s="8" t="inlineStr">
        <is>
          <t>3 (court)</t>
        </is>
      </c>
      <c r="D26" s="8" t="inlineStr">
        <is>
          <t>Abusing person in</t>
        </is>
      </c>
      <c r="E26" s="8" t="inlineStr">
        <is>
          <t>DV-145[0].Page1[0].List3[0].Li2[0].List[0].Li4[0].CheckBoxRightCaption1[0]</t>
        </is>
      </c>
      <c r="F26" s="8" t="inlineStr">
        <is>
          <t>checkbox</t>
        </is>
      </c>
      <c r="G26" s="8" t="inlineStr">
        <is>
          <t>1</t>
        </is>
      </c>
      <c r="H26" s="8" t="inlineStr"/>
      <c r="I26" s="8" t="inlineStr">
        <is>
          <t>114, 415, 123, 424</t>
        </is>
      </c>
      <c r="J26" s="8" t="inlineStr">
        <is>
          <t>court/clerk</t>
        </is>
      </c>
      <c r="K26" s="8" t="inlineStr"/>
      <c r="L26" s="8" t="inlineStr"/>
      <c r="M26" s="8" t="inlineStr"/>
      <c r="N26" s="8" t="inlineStr">
        <is>
          <t>Judge completes.</t>
        </is>
      </c>
      <c r="O26" s="8" t="inlineStr"/>
    </row>
    <row r="27">
      <c r="A27" s="8" t="n">
        <v>26</v>
      </c>
      <c r="B27" s="8" t="n">
        <v>1</v>
      </c>
      <c r="C27" s="8" t="inlineStr">
        <is>
          <t>3 (court)</t>
        </is>
      </c>
      <c r="D27" s="8" t="inlineStr">
        <is>
          <t>Taking the children without permission</t>
        </is>
      </c>
      <c r="E27" s="8" t="inlineStr">
        <is>
          <t>DV-145[0].Page1[0].List3[0].Li2[0].List[0].Li4[0].CheckBoxRightCaption2[0]</t>
        </is>
      </c>
      <c r="F27" s="8" t="inlineStr">
        <is>
          <t>checkbox</t>
        </is>
      </c>
      <c r="G27" s="8" t="inlineStr">
        <is>
          <t>1</t>
        </is>
      </c>
      <c r="H27" s="8" t="inlineStr"/>
      <c r="I27" s="8" t="inlineStr">
        <is>
          <t>271, 415, 280, 424</t>
        </is>
      </c>
      <c r="J27" s="8" t="inlineStr">
        <is>
          <t>court/clerk</t>
        </is>
      </c>
      <c r="K27" s="8" t="inlineStr"/>
      <c r="L27" s="8" t="inlineStr"/>
      <c r="M27" s="8" t="inlineStr"/>
      <c r="N27" s="8" t="inlineStr">
        <is>
          <t>Judge completes.</t>
        </is>
      </c>
      <c r="O27" s="8" t="inlineStr"/>
    </row>
    <row r="28">
      <c r="A28" s="8" t="n">
        <v>27</v>
      </c>
      <c r="B28" s="8" t="n">
        <v>1</v>
      </c>
      <c r="C28" s="8" t="inlineStr">
        <is>
          <t>3 (court)</t>
        </is>
      </c>
      <c r="D28" s="8" t="inlineStr">
        <is>
          <t>Abusing other partners</t>
        </is>
      </c>
      <c r="E28" s="8" t="inlineStr">
        <is>
          <t>DV-145[0].Page1[0].List3[0].Li2[0].List[0].Li4[0].CheckBoxRightCaption3[0]</t>
        </is>
      </c>
      <c r="F28" s="8" t="inlineStr">
        <is>
          <t>checkbox</t>
        </is>
      </c>
      <c r="G28" s="8" t="inlineStr">
        <is>
          <t>1</t>
        </is>
      </c>
      <c r="H28" s="8" t="inlineStr"/>
      <c r="I28" s="8" t="inlineStr">
        <is>
          <t>114, 426, 123, 435</t>
        </is>
      </c>
      <c r="J28" s="8" t="inlineStr">
        <is>
          <t>court/clerk</t>
        </is>
      </c>
      <c r="K28" s="8" t="inlineStr"/>
      <c r="L28" s="8" t="inlineStr"/>
      <c r="M28" s="8" t="inlineStr"/>
      <c r="N28" s="8" t="inlineStr">
        <is>
          <t>Judge completes.</t>
        </is>
      </c>
      <c r="O28" s="8" t="inlineStr"/>
    </row>
    <row r="29">
      <c r="A29" s="8" t="n">
        <v>28</v>
      </c>
      <c r="B29" s="8" t="n">
        <v>1</v>
      </c>
      <c r="C29" s="8" t="inlineStr">
        <is>
          <t>3 (court)</t>
        </is>
      </c>
      <c r="D29" s="8" t="inlineStr">
        <is>
          <t>Not cooperating with person 1 in parenting</t>
        </is>
      </c>
      <c r="E29" s="8" t="inlineStr">
        <is>
          <t>DV-145[0].Page1[0].List3[0].Li2[0].List[0].Li4[0].CheckBoxRightCaption4[0]</t>
        </is>
      </c>
      <c r="F29" s="8" t="inlineStr">
        <is>
          <t>checkbox</t>
        </is>
      </c>
      <c r="G29" s="8" t="inlineStr">
        <is>
          <t>1</t>
        </is>
      </c>
      <c r="H29" s="8" t="inlineStr"/>
      <c r="I29" s="8" t="inlineStr">
        <is>
          <t>271, 426, 280, 435</t>
        </is>
      </c>
      <c r="J29" s="8" t="inlineStr">
        <is>
          <t>court/clerk</t>
        </is>
      </c>
      <c r="K29" s="8" t="inlineStr"/>
      <c r="L29" s="8" t="inlineStr"/>
      <c r="M29" s="8" t="inlineStr"/>
      <c r="N29" s="8" t="inlineStr">
        <is>
          <t>Judge completes.</t>
        </is>
      </c>
      <c r="O29" s="8" t="inlineStr"/>
    </row>
    <row r="30">
      <c r="A30" s="8" t="n">
        <v>29</v>
      </c>
      <c r="B30" s="8" t="n">
        <v>1</v>
      </c>
      <c r="C30" s="8" t="inlineStr">
        <is>
          <t>3 (court)</t>
        </is>
      </c>
      <c r="D30" s="8" t="inlineStr">
        <is>
          <t>Child abuse</t>
        </is>
      </c>
      <c r="E30" s="8" t="inlineStr">
        <is>
          <t>DV-145[0].Page1[0].List3[0].Li2[0].List[0].Li4[0].CheckBoxRightCaption5[0]</t>
        </is>
      </c>
      <c r="F30" s="8" t="inlineStr">
        <is>
          <t>checkbox</t>
        </is>
      </c>
      <c r="G30" s="8" t="inlineStr">
        <is>
          <t>1</t>
        </is>
      </c>
      <c r="H30" s="8" t="inlineStr"/>
      <c r="I30" s="8" t="inlineStr">
        <is>
          <t>114, 437, 123, 446</t>
        </is>
      </c>
      <c r="J30" s="8" t="inlineStr">
        <is>
          <t>court/clerk</t>
        </is>
      </c>
      <c r="K30" s="8" t="inlineStr"/>
      <c r="L30" s="8" t="inlineStr"/>
      <c r="M30" s="8" t="inlineStr"/>
      <c r="N30" s="8" t="inlineStr">
        <is>
          <t>Judge completes.</t>
        </is>
      </c>
      <c r="O30" s="8" t="inlineStr"/>
    </row>
    <row r="31">
      <c r="A31" s="8" t="n">
        <v>30</v>
      </c>
      <c r="B31" s="8" t="n">
        <v>1</v>
      </c>
      <c r="C31" s="8" t="inlineStr">
        <is>
          <t>3 (court)</t>
        </is>
      </c>
      <c r="D31" s="8" t="inlineStr">
        <is>
          <t>Has a criminal record</t>
        </is>
      </c>
      <c r="E31" s="8" t="inlineStr">
        <is>
          <t>DV-145[0].Page1[0].List3[0].Li2[0].List[0].Li5[0].CheckBoxRightCaption[0]</t>
        </is>
      </c>
      <c r="F31" s="8" t="inlineStr">
        <is>
          <t>checkbox</t>
        </is>
      </c>
      <c r="G31" s="8" t="inlineStr">
        <is>
          <t>1</t>
        </is>
      </c>
      <c r="H31" s="8" t="inlineStr"/>
      <c r="I31" s="8" t="inlineStr">
        <is>
          <t>104, 456, 113, 465</t>
        </is>
      </c>
      <c r="J31" s="8" t="inlineStr">
        <is>
          <t>court/clerk</t>
        </is>
      </c>
      <c r="K31" s="8" t="inlineStr"/>
      <c r="L31" s="8" t="inlineStr"/>
      <c r="M31" s="8" t="inlineStr"/>
      <c r="N31" s="8" t="inlineStr">
        <is>
          <t>Judge completes.</t>
        </is>
      </c>
      <c r="O31" s="8" t="inlineStr"/>
    </row>
    <row r="32">
      <c r="A32" s="8" t="n">
        <v>31</v>
      </c>
      <c r="B32" s="8" t="n">
        <v>1</v>
      </c>
      <c r="C32" s="8" t="inlineStr">
        <is>
          <t>3 (court)</t>
        </is>
      </c>
      <c r="D32" s="8" t="inlineStr">
        <is>
          <t>Has strong ties in:</t>
        </is>
      </c>
      <c r="E32" s="8" t="inlineStr">
        <is>
          <t>DV-145[0].Page1[0].List3[0].Li2[0].List[0].Li6[0].CheckBoxRightCaption[0]</t>
        </is>
      </c>
      <c r="F32" s="8" t="inlineStr">
        <is>
          <t>checkbox</t>
        </is>
      </c>
      <c r="G32" s="8" t="inlineStr">
        <is>
          <t>1</t>
        </is>
      </c>
      <c r="H32" s="8" t="inlineStr"/>
      <c r="I32" s="8" t="inlineStr">
        <is>
          <t>105, 476, 114, 485</t>
        </is>
      </c>
      <c r="J32" s="8" t="inlineStr">
        <is>
          <t>court/clerk</t>
        </is>
      </c>
      <c r="K32" s="8" t="inlineStr"/>
      <c r="L32" s="8" t="inlineStr"/>
      <c r="M32" s="8" t="inlineStr"/>
      <c r="N32" s="8" t="inlineStr">
        <is>
          <t>Judge completes.</t>
        </is>
      </c>
      <c r="O32" s="8" t="inlineStr"/>
    </row>
    <row r="33">
      <c r="A33" s="8" t="n">
        <v>32</v>
      </c>
      <c r="B33" s="8" t="n">
        <v>1</v>
      </c>
      <c r="C33" s="8" t="inlineStr">
        <is>
          <t>3 (court)</t>
        </is>
      </c>
      <c r="D33" s="8" t="inlineStr">
        <is>
          <t>Another county in California (list county):</t>
        </is>
      </c>
      <c r="E33" s="8" t="inlineStr">
        <is>
          <t>DV-145[0].Page1[0].List3[0].Li2[0].List[0].Li6[0].CheckBoxRightCaption1[0]</t>
        </is>
      </c>
      <c r="F33" s="8" t="inlineStr">
        <is>
          <t>checkbox</t>
        </is>
      </c>
      <c r="G33" s="8" t="inlineStr">
        <is>
          <t>1</t>
        </is>
      </c>
      <c r="H33" s="8" t="inlineStr"/>
      <c r="I33" s="8" t="inlineStr">
        <is>
          <t>115, 490, 124, 499</t>
        </is>
      </c>
      <c r="J33" s="8" t="inlineStr">
        <is>
          <t>court/clerk</t>
        </is>
      </c>
      <c r="K33" s="8" t="inlineStr"/>
      <c r="L33" s="8" t="inlineStr"/>
      <c r="M33" s="8" t="inlineStr"/>
      <c r="N33" s="8" t="inlineStr">
        <is>
          <t>Judge completes.</t>
        </is>
      </c>
      <c r="O33" s="8" t="inlineStr"/>
    </row>
    <row r="34">
      <c r="A34" s="8" t="n">
        <v>33</v>
      </c>
      <c r="B34" s="8" t="n">
        <v>1</v>
      </c>
      <c r="C34" s="8" t="inlineStr">
        <is>
          <t>3 (court)</t>
        </is>
      </c>
      <c r="D34" s="8" t="inlineStr">
        <is>
          <t>list county</t>
        </is>
      </c>
      <c r="E34" s="8" t="inlineStr">
        <is>
          <t>DV-145[0].Page1[0].List3[0].Li2[0].List[0].Li6[0].TextField[0]</t>
        </is>
      </c>
      <c r="F34" s="8" t="inlineStr">
        <is>
          <t>text</t>
        </is>
      </c>
      <c r="G34" s="8" t="inlineStr"/>
      <c r="H34" s="8" t="inlineStr"/>
      <c r="I34" s="8" t="inlineStr">
        <is>
          <t>320, 488, 576, 501</t>
        </is>
      </c>
      <c r="J34" s="8" t="inlineStr">
        <is>
          <t>court/clerk</t>
        </is>
      </c>
      <c r="K34" s="8" t="inlineStr"/>
      <c r="L34" s="8" t="inlineStr"/>
      <c r="M34" s="8" t="inlineStr"/>
      <c r="N34" s="8" t="inlineStr">
        <is>
          <t>Judge completes.</t>
        </is>
      </c>
      <c r="O34" s="8" t="inlineStr"/>
    </row>
    <row r="35">
      <c r="A35" s="8" t="n">
        <v>34</v>
      </c>
      <c r="B35" s="8" t="n">
        <v>1</v>
      </c>
      <c r="C35" s="8" t="inlineStr">
        <is>
          <t>3 (court)</t>
        </is>
      </c>
      <c r="D35" s="8" t="inlineStr">
        <is>
          <t>Another state (list states):</t>
        </is>
      </c>
      <c r="E35" s="8" t="inlineStr">
        <is>
          <t>DV-145[0].Page1[0].List3[0].Li2[0].List[0].Li6[0].CheckBoxRightCaption2[0]</t>
        </is>
      </c>
      <c r="F35" s="8" t="inlineStr">
        <is>
          <t>checkbox</t>
        </is>
      </c>
      <c r="G35" s="8" t="inlineStr">
        <is>
          <t>1</t>
        </is>
      </c>
      <c r="H35" s="8" t="inlineStr"/>
      <c r="I35" s="8" t="inlineStr">
        <is>
          <t>115, 504, 124, 513</t>
        </is>
      </c>
      <c r="J35" s="8" t="inlineStr">
        <is>
          <t>court/clerk</t>
        </is>
      </c>
      <c r="K35" s="8" t="inlineStr"/>
      <c r="L35" s="8" t="inlineStr"/>
      <c r="M35" s="8" t="inlineStr"/>
      <c r="N35" s="8" t="inlineStr">
        <is>
          <t>Judge completes.</t>
        </is>
      </c>
      <c r="O35" s="8" t="inlineStr"/>
    </row>
    <row r="36">
      <c r="A36" s="8" t="n">
        <v>35</v>
      </c>
      <c r="B36" s="8" t="n">
        <v>1</v>
      </c>
      <c r="C36" s="8" t="inlineStr">
        <is>
          <t>3 (court)</t>
        </is>
      </c>
      <c r="D36" s="8" t="inlineStr">
        <is>
          <t>list states</t>
        </is>
      </c>
      <c r="E36" s="8" t="inlineStr">
        <is>
          <t>DV-145[0].Page1[0].List3[0].Li2[0].List[0].Li6[0].TextField1[0]</t>
        </is>
      </c>
      <c r="F36" s="8" t="inlineStr">
        <is>
          <t>text</t>
        </is>
      </c>
      <c r="G36" s="8" t="inlineStr"/>
      <c r="H36" s="8" t="inlineStr"/>
      <c r="I36" s="8" t="inlineStr">
        <is>
          <t>247, 503, 576, 516</t>
        </is>
      </c>
      <c r="J36" s="8" t="inlineStr">
        <is>
          <t>court/clerk</t>
        </is>
      </c>
      <c r="K36" s="8" t="inlineStr"/>
      <c r="L36" s="8" t="inlineStr"/>
      <c r="M36" s="8" t="inlineStr"/>
      <c r="N36" s="8" t="inlineStr">
        <is>
          <t>Judge completes.</t>
        </is>
      </c>
      <c r="O36" s="8" t="inlineStr"/>
    </row>
    <row r="37">
      <c r="A37" s="8" t="n">
        <v>36</v>
      </c>
      <c r="B37" s="8" t="n">
        <v>1</v>
      </c>
      <c r="C37" s="8" t="inlineStr">
        <is>
          <t>3 (court)</t>
        </is>
      </c>
      <c r="D37" s="8" t="inlineStr">
        <is>
          <t>Another country (list country):</t>
        </is>
      </c>
      <c r="E37" s="8" t="inlineStr">
        <is>
          <t>DV-145[0].Page1[0].List3[0].Li2[0].List[0].Li6[0].CheckBoxRightCaption3[0]</t>
        </is>
      </c>
      <c r="F37" s="8" t="inlineStr">
        <is>
          <t>checkbox</t>
        </is>
      </c>
      <c r="G37" s="8" t="inlineStr">
        <is>
          <t>1</t>
        </is>
      </c>
      <c r="H37" s="8" t="inlineStr"/>
      <c r="I37" s="8" t="inlineStr">
        <is>
          <t>115, 520, 124, 529</t>
        </is>
      </c>
      <c r="J37" s="8" t="inlineStr">
        <is>
          <t>court/clerk</t>
        </is>
      </c>
      <c r="K37" s="8" t="inlineStr"/>
      <c r="L37" s="8" t="inlineStr"/>
      <c r="M37" s="8" t="inlineStr"/>
      <c r="N37" s="8" t="inlineStr">
        <is>
          <t>Judge completes.</t>
        </is>
      </c>
      <c r="O37" s="8" t="inlineStr"/>
    </row>
    <row r="38">
      <c r="A38" s="8" t="n">
        <v>37</v>
      </c>
      <c r="B38" s="8" t="n">
        <v>1</v>
      </c>
      <c r="C38" s="8" t="inlineStr">
        <is>
          <t>3 (court)</t>
        </is>
      </c>
      <c r="D38" s="8" t="inlineStr">
        <is>
          <t>list country</t>
        </is>
      </c>
      <c r="E38" s="8" t="inlineStr">
        <is>
          <t>DV-145[0].Page1[0].List3[0].Li2[0].List[0].Li6[0].TextField4[0]</t>
        </is>
      </c>
      <c r="F38" s="8" t="inlineStr">
        <is>
          <t>text</t>
        </is>
      </c>
      <c r="G38" s="8" t="inlineStr"/>
      <c r="H38" s="8" t="inlineStr"/>
      <c r="I38" s="8" t="inlineStr">
        <is>
          <t>265, 519, 576, 531</t>
        </is>
      </c>
      <c r="J38" s="8" t="inlineStr">
        <is>
          <t>court/clerk</t>
        </is>
      </c>
      <c r="K38" s="8" t="inlineStr"/>
      <c r="L38" s="8" t="inlineStr"/>
      <c r="M38" s="8" t="inlineStr"/>
      <c r="N38" s="8" t="inlineStr">
        <is>
          <t>Judge completes.</t>
        </is>
      </c>
      <c r="O38" s="8" t="inlineStr"/>
    </row>
    <row r="39">
      <c r="A39" s="8" t="n">
        <v>38</v>
      </c>
      <c r="B39" s="8" t="n">
        <v>1</v>
      </c>
      <c r="C39" s="8" t="inlineStr">
        <is>
          <t>3 (court)</t>
        </is>
      </c>
      <c r="D39" s="8" t="inlineStr">
        <is>
          <t>Is a citizen of another country (list country):</t>
        </is>
      </c>
      <c r="E39" s="8" t="inlineStr">
        <is>
          <t>DV-145[0].Page1[0].List3[0].Li2[0].List[0].Li7[0].CheckBoxRightCaption[0]</t>
        </is>
      </c>
      <c r="F39" s="8" t="inlineStr">
        <is>
          <t>checkbox</t>
        </is>
      </c>
      <c r="G39" s="8" t="inlineStr">
        <is>
          <t>1</t>
        </is>
      </c>
      <c r="H39" s="8" t="inlineStr"/>
      <c r="I39" s="8" t="inlineStr">
        <is>
          <t>105, 540, 114, 549</t>
        </is>
      </c>
      <c r="J39" s="8" t="inlineStr">
        <is>
          <t>court/clerk</t>
        </is>
      </c>
      <c r="K39" s="8" t="inlineStr"/>
      <c r="L39" s="8" t="inlineStr"/>
      <c r="M39" s="8" t="inlineStr"/>
      <c r="N39" s="8" t="inlineStr">
        <is>
          <t>Judge completes.</t>
        </is>
      </c>
      <c r="O39" s="8" t="inlineStr"/>
    </row>
    <row r="40">
      <c r="A40" s="8" t="n">
        <v>39</v>
      </c>
      <c r="B40" s="8" t="n">
        <v>1</v>
      </c>
      <c r="C40" s="8" t="inlineStr">
        <is>
          <t>3 (court)</t>
        </is>
      </c>
      <c r="D40" s="8" t="inlineStr">
        <is>
          <t>list country</t>
        </is>
      </c>
      <c r="E40" s="8" t="inlineStr">
        <is>
          <t>DV-145[0].Page1[0].List3[0].Li2[0].List[0].Li7[0].TextField[0]</t>
        </is>
      </c>
      <c r="F40" s="8" t="inlineStr">
        <is>
          <t>text</t>
        </is>
      </c>
      <c r="G40" s="8" t="inlineStr"/>
      <c r="H40" s="8" t="inlineStr"/>
      <c r="I40" s="8" t="inlineStr">
        <is>
          <t>319, 539, 576, 551</t>
        </is>
      </c>
      <c r="J40" s="8" t="inlineStr">
        <is>
          <t>court/clerk</t>
        </is>
      </c>
      <c r="K40" s="8" t="inlineStr"/>
      <c r="L40" s="8" t="inlineStr"/>
      <c r="M40" s="8" t="inlineStr"/>
      <c r="N40" s="8" t="inlineStr">
        <is>
          <t>Judge completes.</t>
        </is>
      </c>
      <c r="O40" s="8" t="inlineStr"/>
    </row>
    <row r="41">
      <c r="A41" s="8" t="n">
        <v>40</v>
      </c>
      <c r="B41" s="8" t="n">
        <v>1</v>
      </c>
      <c r="C41" s="8" t="inlineStr">
        <is>
          <t>3 (court)</t>
        </is>
      </c>
      <c r="D41" s="8" t="inlineStr">
        <is>
          <t>Other reasons:</t>
        </is>
      </c>
      <c r="E41" s="8" t="inlineStr">
        <is>
          <t>DV-145[0].Page1[0].List3[0].Li2[0].List[0].Li8[0].CheckBoxRightCaption[0]</t>
        </is>
      </c>
      <c r="F41" s="8" t="inlineStr">
        <is>
          <t>checkbox</t>
        </is>
      </c>
      <c r="G41" s="8" t="inlineStr">
        <is>
          <t>1</t>
        </is>
      </c>
      <c r="H41" s="8" t="inlineStr"/>
      <c r="I41" s="8" t="inlineStr">
        <is>
          <t>105, 563, 114, 572</t>
        </is>
      </c>
      <c r="J41" s="8" t="inlineStr">
        <is>
          <t>court/clerk</t>
        </is>
      </c>
      <c r="K41" s="8" t="inlineStr"/>
      <c r="L41" s="8" t="inlineStr"/>
      <c r="M41" s="8" t="inlineStr"/>
      <c r="N41" s="8" t="inlineStr">
        <is>
          <t>Judge completes.</t>
        </is>
      </c>
      <c r="O41" s="8" t="inlineStr"/>
    </row>
    <row r="42">
      <c r="A42" s="8" t="n">
        <v>41</v>
      </c>
      <c r="B42" s="8" t="n">
        <v>1</v>
      </c>
      <c r="C42" s="8" t="inlineStr">
        <is>
          <t>3 (court)</t>
        </is>
      </c>
      <c r="D42" s="8" t="inlineStr">
        <is>
          <t>Other reasons:</t>
        </is>
      </c>
      <c r="E42" s="8" t="inlineStr">
        <is>
          <t>DV-145[0].Page1[0].List3[0].Li2[0].List[0].Li8[0].TextFielditem3b8[0]</t>
        </is>
      </c>
      <c r="F42" s="8" t="inlineStr">
        <is>
          <t>text</t>
        </is>
      </c>
      <c r="G42" s="8" t="inlineStr"/>
      <c r="H42" s="8" t="inlineStr"/>
      <c r="I42" s="8" t="inlineStr">
        <is>
          <t>186, 562, 576, 574</t>
        </is>
      </c>
      <c r="J42" s="8" t="inlineStr">
        <is>
          <t>court/clerk</t>
        </is>
      </c>
      <c r="K42" s="8" t="inlineStr"/>
      <c r="L42" s="8" t="inlineStr"/>
      <c r="M42" s="8" t="inlineStr"/>
      <c r="N42" s="8" t="inlineStr">
        <is>
          <t>Judge completes.</t>
        </is>
      </c>
      <c r="O42" s="8" t="inlineStr"/>
    </row>
    <row r="43">
      <c r="A43" s="8" t="n">
        <v>42</v>
      </c>
      <c r="B43" s="8" t="n">
        <v>1</v>
      </c>
      <c r="C43" s="8" t="inlineStr">
        <is>
          <t>3 (court)</t>
        </is>
      </c>
      <c r="D43" s="8" t="inlineStr">
        <is>
          <t>Other reasons:</t>
        </is>
      </c>
      <c r="E43" s="8" t="inlineStr">
        <is>
          <t>DV-145[0].Page1[0].List3[0].Li2[0].List[0].Li8[0].TextFielditem3b8Cont[0]</t>
        </is>
      </c>
      <c r="F43" s="8" t="inlineStr">
        <is>
          <t>text</t>
        </is>
      </c>
      <c r="G43" s="8" t="inlineStr"/>
      <c r="H43" s="8" t="inlineStr"/>
      <c r="I43" s="8" t="inlineStr">
        <is>
          <t>105, 574, 575, 602</t>
        </is>
      </c>
      <c r="J43" s="8" t="inlineStr">
        <is>
          <t>court/clerk</t>
        </is>
      </c>
      <c r="K43" s="8" t="inlineStr"/>
      <c r="L43" s="8" t="inlineStr"/>
      <c r="M43" s="8" t="inlineStr"/>
      <c r="N43" s="8" t="inlineStr">
        <is>
          <t>Judge completes.</t>
        </is>
      </c>
      <c r="O43" s="8" t="inlineStr"/>
    </row>
    <row r="44">
      <c r="A44" s="8" t="n">
        <v>43</v>
      </c>
      <c r="B44" s="8" t="n">
        <v>1</v>
      </c>
      <c r="C44" s="8" t="inlineStr">
        <is>
          <t>4 (court)</t>
        </is>
      </c>
      <c r="D44" s="8" t="inlineStr">
        <is>
          <t>Do Not Move Without Written Permission of the Other Parent or Court Order</t>
        </is>
      </c>
      <c r="E44" s="8" t="inlineStr">
        <is>
          <t>DV-145[0].Page1[0].List4[0].Li1[0].CheckBoxRightCaption[0]</t>
        </is>
      </c>
      <c r="F44" s="8" t="inlineStr">
        <is>
          <t>checkbox</t>
        </is>
      </c>
      <c r="G44" s="8" t="inlineStr">
        <is>
          <t>1</t>
        </is>
      </c>
      <c r="H44" s="8" t="inlineStr"/>
      <c r="I44" s="8" t="inlineStr">
        <is>
          <t>63, 634, 72, 643</t>
        </is>
      </c>
      <c r="J44" s="8" t="inlineStr">
        <is>
          <t>court/clerk</t>
        </is>
      </c>
      <c r="K44" s="8" t="inlineStr"/>
      <c r="L44" s="8" t="inlineStr"/>
      <c r="M44" s="8" t="inlineStr"/>
      <c r="N44" s="8" t="inlineStr">
        <is>
          <t>Judge completes.</t>
        </is>
      </c>
      <c r="O44" s="8" t="inlineStr"/>
    </row>
    <row r="45">
      <c r="A45" s="8" t="n">
        <v>44</v>
      </c>
      <c r="B45" s="8" t="n">
        <v>1</v>
      </c>
      <c r="C45" s="8" t="inlineStr">
        <is>
          <t>4 (court)</t>
        </is>
      </c>
      <c r="D45" s="8" t="inlineStr">
        <is>
          <t>This county</t>
        </is>
      </c>
      <c r="E45" s="8" t="inlineStr">
        <is>
          <t>DV-145[0].Page1[0].List4[0].Li1[0].ChoiceItem4[0]</t>
        </is>
      </c>
      <c r="F45" s="8" t="inlineStr">
        <is>
          <t>checkbox</t>
        </is>
      </c>
      <c r="G45" s="8" t="inlineStr">
        <is>
          <t>1</t>
        </is>
      </c>
      <c r="H45" s="8" t="inlineStr"/>
      <c r="I45" s="8" t="inlineStr">
        <is>
          <t>63, 664, 72, 673</t>
        </is>
      </c>
      <c r="J45" s="8" t="inlineStr">
        <is>
          <t>court/clerk</t>
        </is>
      </c>
      <c r="K45" s="8" t="inlineStr"/>
      <c r="L45" s="8" t="inlineStr"/>
      <c r="M45" s="8" t="inlineStr"/>
      <c r="N45" s="8" t="inlineStr">
        <is>
          <t>Judge completes.</t>
        </is>
      </c>
      <c r="O45" s="8" t="inlineStr"/>
    </row>
    <row r="46">
      <c r="A46" s="8" t="n">
        <v>45</v>
      </c>
      <c r="B46" s="8" t="n">
        <v>1</v>
      </c>
      <c r="C46" s="8" t="inlineStr">
        <is>
          <t>4 (court)</t>
        </is>
      </c>
      <c r="D46" s="8" t="inlineStr">
        <is>
          <t>California</t>
        </is>
      </c>
      <c r="E46" s="8" t="inlineStr">
        <is>
          <t>DV-145[0].Page1[0].List4[0].Li1[0].ChoiceItem4[1]</t>
        </is>
      </c>
      <c r="F46" s="8" t="inlineStr">
        <is>
          <t>checkbox</t>
        </is>
      </c>
      <c r="G46" s="8" t="inlineStr">
        <is>
          <t>11</t>
        </is>
      </c>
      <c r="H46" s="8" t="inlineStr"/>
      <c r="I46" s="8" t="inlineStr">
        <is>
          <t>160, 665, 169, 674</t>
        </is>
      </c>
      <c r="J46" s="8" t="inlineStr">
        <is>
          <t>court/clerk</t>
        </is>
      </c>
      <c r="K46" s="8" t="inlineStr"/>
      <c r="L46" s="8" t="inlineStr"/>
      <c r="M46" s="8" t="inlineStr"/>
      <c r="N46" s="8" t="inlineStr">
        <is>
          <t>Judge completes.</t>
        </is>
      </c>
      <c r="O46" s="8" t="inlineStr"/>
    </row>
    <row r="47">
      <c r="A47" s="8" t="n">
        <v>46</v>
      </c>
      <c r="B47" s="8" t="n">
        <v>1</v>
      </c>
      <c r="C47" s="8" t="inlineStr">
        <is>
          <t>4 (court)</t>
        </is>
      </c>
      <c r="D47" s="8" t="inlineStr">
        <is>
          <t>The United States</t>
        </is>
      </c>
      <c r="E47" s="8" t="inlineStr">
        <is>
          <t>DV-145[0].Page1[0].List4[0].Li1[0].ChoiceItem4[2]</t>
        </is>
      </c>
      <c r="F47" s="8" t="inlineStr">
        <is>
          <t>checkbox</t>
        </is>
      </c>
      <c r="G47" s="8" t="inlineStr">
        <is>
          <t>22</t>
        </is>
      </c>
      <c r="H47" s="8" t="inlineStr"/>
      <c r="I47" s="8" t="inlineStr">
        <is>
          <t>242, 666, 251, 675</t>
        </is>
      </c>
      <c r="J47" s="8" t="inlineStr">
        <is>
          <t>court/clerk</t>
        </is>
      </c>
      <c r="K47" s="8" t="inlineStr"/>
      <c r="L47" s="8" t="inlineStr"/>
      <c r="M47" s="8" t="inlineStr"/>
      <c r="N47" s="8" t="inlineStr">
        <is>
          <t>Judge completes.</t>
        </is>
      </c>
      <c r="O47" s="8" t="inlineStr"/>
    </row>
    <row r="48">
      <c r="A48" s="8" t="n">
        <v>47</v>
      </c>
      <c r="B48" s="8" t="n">
        <v>1</v>
      </c>
      <c r="C48" s="8" t="inlineStr">
        <is>
          <t>4 (court)</t>
        </is>
      </c>
      <c r="D48" s="8" t="inlineStr">
        <is>
          <t>Other (specify):</t>
        </is>
      </c>
      <c r="E48" s="8" t="inlineStr">
        <is>
          <t>DV-145[0].Page1[0].List4[0].Li1[0].TextField2[0]</t>
        </is>
      </c>
      <c r="F48" s="8" t="inlineStr">
        <is>
          <t>text</t>
        </is>
      </c>
      <c r="G48" s="8" t="inlineStr"/>
      <c r="H48" s="8" t="inlineStr"/>
      <c r="I48" s="8" t="inlineStr">
        <is>
          <t>433, 665, 555, 677</t>
        </is>
      </c>
      <c r="J48" s="8" t="inlineStr">
        <is>
          <t>court/clerk</t>
        </is>
      </c>
      <c r="K48" s="8" t="inlineStr"/>
      <c r="L48" s="8" t="inlineStr"/>
      <c r="M48" s="8" t="inlineStr"/>
      <c r="N48" s="8" t="inlineStr">
        <is>
          <t>Judge completes.</t>
        </is>
      </c>
      <c r="O48" s="8" t="inlineStr"/>
    </row>
    <row r="49">
      <c r="A49" s="7" t="n">
        <v>48</v>
      </c>
      <c r="B49" s="7" t="n">
        <v>2</v>
      </c>
      <c r="C49" s="7" t="inlineStr">
        <is>
          <t>—</t>
        </is>
      </c>
      <c r="D49" s="7" t="inlineStr">
        <is>
          <t>For your protection and privacy, please press the Clear This Form button after you have printed the form.</t>
        </is>
      </c>
      <c r="E49" s="7" t="inlineStr">
        <is>
          <t>DV-145[0].#pageSet[0].MP2[0].FooterSub[0].Footer[0].#area[0].Warning[0]</t>
        </is>
      </c>
      <c r="F49" s="7" t="inlineStr">
        <is>
          <t>button</t>
        </is>
      </c>
      <c r="G49" s="7" t="inlineStr"/>
      <c r="H49" s="7" t="inlineStr"/>
      <c r="I49" s="7" t="inlineStr">
        <is>
          <t>36, 751, 247, 774</t>
        </is>
      </c>
      <c r="J49" s="7" t="inlineStr">
        <is>
          <t>ignore (UI button)</t>
        </is>
      </c>
      <c r="K49" s="7" t="inlineStr"/>
      <c r="L49" s="7" t="inlineStr"/>
      <c r="M49" s="7" t="inlineStr"/>
      <c r="N49" s="7" t="inlineStr">
        <is>
          <t>Print/Save/Clear button. Do not fill.</t>
        </is>
      </c>
      <c r="O49" s="7" t="inlineStr"/>
    </row>
    <row r="50">
      <c r="A50" s="7" t="n">
        <v>49</v>
      </c>
      <c r="B50" s="7" t="n">
        <v>2</v>
      </c>
      <c r="C50" s="7" t="inlineStr">
        <is>
          <t>—</t>
        </is>
      </c>
      <c r="D50" s="7" t="inlineStr">
        <is>
          <t>Print this form</t>
        </is>
      </c>
      <c r="E50" s="7" t="inlineStr">
        <is>
          <t>DV-145[0].#pageSet[0].MP2[0].FooterSub[0].Footer[0].#area[0].Print[0]</t>
        </is>
      </c>
      <c r="F50" s="7" t="inlineStr">
        <is>
          <t>button</t>
        </is>
      </c>
      <c r="G50" s="7" t="inlineStr"/>
      <c r="H50" s="7" t="inlineStr"/>
      <c r="I50" s="7" t="inlineStr">
        <is>
          <t>258, 757, 339, 774</t>
        </is>
      </c>
      <c r="J50" s="7" t="inlineStr">
        <is>
          <t>ignore (UI button)</t>
        </is>
      </c>
      <c r="K50" s="7" t="inlineStr"/>
      <c r="L50" s="7" t="inlineStr"/>
      <c r="M50" s="7" t="inlineStr"/>
      <c r="N50" s="7" t="inlineStr">
        <is>
          <t>Print/Save/Clear button. Do not fill.</t>
        </is>
      </c>
      <c r="O50" s="7" t="inlineStr"/>
    </row>
    <row r="51">
      <c r="A51" s="7" t="n">
        <v>50</v>
      </c>
      <c r="B51" s="7" t="n">
        <v>2</v>
      </c>
      <c r="C51" s="7" t="inlineStr">
        <is>
          <t>—</t>
        </is>
      </c>
      <c r="D51" s="7" t="inlineStr">
        <is>
          <t>Save this form</t>
        </is>
      </c>
      <c r="E51" s="7" t="inlineStr">
        <is>
          <t>DV-145[0].#pageSet[0].MP2[0].FooterSub[0].Footer[0].#area[0].Save[0]</t>
        </is>
      </c>
      <c r="F51" s="7" t="inlineStr">
        <is>
          <t>button</t>
        </is>
      </c>
      <c r="G51" s="7" t="inlineStr"/>
      <c r="H51" s="7" t="inlineStr"/>
      <c r="I51" s="7" t="inlineStr">
        <is>
          <t>345, 757, 426, 774</t>
        </is>
      </c>
      <c r="J51" s="7" t="inlineStr">
        <is>
          <t>ignore (UI button)</t>
        </is>
      </c>
      <c r="K51" s="7" t="inlineStr"/>
      <c r="L51" s="7" t="inlineStr"/>
      <c r="M51" s="7" t="inlineStr"/>
      <c r="N51" s="7" t="inlineStr">
        <is>
          <t>Print/Save/Clear button. Do not fill.</t>
        </is>
      </c>
      <c r="O51" s="7" t="inlineStr"/>
    </row>
    <row r="52">
      <c r="A52" s="7" t="n">
        <v>51</v>
      </c>
      <c r="B52" s="7" t="n">
        <v>2</v>
      </c>
      <c r="C52" s="7" t="inlineStr">
        <is>
          <t>—</t>
        </is>
      </c>
      <c r="D52" s="7" t="inlineStr">
        <is>
          <t>Clear this form</t>
        </is>
      </c>
      <c r="E52" s="7" t="inlineStr">
        <is>
          <t>DV-145[0].#pageSet[0].MP2[0].FooterSub[0].Footer[0].#area[0].Reset[0]</t>
        </is>
      </c>
      <c r="F52" s="7" t="inlineStr">
        <is>
          <t>button</t>
        </is>
      </c>
      <c r="G52" s="7" t="inlineStr"/>
      <c r="H52" s="7" t="inlineStr"/>
      <c r="I52" s="7" t="inlineStr">
        <is>
          <t>494, 757, 575, 774</t>
        </is>
      </c>
      <c r="J52" s="7" t="inlineStr">
        <is>
          <t>ignore (UI button)</t>
        </is>
      </c>
      <c r="K52" s="7" t="inlineStr"/>
      <c r="L52" s="7" t="inlineStr"/>
      <c r="M52" s="7" t="inlineStr"/>
      <c r="N52" s="7" t="inlineStr">
        <is>
          <t>Print/Save/Clear button. Do not fill.</t>
        </is>
      </c>
      <c r="O52" s="7" t="inlineStr"/>
    </row>
    <row r="53">
      <c r="A53" s="5" t="n">
        <v>52</v>
      </c>
      <c r="B53" s="5" t="n">
        <v>2</v>
      </c>
      <c r="C53" s="5" t="inlineStr">
        <is>
          <t>Caption</t>
        </is>
      </c>
      <c r="D53" s="5" t="inlineStr">
        <is>
          <t>Case Number</t>
        </is>
      </c>
      <c r="E53" s="5" t="inlineStr">
        <is>
          <t>DV-145[0].Page2[0].CaptionSub[0].PxCaption[0].RightCaption[0].CaseNumber[0]</t>
        </is>
      </c>
      <c r="F53" s="5" t="inlineStr">
        <is>
          <t>text</t>
        </is>
      </c>
      <c r="G53" s="5" t="inlineStr"/>
      <c r="H53" s="5" t="inlineStr"/>
      <c r="I53" s="5" t="inlineStr">
        <is>
          <t>399, 49, 573, 66</t>
        </is>
      </c>
      <c r="J53" s="5" t="inlineStr">
        <is>
          <t>question</t>
        </is>
      </c>
      <c r="K53" s="5" t="inlineStr">
        <is>
          <t>S3,S4</t>
        </is>
      </c>
      <c r="L53" s="5">
        <f> S4</f>
        <v/>
      </c>
      <c r="M53" s="5" t="inlineStr">
        <is>
          <t>S3 == "update"; otherwise blank for clerk</t>
        </is>
      </c>
      <c r="N53" s="5" t="inlineStr"/>
      <c r="O53" s="5" t="inlineStr"/>
    </row>
    <row r="54">
      <c r="A54" s="8" t="n">
        <v>53</v>
      </c>
      <c r="B54" s="8" t="n">
        <v>2</v>
      </c>
      <c r="C54" s="8" t="inlineStr">
        <is>
          <t>5 (court)</t>
        </is>
      </c>
      <c r="D54" s="8" t="inlineStr">
        <is>
          <t>Turn In and Do Not Apply for Passports or Other Important Documents</t>
        </is>
      </c>
      <c r="E54" s="8" t="inlineStr">
        <is>
          <t>DV-145[0].Page2[0].List5[0].Li1[0].CheckBoxRightCaption[0]</t>
        </is>
      </c>
      <c r="F54" s="8" t="inlineStr">
        <is>
          <t>checkbox</t>
        </is>
      </c>
      <c r="G54" s="8" t="inlineStr">
        <is>
          <t>1</t>
        </is>
      </c>
      <c r="H54" s="8" t="inlineStr"/>
      <c r="I54" s="8" t="inlineStr">
        <is>
          <t>63, 88, 72, 97</t>
        </is>
      </c>
      <c r="J54" s="8" t="inlineStr">
        <is>
          <t>court/clerk</t>
        </is>
      </c>
      <c r="K54" s="8" t="inlineStr"/>
      <c r="L54" s="8" t="inlineStr"/>
      <c r="M54" s="8" t="inlineStr"/>
      <c r="N54" s="8" t="inlineStr">
        <is>
          <t>Judge completes.</t>
        </is>
      </c>
      <c r="O54" s="8" t="inlineStr"/>
    </row>
    <row r="55">
      <c r="A55" s="8" t="n">
        <v>54</v>
      </c>
      <c r="B55" s="8" t="n">
        <v>2</v>
      </c>
      <c r="C55" s="8" t="inlineStr">
        <is>
          <t>5 (court)</t>
        </is>
      </c>
      <c r="D55" s="8" t="inlineStr">
        <is>
          <t>the following documents</t>
        </is>
      </c>
      <c r="E55" s="8" t="inlineStr">
        <is>
          <t>DV-145[0].Page2[0].List5[0].Li1[0].TextField[0]</t>
        </is>
      </c>
      <c r="F55" s="8" t="inlineStr">
        <is>
          <t>text</t>
        </is>
      </c>
      <c r="G55" s="8" t="inlineStr"/>
      <c r="H55" s="8" t="inlineStr"/>
      <c r="I55" s="8" t="inlineStr">
        <is>
          <t>308, 115, 575, 130</t>
        </is>
      </c>
      <c r="J55" s="8" t="inlineStr">
        <is>
          <t>court/clerk</t>
        </is>
      </c>
      <c r="K55" s="8" t="inlineStr"/>
      <c r="L55" s="8" t="inlineStr"/>
      <c r="M55" s="8" t="inlineStr"/>
      <c r="N55" s="8" t="inlineStr">
        <is>
          <t>Judge completes.</t>
        </is>
      </c>
      <c r="O55" s="8" t="inlineStr"/>
    </row>
    <row r="56">
      <c r="A56" s="8" t="n">
        <v>55</v>
      </c>
      <c r="B56" s="8" t="n">
        <v>2</v>
      </c>
      <c r="C56" s="8" t="inlineStr">
        <is>
          <t>5 (court)</t>
        </is>
      </c>
      <c r="D56" s="8" t="inlineStr">
        <is>
          <t>by (date):</t>
        </is>
      </c>
      <c r="E56" s="8" t="inlineStr">
        <is>
          <t>DV-145[0].Page2[0].List5[0].Li1[0].DateField1[0]</t>
        </is>
      </c>
      <c r="F56" s="8" t="inlineStr">
        <is>
          <t>text</t>
        </is>
      </c>
      <c r="G56" s="8" t="inlineStr"/>
      <c r="H56" s="8" t="inlineStr"/>
      <c r="I56" s="8" t="inlineStr">
        <is>
          <t>109, 130, 247, 145</t>
        </is>
      </c>
      <c r="J56" s="8" t="inlineStr">
        <is>
          <t>court/clerk</t>
        </is>
      </c>
      <c r="K56" s="8" t="inlineStr"/>
      <c r="L56" s="8" t="inlineStr"/>
      <c r="M56" s="8" t="inlineStr"/>
      <c r="N56" s="8" t="inlineStr">
        <is>
          <t>Judge completes.</t>
        </is>
      </c>
      <c r="O56" s="8" t="inlineStr"/>
    </row>
    <row r="57">
      <c r="A57" s="8" t="n">
        <v>56</v>
      </c>
      <c r="B57" s="8" t="n">
        <v>2</v>
      </c>
      <c r="C57" s="8" t="inlineStr">
        <is>
          <t>5 (court)</t>
        </is>
      </c>
      <c r="D57" s="8" t="inlineStr">
        <is>
          <t>to (name):</t>
        </is>
      </c>
      <c r="E57" s="8" t="inlineStr">
        <is>
          <t>DV-145[0].Page2[0].List5[0].Li1[0].TextField2[0]</t>
        </is>
      </c>
      <c r="F57" s="8" t="inlineStr">
        <is>
          <t>text</t>
        </is>
      </c>
      <c r="G57" s="8" t="inlineStr"/>
      <c r="H57" s="8" t="inlineStr"/>
      <c r="I57" s="8" t="inlineStr">
        <is>
          <t>305, 130, 571, 145</t>
        </is>
      </c>
      <c r="J57" s="8" t="inlineStr">
        <is>
          <t>court/clerk</t>
        </is>
      </c>
      <c r="K57" s="8" t="inlineStr"/>
      <c r="L57" s="8" t="inlineStr"/>
      <c r="M57" s="8" t="inlineStr"/>
      <c r="N57" s="8" t="inlineStr">
        <is>
          <t>Judge completes.</t>
        </is>
      </c>
      <c r="O57" s="8" t="inlineStr"/>
    </row>
    <row r="58">
      <c r="A58" s="8" t="n">
        <v>57</v>
      </c>
      <c r="B58" s="8" t="n">
        <v>2</v>
      </c>
      <c r="C58" s="8" t="inlineStr">
        <is>
          <t>6 (court)</t>
        </is>
      </c>
      <c r="D58" s="8" t="inlineStr">
        <is>
          <t>Provide Travel Plan and Documents</t>
        </is>
      </c>
      <c r="E58" s="8" t="inlineStr">
        <is>
          <t>DV-145[0].Page2[0].List6[0].Li1[0].CheckBoxRightCaption[0]</t>
        </is>
      </c>
      <c r="F58" s="8" t="inlineStr">
        <is>
          <t>checkbox</t>
        </is>
      </c>
      <c r="G58" s="8" t="inlineStr">
        <is>
          <t>1</t>
        </is>
      </c>
      <c r="H58" s="8" t="inlineStr"/>
      <c r="I58" s="8" t="inlineStr">
        <is>
          <t>63, 165, 72, 174</t>
        </is>
      </c>
      <c r="J58" s="8" t="inlineStr">
        <is>
          <t>court/clerk</t>
        </is>
      </c>
      <c r="K58" s="8" t="inlineStr"/>
      <c r="L58" s="8" t="inlineStr"/>
      <c r="M58" s="8" t="inlineStr"/>
      <c r="N58" s="8" t="inlineStr">
        <is>
          <t>Judge completes.</t>
        </is>
      </c>
      <c r="O58" s="8" t="inlineStr"/>
    </row>
    <row r="59">
      <c r="A59" s="8" t="n">
        <v>58</v>
      </c>
      <c r="B59" s="8" t="n">
        <v>2</v>
      </c>
      <c r="C59" s="8" t="inlineStr">
        <is>
          <t>6 (court)</t>
        </is>
      </c>
      <c r="D59" s="8" t="inlineStr">
        <is>
          <t>Children's travel schedule</t>
        </is>
      </c>
      <c r="E59" s="8" t="inlineStr">
        <is>
          <t>DV-145[0].Page2[0].List6[0].Li1[0].CheckBoxRightCaption[1]</t>
        </is>
      </c>
      <c r="F59" s="8" t="inlineStr">
        <is>
          <t>checkbox</t>
        </is>
      </c>
      <c r="G59" s="8" t="inlineStr">
        <is>
          <t>1</t>
        </is>
      </c>
      <c r="H59" s="8" t="inlineStr"/>
      <c r="I59" s="8" t="inlineStr">
        <is>
          <t>63, 195, 72, 204</t>
        </is>
      </c>
      <c r="J59" s="8" t="inlineStr">
        <is>
          <t>court/clerk</t>
        </is>
      </c>
      <c r="K59" s="8" t="inlineStr"/>
      <c r="L59" s="8" t="inlineStr"/>
      <c r="M59" s="8" t="inlineStr"/>
      <c r="N59" s="8" t="inlineStr">
        <is>
          <t>Judge completes.</t>
        </is>
      </c>
      <c r="O59" s="8" t="inlineStr"/>
    </row>
    <row r="60">
      <c r="A60" s="8" t="n">
        <v>59</v>
      </c>
      <c r="B60" s="8" t="n">
        <v>2</v>
      </c>
      <c r="C60" s="8" t="inlineStr">
        <is>
          <t>6 (court)</t>
        </is>
      </c>
      <c r="D60" s="8" t="inlineStr">
        <is>
          <t>Copies of round-trip airline tickets</t>
        </is>
      </c>
      <c r="E60" s="8" t="inlineStr">
        <is>
          <t>DV-145[0].Page2[0].List6[0].Li1[0].CheckBoxRightCaption1[0]</t>
        </is>
      </c>
      <c r="F60" s="8" t="inlineStr">
        <is>
          <t>checkbox</t>
        </is>
      </c>
      <c r="G60" s="8" t="inlineStr">
        <is>
          <t>1</t>
        </is>
      </c>
      <c r="H60" s="8" t="inlineStr"/>
      <c r="I60" s="8" t="inlineStr">
        <is>
          <t>63, 206, 72, 215</t>
        </is>
      </c>
      <c r="J60" s="8" t="inlineStr">
        <is>
          <t>court/clerk</t>
        </is>
      </c>
      <c r="K60" s="8" t="inlineStr"/>
      <c r="L60" s="8" t="inlineStr"/>
      <c r="M60" s="8" t="inlineStr"/>
      <c r="N60" s="8" t="inlineStr">
        <is>
          <t>Judge completes.</t>
        </is>
      </c>
      <c r="O60" s="8" t="inlineStr"/>
    </row>
    <row r="61">
      <c r="A61" s="8" t="n">
        <v>60</v>
      </c>
      <c r="B61" s="8" t="n">
        <v>2</v>
      </c>
      <c r="C61" s="8" t="inlineStr">
        <is>
          <t>6 (court)</t>
        </is>
      </c>
      <c r="D61" s="8" t="inlineStr">
        <is>
          <t>Addresses and telephone numbers where children can be reached</t>
        </is>
      </c>
      <c r="E61" s="8" t="inlineStr">
        <is>
          <t>DV-145[0].Page2[0].List6[0].Li1[0].CheckBoxRightCaption2[0]</t>
        </is>
      </c>
      <c r="F61" s="8" t="inlineStr">
        <is>
          <t>checkbox</t>
        </is>
      </c>
      <c r="G61" s="8" t="inlineStr">
        <is>
          <t>1</t>
        </is>
      </c>
      <c r="H61" s="8" t="inlineStr"/>
      <c r="I61" s="8" t="inlineStr">
        <is>
          <t>63, 217, 72, 226</t>
        </is>
      </c>
      <c r="J61" s="8" t="inlineStr">
        <is>
          <t>court/clerk</t>
        </is>
      </c>
      <c r="K61" s="8" t="inlineStr"/>
      <c r="L61" s="8" t="inlineStr"/>
      <c r="M61" s="8" t="inlineStr"/>
      <c r="N61" s="8" t="inlineStr">
        <is>
          <t>Judge completes.</t>
        </is>
      </c>
      <c r="O61" s="8" t="inlineStr"/>
    </row>
    <row r="62">
      <c r="A62" s="8" t="n">
        <v>61</v>
      </c>
      <c r="B62" s="8" t="n">
        <v>2</v>
      </c>
      <c r="C62" s="8" t="inlineStr">
        <is>
          <t>6 (court)</t>
        </is>
      </c>
      <c r="D62" s="8" t="inlineStr">
        <is>
          <t>An open airline ticket for the person in 1 in case the children are not returned</t>
        </is>
      </c>
      <c r="E62" s="8" t="inlineStr">
        <is>
          <t>DV-145[0].Page2[0].List6[0].Li1[0].CheckBoxRightCaption3[0]</t>
        </is>
      </c>
      <c r="F62" s="8" t="inlineStr">
        <is>
          <t>checkbox</t>
        </is>
      </c>
      <c r="G62" s="8" t="inlineStr">
        <is>
          <t>1</t>
        </is>
      </c>
      <c r="H62" s="8" t="inlineStr"/>
      <c r="I62" s="8" t="inlineStr">
        <is>
          <t>63, 229, 72, 238</t>
        </is>
      </c>
      <c r="J62" s="8" t="inlineStr">
        <is>
          <t>court/clerk</t>
        </is>
      </c>
      <c r="K62" s="8" t="inlineStr"/>
      <c r="L62" s="8" t="inlineStr"/>
      <c r="M62" s="8" t="inlineStr"/>
      <c r="N62" s="8" t="inlineStr">
        <is>
          <t>Judge completes.</t>
        </is>
      </c>
      <c r="O62" s="8" t="inlineStr"/>
    </row>
    <row r="63">
      <c r="A63" s="8" t="n">
        <v>62</v>
      </c>
      <c r="B63" s="8" t="n">
        <v>2</v>
      </c>
      <c r="C63" s="8" t="inlineStr">
        <is>
          <t>6 (court)</t>
        </is>
      </c>
      <c r="D63" s="8" t="inlineStr">
        <is>
          <t>Other</t>
        </is>
      </c>
      <c r="E63" s="8" t="inlineStr">
        <is>
          <t>DV-145[0].Page2[0].List6[0].Li1[0].CheckBoxRightCaption4[0]</t>
        </is>
      </c>
      <c r="F63" s="8" t="inlineStr">
        <is>
          <t>checkbox</t>
        </is>
      </c>
      <c r="G63" s="8" t="inlineStr">
        <is>
          <t>1</t>
        </is>
      </c>
      <c r="H63" s="8" t="inlineStr"/>
      <c r="I63" s="8" t="inlineStr">
        <is>
          <t>63, 241, 72, 250</t>
        </is>
      </c>
      <c r="J63" s="8" t="inlineStr">
        <is>
          <t>court/clerk</t>
        </is>
      </c>
      <c r="K63" s="8" t="inlineStr"/>
      <c r="L63" s="8" t="inlineStr"/>
      <c r="M63" s="8" t="inlineStr"/>
      <c r="N63" s="8" t="inlineStr">
        <is>
          <t>Judge completes.</t>
        </is>
      </c>
      <c r="O63" s="8" t="inlineStr"/>
    </row>
    <row r="64">
      <c r="A64" s="8" t="n">
        <v>63</v>
      </c>
      <c r="B64" s="8" t="n">
        <v>2</v>
      </c>
      <c r="C64" s="8" t="inlineStr">
        <is>
          <t>6 (court)</t>
        </is>
      </c>
      <c r="D64" s="8" t="inlineStr">
        <is>
          <t>(describe):</t>
        </is>
      </c>
      <c r="E64" s="8" t="inlineStr">
        <is>
          <t>DV-145[0].Page2[0].List6[0].Li1[0].TextField2[0]</t>
        </is>
      </c>
      <c r="F64" s="8" t="inlineStr">
        <is>
          <t>text</t>
        </is>
      </c>
      <c r="G64" s="8" t="inlineStr"/>
      <c r="H64" s="8" t="inlineStr"/>
      <c r="I64" s="8" t="inlineStr">
        <is>
          <t>156, 240, 478, 253</t>
        </is>
      </c>
      <c r="J64" s="8" t="inlineStr">
        <is>
          <t>court/clerk</t>
        </is>
      </c>
      <c r="K64" s="8" t="inlineStr"/>
      <c r="L64" s="8" t="inlineStr"/>
      <c r="M64" s="8" t="inlineStr"/>
      <c r="N64" s="8" t="inlineStr">
        <is>
          <t>Judge completes.</t>
        </is>
      </c>
      <c r="O64" s="8" t="inlineStr"/>
    </row>
    <row r="65">
      <c r="A65" s="8" t="n">
        <v>64</v>
      </c>
      <c r="B65" s="8" t="n">
        <v>2</v>
      </c>
      <c r="C65" s="8" t="inlineStr">
        <is>
          <t>7 (court)</t>
        </is>
      </c>
      <c r="D65" s="8" t="inlineStr">
        <is>
          <t>Notify Other State of Travel Restrictions</t>
        </is>
      </c>
      <c r="E65" s="8" t="inlineStr">
        <is>
          <t>DV-145[0].Page2[0].List7[0].Li1[0].CheckBoxRightCaption[0]</t>
        </is>
      </c>
      <c r="F65" s="8" t="inlineStr">
        <is>
          <t>checkbox</t>
        </is>
      </c>
      <c r="G65" s="8" t="inlineStr">
        <is>
          <t>1</t>
        </is>
      </c>
      <c r="H65" s="8" t="inlineStr"/>
      <c r="I65" s="8" t="inlineStr">
        <is>
          <t>62, 274, 71, 283</t>
        </is>
      </c>
      <c r="J65" s="8" t="inlineStr">
        <is>
          <t>court/clerk</t>
        </is>
      </c>
      <c r="K65" s="8" t="inlineStr"/>
      <c r="L65" s="8" t="inlineStr"/>
      <c r="M65" s="8" t="inlineStr"/>
      <c r="N65" s="8" t="inlineStr">
        <is>
          <t>Judge completes.</t>
        </is>
      </c>
      <c r="O65" s="8" t="inlineStr"/>
    </row>
    <row r="66">
      <c r="A66" s="8" t="n">
        <v>65</v>
      </c>
      <c r="B66" s="8" t="n">
        <v>2</v>
      </c>
      <c r="C66" s="8" t="inlineStr">
        <is>
          <t>7 (court)</t>
        </is>
      </c>
      <c r="D66" s="8" t="inlineStr">
        <is>
          <t>(list county and state):</t>
        </is>
      </c>
      <c r="E66" s="8" t="inlineStr">
        <is>
          <t>DV-145[0].Page2[0].List7[0].Li1[0].TextField[0]</t>
        </is>
      </c>
      <c r="F66" s="8" t="inlineStr">
        <is>
          <t>text</t>
        </is>
      </c>
      <c r="G66" s="8" t="inlineStr"/>
      <c r="H66" s="8" t="inlineStr"/>
      <c r="I66" s="8" t="inlineStr">
        <is>
          <t>353, 290, 574, 305</t>
        </is>
      </c>
      <c r="J66" s="8" t="inlineStr">
        <is>
          <t>court/clerk</t>
        </is>
      </c>
      <c r="K66" s="8" t="inlineStr"/>
      <c r="L66" s="8" t="inlineStr"/>
      <c r="M66" s="8" t="inlineStr"/>
      <c r="N66" s="8" t="inlineStr">
        <is>
          <t>Judge completes.</t>
        </is>
      </c>
      <c r="O66" s="8" t="inlineStr"/>
    </row>
    <row r="67">
      <c r="A67" s="8" t="n">
        <v>66</v>
      </c>
      <c r="B67" s="8" t="n">
        <v>2</v>
      </c>
      <c r="C67" s="8" t="inlineStr">
        <is>
          <t>8 (court)</t>
        </is>
      </c>
      <c r="D67" s="8" t="inlineStr">
        <is>
          <t>Notify Foreign Embassy or Consulate of Passport Restrictions</t>
        </is>
      </c>
      <c r="E67" s="8" t="inlineStr">
        <is>
          <t>DV-145[0].Page2[0].List8[0].Li1[0].CheckBoxRightCaption[0]</t>
        </is>
      </c>
      <c r="F67" s="8" t="inlineStr">
        <is>
          <t>checkbox</t>
        </is>
      </c>
      <c r="G67" s="8" t="inlineStr">
        <is>
          <t>1</t>
        </is>
      </c>
      <c r="H67" s="8" t="inlineStr"/>
      <c r="I67" s="8" t="inlineStr">
        <is>
          <t>63, 339, 72, 348</t>
        </is>
      </c>
      <c r="J67" s="8" t="inlineStr">
        <is>
          <t>court/clerk</t>
        </is>
      </c>
      <c r="K67" s="8" t="inlineStr"/>
      <c r="L67" s="8" t="inlineStr"/>
      <c r="M67" s="8" t="inlineStr"/>
      <c r="N67" s="8" t="inlineStr">
        <is>
          <t>Judge completes.</t>
        </is>
      </c>
      <c r="O67" s="8" t="inlineStr"/>
    </row>
    <row r="68">
      <c r="A68" s="8" t="n">
        <v>67</v>
      </c>
      <c r="B68" s="8" t="n">
        <v>2</v>
      </c>
      <c r="C68" s="8" t="inlineStr">
        <is>
          <t>8 (court)</t>
        </is>
      </c>
      <c r="D68" s="8" t="inlineStr">
        <is>
          <t>name of embassy or consulate</t>
        </is>
      </c>
      <c r="E68" s="8" t="inlineStr">
        <is>
          <t>DV-145[0].Page2[0].List8[0].Li1[0].TextField[0]</t>
        </is>
      </c>
      <c r="F68" s="8" t="inlineStr">
        <is>
          <t>text</t>
        </is>
      </c>
      <c r="G68" s="8" t="inlineStr"/>
      <c r="H68" s="8" t="inlineStr"/>
      <c r="I68" s="8" t="inlineStr">
        <is>
          <t>326, 355, 571, 370</t>
        </is>
      </c>
      <c r="J68" s="8" t="inlineStr">
        <is>
          <t>court/clerk</t>
        </is>
      </c>
      <c r="K68" s="8" t="inlineStr"/>
      <c r="L68" s="8" t="inlineStr"/>
      <c r="M68" s="8" t="inlineStr"/>
      <c r="N68" s="8" t="inlineStr">
        <is>
          <t>Judge completes.</t>
        </is>
      </c>
      <c r="O68" s="8" t="inlineStr"/>
    </row>
    <row r="69">
      <c r="A69" s="8" t="n">
        <v>68</v>
      </c>
      <c r="B69" s="8" t="n">
        <v>2</v>
      </c>
      <c r="C69" s="8" t="inlineStr">
        <is>
          <t>8 (court)</t>
        </is>
      </c>
      <c r="D69" s="8" t="inlineStr">
        <is>
          <t>date</t>
        </is>
      </c>
      <c r="E69" s="8" t="inlineStr">
        <is>
          <t>DV-145[0].Page2[0].List8[0].Li1[0].DateField2[0]</t>
        </is>
      </c>
      <c r="F69" s="8" t="inlineStr">
        <is>
          <t>text</t>
        </is>
      </c>
      <c r="G69" s="8" t="inlineStr"/>
      <c r="H69" s="8" t="inlineStr"/>
      <c r="I69" s="8" t="inlineStr">
        <is>
          <t>370, 368, 571, 383</t>
        </is>
      </c>
      <c r="J69" s="8" t="inlineStr">
        <is>
          <t>court/clerk</t>
        </is>
      </c>
      <c r="K69" s="8" t="inlineStr"/>
      <c r="L69" s="8" t="inlineStr"/>
      <c r="M69" s="8" t="inlineStr"/>
      <c r="N69" s="8" t="inlineStr">
        <is>
          <t>Judge completes.</t>
        </is>
      </c>
      <c r="O69" s="8" t="inlineStr"/>
    </row>
    <row r="70">
      <c r="A70" s="8" t="n">
        <v>69</v>
      </c>
      <c r="B70" s="8" t="n">
        <v>2</v>
      </c>
      <c r="C70" s="8" t="inlineStr">
        <is>
          <t>9 (court)</t>
        </is>
      </c>
      <c r="D70" s="8" t="inlineStr">
        <is>
          <t>Foreign Custody and Visitation Order</t>
        </is>
      </c>
      <c r="E70" s="8" t="inlineStr">
        <is>
          <t>DV-145[0].Page2[0].List9[0].Li1[0].CheckBoxRightCaption[0]</t>
        </is>
      </c>
      <c r="F70" s="8" t="inlineStr">
        <is>
          <t>checkbox</t>
        </is>
      </c>
      <c r="G70" s="8" t="inlineStr">
        <is>
          <t>1</t>
        </is>
      </c>
      <c r="H70" s="8" t="inlineStr"/>
      <c r="I70" s="8" t="inlineStr">
        <is>
          <t>63, 406, 72, 415</t>
        </is>
      </c>
      <c r="J70" s="8" t="inlineStr">
        <is>
          <t>court/clerk</t>
        </is>
      </c>
      <c r="K70" s="8" t="inlineStr"/>
      <c r="L70" s="8" t="inlineStr"/>
      <c r="M70" s="8" t="inlineStr"/>
      <c r="N70" s="8" t="inlineStr">
        <is>
          <t>Judge completes.</t>
        </is>
      </c>
      <c r="O70" s="8" t="inlineStr"/>
    </row>
    <row r="71">
      <c r="A71" s="8" t="n">
        <v>70</v>
      </c>
      <c r="B71" s="8" t="n">
        <v>2</v>
      </c>
      <c r="C71" s="8" t="inlineStr">
        <is>
          <t>9 (court)</t>
        </is>
      </c>
      <c r="D71" s="8" t="inlineStr">
        <is>
          <t>list country</t>
        </is>
      </c>
      <c r="E71" s="8" t="inlineStr">
        <is>
          <t>DV-145[0].Page2[0].List9[0].Li1[0].TextField[0]</t>
        </is>
      </c>
      <c r="F71" s="8" t="inlineStr">
        <is>
          <t>text</t>
        </is>
      </c>
      <c r="G71" s="8" t="inlineStr"/>
      <c r="H71" s="8" t="inlineStr"/>
      <c r="I71" s="8" t="inlineStr">
        <is>
          <t>171, 435, 492, 450</t>
        </is>
      </c>
      <c r="J71" s="8" t="inlineStr">
        <is>
          <t>court/clerk</t>
        </is>
      </c>
      <c r="K71" s="8" t="inlineStr"/>
      <c r="L71" s="8" t="inlineStr"/>
      <c r="M71" s="8" t="inlineStr"/>
      <c r="N71" s="8" t="inlineStr">
        <is>
          <t>Judge completes.</t>
        </is>
      </c>
      <c r="O71" s="8" t="inlineStr"/>
    </row>
    <row r="72">
      <c r="A72" s="8" t="n">
        <v>71</v>
      </c>
      <c r="B72" s="8" t="n">
        <v>2</v>
      </c>
      <c r="C72" s="8" t="inlineStr">
        <is>
          <t>10 (court)</t>
        </is>
      </c>
      <c r="D72" s="8" t="inlineStr">
        <is>
          <t>Post a Bond</t>
        </is>
      </c>
      <c r="E72" s="8" t="inlineStr">
        <is>
          <t>DV-145[0].Page2[0].List10[0].Li1[0].CheckBoxRightCaption[0]</t>
        </is>
      </c>
      <c r="F72" s="8" t="inlineStr">
        <is>
          <t>checkbox</t>
        </is>
      </c>
      <c r="G72" s="8" t="inlineStr">
        <is>
          <t>1</t>
        </is>
      </c>
      <c r="H72" s="8" t="inlineStr"/>
      <c r="I72" s="8" t="inlineStr">
        <is>
          <t>63, 485, 72, 494</t>
        </is>
      </c>
      <c r="J72" s="8" t="inlineStr">
        <is>
          <t>court/clerk</t>
        </is>
      </c>
      <c r="K72" s="8" t="inlineStr"/>
      <c r="L72" s="8" t="inlineStr"/>
      <c r="M72" s="8" t="inlineStr"/>
      <c r="N72" s="8" t="inlineStr">
        <is>
          <t>Judge completes.</t>
        </is>
      </c>
      <c r="O72" s="8" t="inlineStr"/>
    </row>
    <row r="73">
      <c r="A73" s="8" t="n">
        <v>72</v>
      </c>
      <c r="B73" s="8" t="n">
        <v>2</v>
      </c>
      <c r="C73" s="8" t="inlineStr">
        <is>
          <t>10 (court)</t>
        </is>
      </c>
      <c r="D73" s="8" t="inlineStr">
        <is>
          <t>must post a bond for $</t>
        </is>
      </c>
      <c r="E73" s="8" t="inlineStr">
        <is>
          <t>DV-145[0].Page2[0].List10[0].Li1[0].TextField5[0]</t>
        </is>
      </c>
      <c r="F73" s="8" t="inlineStr">
        <is>
          <t>text</t>
        </is>
      </c>
      <c r="G73" s="8" t="inlineStr"/>
      <c r="H73" s="8" t="inlineStr"/>
      <c r="I73" s="8" t="inlineStr">
        <is>
          <t>245, 501, 329, 513</t>
        </is>
      </c>
      <c r="J73" s="8" t="inlineStr">
        <is>
          <t>court/clerk</t>
        </is>
      </c>
      <c r="K73" s="8" t="inlineStr"/>
      <c r="L73" s="8" t="inlineStr"/>
      <c r="M73" s="8" t="inlineStr"/>
      <c r="N73" s="8" t="inlineStr">
        <is>
          <t>Judge completes.</t>
        </is>
      </c>
      <c r="O73" s="8" t="inlineStr"/>
    </row>
    <row r="74">
      <c r="A74" s="8" t="n">
        <v>73</v>
      </c>
      <c r="B74" s="8" t="n">
        <v>2</v>
      </c>
      <c r="C74" s="8" t="inlineStr">
        <is>
          <t>11 (court)</t>
        </is>
      </c>
      <c r="D74" s="8" t="inlineStr">
        <is>
          <t>Enforcing Order</t>
        </is>
      </c>
      <c r="E74" s="8" t="inlineStr">
        <is>
          <t>DV-145[0].Page2[0].List11[0].Li1[0].CheckBoxRightCaption[0]</t>
        </is>
      </c>
      <c r="F74" s="8" t="inlineStr">
        <is>
          <t>checkbox</t>
        </is>
      </c>
      <c r="G74" s="8" t="inlineStr">
        <is>
          <t>1</t>
        </is>
      </c>
      <c r="H74" s="8" t="inlineStr"/>
      <c r="I74" s="8" t="inlineStr">
        <is>
          <t>63, 534, 72, 543</t>
        </is>
      </c>
      <c r="J74" s="8" t="inlineStr">
        <is>
          <t>court/clerk</t>
        </is>
      </c>
      <c r="K74" s="8" t="inlineStr"/>
      <c r="L74" s="8" t="inlineStr"/>
      <c r="M74" s="8" t="inlineStr"/>
      <c r="N74" s="8" t="inlineStr">
        <is>
          <t>Judge completes.</t>
        </is>
      </c>
      <c r="O74" s="8" t="inlineStr"/>
    </row>
    <row r="75">
      <c r="A75" s="8" t="n">
        <v>74</v>
      </c>
      <c r="B75" s="8" t="n">
        <v>2</v>
      </c>
      <c r="C75" s="8" t="inlineStr">
        <is>
          <t>11 (court)</t>
        </is>
      </c>
      <c r="D75" s="8" t="inlineStr">
        <is>
          <t>contact information for District Attorney</t>
        </is>
      </c>
      <c r="E75" s="8" t="inlineStr">
        <is>
          <t>DV-145[0].Page2[0].List11[0].Li1[0].TextField[0]</t>
        </is>
      </c>
      <c r="F75" s="8" t="inlineStr">
        <is>
          <t>text</t>
        </is>
      </c>
      <c r="G75" s="8" t="inlineStr"/>
      <c r="H75" s="8" t="inlineStr"/>
      <c r="I75" s="8" t="inlineStr">
        <is>
          <t>314, 559, 576, 574</t>
        </is>
      </c>
      <c r="J75" s="8" t="inlineStr">
        <is>
          <t>court/clerk</t>
        </is>
      </c>
      <c r="K75" s="8" t="inlineStr"/>
      <c r="L75" s="8" t="inlineStr"/>
      <c r="M75" s="8" t="inlineStr"/>
      <c r="N75" s="8" t="inlineStr">
        <is>
          <t>Judge completes.</t>
        </is>
      </c>
      <c r="O75" s="8" t="inlineStr"/>
    </row>
    <row r="76">
      <c r="A76" s="8" t="n">
        <v>75</v>
      </c>
      <c r="B76" s="8" t="n">
        <v>2</v>
      </c>
      <c r="C76" s="8" t="inlineStr">
        <is>
          <t>12 (court)</t>
        </is>
      </c>
      <c r="D76" s="8" t="inlineStr">
        <is>
          <t>Other</t>
        </is>
      </c>
      <c r="E76" s="8" t="inlineStr">
        <is>
          <t>DV-145[0].Page2[0].List12[0].Li1[0].CheckBoxRightCaption[0]</t>
        </is>
      </c>
      <c r="F76" s="8" t="inlineStr">
        <is>
          <t>checkbox</t>
        </is>
      </c>
      <c r="G76" s="8" t="inlineStr">
        <is>
          <t>1</t>
        </is>
      </c>
      <c r="H76" s="8" t="inlineStr"/>
      <c r="I76" s="8" t="inlineStr">
        <is>
          <t>63, 597, 72, 606</t>
        </is>
      </c>
      <c r="J76" s="8" t="inlineStr">
        <is>
          <t>court/clerk</t>
        </is>
      </c>
      <c r="K76" s="8" t="inlineStr"/>
      <c r="L76" s="8" t="inlineStr"/>
      <c r="M76" s="8" t="inlineStr"/>
      <c r="N76" s="8" t="inlineStr">
        <is>
          <t>Judge completes.</t>
        </is>
      </c>
      <c r="O76" s="8" t="inlineStr"/>
    </row>
    <row r="77">
      <c r="A77" s="8" t="n">
        <v>76</v>
      </c>
      <c r="B77" s="8" t="n">
        <v>2</v>
      </c>
      <c r="C77" s="8" t="inlineStr">
        <is>
          <t>12 (court)</t>
        </is>
      </c>
      <c r="D77" s="8" t="inlineStr">
        <is>
          <t>list other orders or jurisdictional factors</t>
        </is>
      </c>
      <c r="E77" s="8" t="inlineStr">
        <is>
          <t>DV-145[0].Page2[0].List12[0].Li1[0].TextFielditem12[0]</t>
        </is>
      </c>
      <c r="F77" s="8" t="inlineStr">
        <is>
          <t>text</t>
        </is>
      </c>
      <c r="G77" s="8" t="inlineStr"/>
      <c r="H77" s="8" t="inlineStr"/>
      <c r="I77" s="8" t="inlineStr">
        <is>
          <t>308, 595, 574, 610</t>
        </is>
      </c>
      <c r="J77" s="8" t="inlineStr">
        <is>
          <t>court/clerk</t>
        </is>
      </c>
      <c r="K77" s="8" t="inlineStr"/>
      <c r="L77" s="8" t="inlineStr"/>
      <c r="M77" s="8" t="inlineStr"/>
      <c r="N77" s="8" t="inlineStr">
        <is>
          <t>Judge completes.</t>
        </is>
      </c>
      <c r="O77" s="8" t="inlineStr"/>
    </row>
    <row r="78">
      <c r="A78" s="8" t="n">
        <v>77</v>
      </c>
      <c r="B78" s="8" t="n">
        <v>2</v>
      </c>
      <c r="C78" s="8" t="inlineStr">
        <is>
          <t>12 (court)</t>
        </is>
      </c>
      <c r="D78" s="8" t="inlineStr">
        <is>
          <t>list other orders or jurisdictional factors</t>
        </is>
      </c>
      <c r="E78" s="8" t="inlineStr">
        <is>
          <t>DV-145[0].Page2[0].List12[0].Li1[0].TextFielditem12Cont[0]</t>
        </is>
      </c>
      <c r="F78" s="8" t="inlineStr">
        <is>
          <t>text</t>
        </is>
      </c>
      <c r="G78" s="8" t="inlineStr"/>
      <c r="H78" s="8" t="inlineStr"/>
      <c r="I78" s="8" t="inlineStr">
        <is>
          <t>63, 610, 574, 625</t>
        </is>
      </c>
      <c r="J78" s="8" t="inlineStr">
        <is>
          <t>court/clerk</t>
        </is>
      </c>
      <c r="K78" s="8" t="inlineStr"/>
      <c r="L78" s="8" t="inlineStr"/>
      <c r="M78" s="8" t="inlineStr"/>
      <c r="N78" s="8" t="inlineStr">
        <is>
          <t>Judge completes.</t>
        </is>
      </c>
      <c r="O78" s="8" t="inlineStr"/>
    </row>
  </sheetData>
  <autoFilter ref="A1:O78"/>
  <dataValidations count="1">
    <dataValidation sqref="J2:J78" showDropDown="0" showInputMessage="0" showErrorMessage="0" allowBlank="1" type="list">
      <formula1>"question,derived,court/clerk,server,ignore (UI button)"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80"/>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6" t="n">
        <v>1</v>
      </c>
      <c r="B2" s="6" t="n">
        <v>1</v>
      </c>
      <c r="C2" s="6" t="inlineStr">
        <is>
          <t>Caption</t>
        </is>
      </c>
      <c r="D2" s="6" t="inlineStr">
        <is>
          <t>Superior Court of California, County of</t>
        </is>
      </c>
      <c r="E2" s="6" t="inlineStr">
        <is>
          <t>DV-160[0].Page1[0].Caption_sf[0].CourtInfo_ft[0]</t>
        </is>
      </c>
      <c r="F2" s="6" t="inlineStr">
        <is>
          <t>text</t>
        </is>
      </c>
      <c r="G2" s="6" t="inlineStr"/>
      <c r="H2" s="6" t="inlineStr"/>
      <c r="I2" s="6" t="inlineStr">
        <is>
          <t>399, 241, 573, 308</t>
        </is>
      </c>
      <c r="J2" s="6" t="inlineStr">
        <is>
          <t>derived</t>
        </is>
      </c>
      <c r="K2" s="6" t="inlineStr">
        <is>
          <t>S1,S2</t>
        </is>
      </c>
      <c r="L2" s="6">
        <f> S1.countyName + "\n" + courthouse(S1,S2).streetAddress + ", " + courthouse(S1,S2).cityZip</f>
        <v/>
      </c>
      <c r="M2" s="6" t="inlineStr"/>
      <c r="N2" s="6" t="inlineStr"/>
      <c r="O2" s="6" t="inlineStr"/>
    </row>
    <row r="3">
      <c r="A3" s="5" t="n">
        <v>2</v>
      </c>
      <c r="B3" s="5" t="n">
        <v>1</v>
      </c>
      <c r="C3" s="5" t="inlineStr">
        <is>
          <t>Caption</t>
        </is>
      </c>
      <c r="D3" s="5" t="inlineStr">
        <is>
          <t>Case Number:</t>
        </is>
      </c>
      <c r="E3" s="5" t="inlineStr">
        <is>
          <t>DV-160[0].Page1[0].Caption_sf[0].CaseNumber_ft[0]</t>
        </is>
      </c>
      <c r="F3" s="5" t="inlineStr">
        <is>
          <t>text</t>
        </is>
      </c>
      <c r="G3" s="5" t="inlineStr"/>
      <c r="H3" s="5" t="inlineStr"/>
      <c r="I3" s="5" t="inlineStr">
        <is>
          <t>399, 337, 573, 354</t>
        </is>
      </c>
      <c r="J3" s="5" t="inlineStr">
        <is>
          <t>question</t>
        </is>
      </c>
      <c r="K3" s="5" t="inlineStr">
        <is>
          <t>S3,S4</t>
        </is>
      </c>
      <c r="L3" s="5">
        <f> S4</f>
        <v/>
      </c>
      <c r="M3" s="5" t="inlineStr">
        <is>
          <t>S3 == "update"; otherwise blank for clerk</t>
        </is>
      </c>
      <c r="N3" s="5" t="inlineStr"/>
      <c r="O3" s="5" t="inlineStr"/>
    </row>
    <row r="4">
      <c r="A4" s="5" t="n">
        <v>3</v>
      </c>
      <c r="B4" s="5" t="n">
        <v>1</v>
      </c>
      <c r="C4" s="5" t="inlineStr">
        <is>
          <t>2a</t>
        </is>
      </c>
      <c r="D4" s="5" t="inlineStr">
        <is>
          <t>Full Name:</t>
        </is>
      </c>
      <c r="E4" s="5" t="inlineStr">
        <is>
          <t>DV-160[0].Page1[0].ProtectedFullName_ft[0]</t>
        </is>
      </c>
      <c r="F4" s="5" t="inlineStr">
        <is>
          <t>text</t>
        </is>
      </c>
      <c r="G4" s="5" t="inlineStr"/>
      <c r="H4" s="5" t="inlineStr"/>
      <c r="I4" s="5" t="inlineStr">
        <is>
          <t>133, 481, 386, 493</t>
        </is>
      </c>
      <c r="J4" s="5" t="inlineStr">
        <is>
          <t>question</t>
        </is>
      </c>
      <c r="K4" s="5" t="inlineStr">
        <is>
          <t>M1,P1</t>
        </is>
      </c>
      <c r="L4" s="5">
        <f> M1 == "the minor" ? M1.minorName : P1</f>
        <v/>
      </c>
      <c r="M4" s="5" t="inlineStr"/>
      <c r="N4" s="5" t="inlineStr"/>
      <c r="O4" s="5" t="inlineStr"/>
    </row>
    <row r="5">
      <c r="A5" s="5" t="n">
        <v>4</v>
      </c>
      <c r="B5" s="5" t="n">
        <v>1</v>
      </c>
      <c r="C5" s="5" t="inlineStr">
        <is>
          <t>2b(1)</t>
        </is>
      </c>
      <c r="D5" s="5" t="inlineStr">
        <is>
          <t>The minor requesting confidentiality.</t>
        </is>
      </c>
      <c r="E5" s="5" t="inlineStr">
        <is>
          <t>DV-160[0].Page1[0].ProtectedDescription[0]</t>
        </is>
      </c>
      <c r="F5" s="5" t="inlineStr">
        <is>
          <t>checkbox</t>
        </is>
      </c>
      <c r="G5" s="5" t="inlineStr">
        <is>
          <t>1</t>
        </is>
      </c>
      <c r="H5" s="5" t="inlineStr"/>
      <c r="I5" s="5" t="inlineStr">
        <is>
          <t>98, 519, 107, 528</t>
        </is>
      </c>
      <c r="J5" s="5" t="inlineStr">
        <is>
          <t>question</t>
        </is>
      </c>
      <c r="K5" s="5" t="inlineStr">
        <is>
          <t>M1</t>
        </is>
      </c>
      <c r="L5" s="5" t="inlineStr">
        <is>
          <t>check if M1 == "the minor"</t>
        </is>
      </c>
      <c r="M5" s="5" t="inlineStr"/>
      <c r="N5" s="5" t="inlineStr"/>
      <c r="O5" s="5" t="inlineStr"/>
    </row>
    <row r="6">
      <c r="A6" s="5" t="n">
        <v>5</v>
      </c>
      <c r="B6" s="5" t="n">
        <v>1</v>
      </c>
      <c r="C6" s="5" t="inlineStr">
        <is>
          <t>2b(2)</t>
        </is>
      </c>
      <c r="D6" s="5" t="inlineStr">
        <is>
          <t>The</t>
        </is>
      </c>
      <c r="E6" s="5" t="inlineStr">
        <is>
          <t>DV-160[0].Page1[0].ProtectedDescription[1]</t>
        </is>
      </c>
      <c r="F6" s="5" t="inlineStr">
        <is>
          <t>checkbox</t>
        </is>
      </c>
      <c r="G6" s="5" t="inlineStr">
        <is>
          <t>2</t>
        </is>
      </c>
      <c r="H6" s="5" t="inlineStr"/>
      <c r="I6" s="5" t="inlineStr">
        <is>
          <t>98, 537, 107, 546</t>
        </is>
      </c>
      <c r="J6" s="5" t="inlineStr">
        <is>
          <t>question</t>
        </is>
      </c>
      <c r="K6" s="5" t="inlineStr">
        <is>
          <t>M1</t>
        </is>
      </c>
      <c r="L6" s="5" t="inlineStr">
        <is>
          <t>check if M1 != "the minor"</t>
        </is>
      </c>
      <c r="M6" s="5" t="inlineStr"/>
      <c r="N6" s="5" t="inlineStr">
        <is>
          <t>Export value 2.</t>
        </is>
      </c>
      <c r="O6" s="5" t="inlineStr"/>
    </row>
    <row r="7">
      <c r="A7" s="6" t="n">
        <v>6</v>
      </c>
      <c r="B7" s="6" t="n">
        <v>1</v>
      </c>
      <c r="C7" s="6" t="inlineStr">
        <is>
          <t>2b(2) more</t>
        </is>
      </c>
      <c r="D7" s="6" t="inlineStr">
        <is>
          <t>Check here if there are additional minors. Attach a sheet of paper and write "Attachment 2b(2)—Additional Minors" for a title.</t>
        </is>
      </c>
      <c r="E7" s="6" t="inlineStr">
        <is>
          <t>DV-160[0].Page1[0].OtherProtectedTable_OF_cb[0]</t>
        </is>
      </c>
      <c r="F7" s="6" t="inlineStr">
        <is>
          <t>checkbox</t>
        </is>
      </c>
      <c r="G7" s="6" t="inlineStr">
        <is>
          <t>1</t>
        </is>
      </c>
      <c r="H7" s="6" t="inlineStr"/>
      <c r="I7" s="6" t="inlineStr">
        <is>
          <t>98, 652, 107, 661</t>
        </is>
      </c>
      <c r="J7" s="6" t="inlineStr">
        <is>
          <t>derived</t>
        </is>
      </c>
      <c r="K7" s="6" t="inlineStr">
        <is>
          <t>M2</t>
        </is>
      </c>
      <c r="L7" s="6" t="inlineStr">
        <is>
          <t>check if M2.length &gt; 4</t>
        </is>
      </c>
      <c r="M7" s="6" t="inlineStr"/>
      <c r="N7" s="6" t="inlineStr">
        <is>
          <t>Attach "Attachment 2b(2)—Additional Minors".</t>
        </is>
      </c>
      <c r="O7" s="6" t="inlineStr"/>
    </row>
    <row r="8">
      <c r="A8" s="5" t="n">
        <v>7</v>
      </c>
      <c r="B8" s="5" t="n">
        <v>1</v>
      </c>
      <c r="C8" s="5" t="inlineStr">
        <is>
          <t>2b(2) row 1</t>
        </is>
      </c>
      <c r="D8" s="5" t="inlineStr">
        <is>
          <t>Name:</t>
        </is>
      </c>
      <c r="E8" s="5" t="inlineStr">
        <is>
          <t>DV-160[0].Page1[0].ProtectedFullName_ft[1]</t>
        </is>
      </c>
      <c r="F8" s="5" t="inlineStr">
        <is>
          <t>text</t>
        </is>
      </c>
      <c r="G8" s="5" t="inlineStr"/>
      <c r="H8" s="5" t="inlineStr"/>
      <c r="I8" s="5" t="inlineStr">
        <is>
          <t>131, 573, 407, 585</t>
        </is>
      </c>
      <c r="J8" s="5" t="inlineStr">
        <is>
          <t>question</t>
        </is>
      </c>
      <c r="K8" s="5" t="inlineStr">
        <is>
          <t>M2</t>
        </is>
      </c>
      <c r="L8" s="5">
        <f> M2[0].PR1</f>
        <v/>
      </c>
      <c r="M8" s="5" t="inlineStr">
        <is>
          <t>M1 != "the minor" and M2.length &gt; 0</t>
        </is>
      </c>
      <c r="N8" s="5" t="inlineStr"/>
      <c r="O8" s="5" t="inlineStr"/>
    </row>
    <row r="9">
      <c r="A9" s="5" t="n">
        <v>8</v>
      </c>
      <c r="B9" s="5" t="n">
        <v>1</v>
      </c>
      <c r="C9" s="5" t="inlineStr">
        <is>
          <t>2b(2) row 2</t>
        </is>
      </c>
      <c r="D9" s="5" t="inlineStr">
        <is>
          <t>Name:</t>
        </is>
      </c>
      <c r="E9" s="5" t="inlineStr">
        <is>
          <t>DV-160[0].Page1[0].ProtectedFullName_ft[2]</t>
        </is>
      </c>
      <c r="F9" s="5" t="inlineStr">
        <is>
          <t>text</t>
        </is>
      </c>
      <c r="G9" s="5" t="inlineStr"/>
      <c r="H9" s="5" t="inlineStr"/>
      <c r="I9" s="5" t="inlineStr">
        <is>
          <t>132, 593, 407, 605</t>
        </is>
      </c>
      <c r="J9" s="5" t="inlineStr">
        <is>
          <t>question</t>
        </is>
      </c>
      <c r="K9" s="5" t="inlineStr">
        <is>
          <t>M2</t>
        </is>
      </c>
      <c r="L9" s="5">
        <f> M2[1].PR1</f>
        <v/>
      </c>
      <c r="M9" s="5" t="inlineStr">
        <is>
          <t>M1 != "the minor" and M2.length &gt; 1</t>
        </is>
      </c>
      <c r="N9" s="5" t="inlineStr"/>
      <c r="O9" s="5" t="inlineStr"/>
    </row>
    <row r="10">
      <c r="A10" s="5" t="n">
        <v>9</v>
      </c>
      <c r="B10" s="5" t="n">
        <v>1</v>
      </c>
      <c r="C10" s="5" t="inlineStr">
        <is>
          <t>2b(2) row 3</t>
        </is>
      </c>
      <c r="D10" s="5" t="inlineStr">
        <is>
          <t>Name:</t>
        </is>
      </c>
      <c r="E10" s="5" t="inlineStr">
        <is>
          <t>DV-160[0].Page1[0].ProtectedFullName_ft[3]</t>
        </is>
      </c>
      <c r="F10" s="5" t="inlineStr">
        <is>
          <t>text</t>
        </is>
      </c>
      <c r="G10" s="5" t="inlineStr"/>
      <c r="H10" s="5" t="inlineStr"/>
      <c r="I10" s="5" t="inlineStr">
        <is>
          <t>132, 613, 407, 625</t>
        </is>
      </c>
      <c r="J10" s="5" t="inlineStr">
        <is>
          <t>question</t>
        </is>
      </c>
      <c r="K10" s="5" t="inlineStr">
        <is>
          <t>M2</t>
        </is>
      </c>
      <c r="L10" s="5">
        <f> M2[2].PR1</f>
        <v/>
      </c>
      <c r="M10" s="5" t="inlineStr">
        <is>
          <t>M1 != "the minor" and M2.length &gt; 2</t>
        </is>
      </c>
      <c r="N10" s="5" t="inlineStr"/>
      <c r="O10" s="5" t="inlineStr"/>
    </row>
    <row r="11">
      <c r="A11" s="5" t="n">
        <v>10</v>
      </c>
      <c r="B11" s="5" t="n">
        <v>1</v>
      </c>
      <c r="C11" s="5" t="inlineStr">
        <is>
          <t>2b(2) row 4</t>
        </is>
      </c>
      <c r="D11" s="5" t="inlineStr">
        <is>
          <t>Name:</t>
        </is>
      </c>
      <c r="E11" s="5" t="inlineStr">
        <is>
          <t>DV-160[0].Page1[0].ProtectedFullName_ft[4]</t>
        </is>
      </c>
      <c r="F11" s="5" t="inlineStr">
        <is>
          <t>text</t>
        </is>
      </c>
      <c r="G11" s="5" t="inlineStr"/>
      <c r="H11" s="5" t="inlineStr"/>
      <c r="I11" s="5" t="inlineStr">
        <is>
          <t>131, 634, 407, 646</t>
        </is>
      </c>
      <c r="J11" s="5" t="inlineStr">
        <is>
          <t>question</t>
        </is>
      </c>
      <c r="K11" s="5" t="inlineStr">
        <is>
          <t>M2</t>
        </is>
      </c>
      <c r="L11" s="5">
        <f> M2[3].PR1</f>
        <v/>
      </c>
      <c r="M11" s="5" t="inlineStr">
        <is>
          <t>M1 != "the minor" and M2.length &gt; 3</t>
        </is>
      </c>
      <c r="N11" s="5" t="inlineStr"/>
      <c r="O11" s="5" t="inlineStr"/>
    </row>
    <row r="12">
      <c r="A12" s="5" t="n">
        <v>11</v>
      </c>
      <c r="B12" s="5" t="n">
        <v>1</v>
      </c>
      <c r="C12" s="5" t="inlineStr">
        <is>
          <t>1a</t>
        </is>
      </c>
      <c r="D12" s="5" t="inlineStr">
        <is>
          <t>Full Name:</t>
        </is>
      </c>
      <c r="E12" s="5" t="inlineStr">
        <is>
          <t>DV-160[0].Page1[0].ProtectedFullName_ft[5]</t>
        </is>
      </c>
      <c r="F12" s="5" t="inlineStr">
        <is>
          <t>text</t>
        </is>
      </c>
      <c r="G12" s="5" t="inlineStr"/>
      <c r="H12" s="5" t="inlineStr"/>
      <c r="I12" s="5" t="inlineStr">
        <is>
          <t>133, 390, 377, 402</t>
        </is>
      </c>
      <c r="J12" s="5" t="inlineStr">
        <is>
          <t>question</t>
        </is>
      </c>
      <c r="K12" s="5" t="inlineStr">
        <is>
          <t>P1</t>
        </is>
      </c>
      <c r="L12" s="5">
        <f> P1</f>
        <v/>
      </c>
      <c r="M12" s="5" t="inlineStr"/>
      <c r="N12" s="5" t="inlineStr">
        <is>
          <t>DV-160 field names do not follow item order; positions were checked on the rendered page.</t>
        </is>
      </c>
      <c r="O12" s="5" t="inlineStr"/>
    </row>
    <row r="13">
      <c r="A13" s="5" t="n">
        <v>12</v>
      </c>
      <c r="B13" s="5" t="n">
        <v>1</v>
      </c>
      <c r="C13" s="5" t="inlineStr">
        <is>
          <t>1b</t>
        </is>
      </c>
      <c r="D13" s="5" t="inlineStr">
        <is>
          <t>Full Name:</t>
        </is>
      </c>
      <c r="E13" s="5" t="inlineStr">
        <is>
          <t>DV-160[0].Page1[0].ProtectedFullName_ft[6]</t>
        </is>
      </c>
      <c r="F13" s="5" t="inlineStr">
        <is>
          <t>text</t>
        </is>
      </c>
      <c r="G13" s="5" t="inlineStr"/>
      <c r="H13" s="5" t="inlineStr"/>
      <c r="I13" s="5" t="inlineStr">
        <is>
          <t>133, 431, 380, 443</t>
        </is>
      </c>
      <c r="J13" s="5" t="inlineStr">
        <is>
          <t>question</t>
        </is>
      </c>
      <c r="K13" s="5" t="inlineStr">
        <is>
          <t>R1</t>
        </is>
      </c>
      <c r="L13" s="5">
        <f> R1</f>
        <v/>
      </c>
      <c r="M13" s="5" t="inlineStr"/>
      <c r="N13" s="5" t="inlineStr"/>
      <c r="O13" s="5" t="inlineStr"/>
    </row>
    <row r="14">
      <c r="A14" s="5" t="n">
        <v>13</v>
      </c>
      <c r="B14" s="5" t="n">
        <v>1</v>
      </c>
      <c r="C14" s="5" t="inlineStr">
        <is>
          <t>2b(2)</t>
        </is>
      </c>
      <c r="D14" s="5" t="inlineStr">
        <is>
          <t>parent</t>
        </is>
      </c>
      <c r="E14" s="5" t="inlineStr">
        <is>
          <t>DV-160[0].Page1[0].parent[0]</t>
        </is>
      </c>
      <c r="F14" s="5" t="inlineStr">
        <is>
          <t>checkbox</t>
        </is>
      </c>
      <c r="G14" s="5" t="inlineStr">
        <is>
          <t>1</t>
        </is>
      </c>
      <c r="H14" s="5" t="inlineStr"/>
      <c r="I14" s="5" t="inlineStr">
        <is>
          <t>150, 537, 159, 546</t>
        </is>
      </c>
      <c r="J14" s="5" t="inlineStr">
        <is>
          <t>question</t>
        </is>
      </c>
      <c r="K14" s="5" t="inlineStr">
        <is>
          <t>M1</t>
        </is>
      </c>
      <c r="L14" s="5" t="inlineStr">
        <is>
          <t>check if M1 == "parent"</t>
        </is>
      </c>
      <c r="M14" s="5" t="inlineStr"/>
      <c r="N14" s="5" t="inlineStr"/>
      <c r="O14" s="5" t="inlineStr"/>
    </row>
    <row r="15">
      <c r="A15" s="5" t="n">
        <v>14</v>
      </c>
      <c r="B15" s="5" t="n">
        <v>1</v>
      </c>
      <c r="C15" s="5" t="inlineStr">
        <is>
          <t>2b(2)</t>
        </is>
      </c>
      <c r="D15" s="5" t="inlineStr">
        <is>
          <t>legal guardian</t>
        </is>
      </c>
      <c r="E15" s="5" t="inlineStr">
        <is>
          <t>DV-160[0].Page1[0].parent[1]</t>
        </is>
      </c>
      <c r="F15" s="5" t="inlineStr">
        <is>
          <t>checkbox</t>
        </is>
      </c>
      <c r="G15" s="5" t="inlineStr">
        <is>
          <t>2</t>
        </is>
      </c>
      <c r="H15" s="5" t="inlineStr"/>
      <c r="I15" s="5" t="inlineStr">
        <is>
          <t>217, 537, 226, 546</t>
        </is>
      </c>
      <c r="J15" s="5" t="inlineStr">
        <is>
          <t>question</t>
        </is>
      </c>
      <c r="K15" s="5" t="inlineStr">
        <is>
          <t>M1</t>
        </is>
      </c>
      <c r="L15" s="5" t="inlineStr">
        <is>
          <t>check if M1 == "legal guardian"</t>
        </is>
      </c>
      <c r="M15" s="5" t="inlineStr"/>
      <c r="N15" s="5" t="inlineStr">
        <is>
          <t>Export value 2.</t>
        </is>
      </c>
      <c r="O15" s="5" t="inlineStr"/>
    </row>
    <row r="16">
      <c r="A16" s="5" t="n">
        <v>15</v>
      </c>
      <c r="B16" s="5" t="n">
        <v>2</v>
      </c>
      <c r="C16" s="5" t="inlineStr">
        <is>
          <t>Caption</t>
        </is>
      </c>
      <c r="D16" s="5" t="inlineStr">
        <is>
          <t>Case Number:</t>
        </is>
      </c>
      <c r="E16" s="5" t="inlineStr">
        <is>
          <t>DV-160[0].Page2[0].PxCaption[0].CaseNumber_ft[0]</t>
        </is>
      </c>
      <c r="F16" s="5" t="inlineStr">
        <is>
          <t>text</t>
        </is>
      </c>
      <c r="G16" s="5" t="inlineStr"/>
      <c r="H16" s="5" t="inlineStr"/>
      <c r="I16" s="5" t="inlineStr">
        <is>
          <t>399, 49, 572, 61</t>
        </is>
      </c>
      <c r="J16" s="5" t="inlineStr">
        <is>
          <t>question</t>
        </is>
      </c>
      <c r="K16" s="5" t="inlineStr">
        <is>
          <t>S3,S4</t>
        </is>
      </c>
      <c r="L16" s="5">
        <f> S4</f>
        <v/>
      </c>
      <c r="M16" s="5" t="inlineStr">
        <is>
          <t>S3 == "update"; otherwise blank for clerk</t>
        </is>
      </c>
      <c r="N16" s="5" t="inlineStr"/>
      <c r="O16" s="5" t="inlineStr"/>
    </row>
    <row r="17">
      <c r="A17" s="6" t="n">
        <v>16</v>
      </c>
      <c r="B17" s="6" t="n">
        <v>2</v>
      </c>
      <c r="C17" s="6" t="inlineStr">
        <is>
          <t>4</t>
        </is>
      </c>
      <c r="D17" s="6" t="inlineStr">
        <is>
          <t>Requests for More Than One Minor (only for parents or legal guardians)</t>
        </is>
      </c>
      <c r="E17" s="6" t="inlineStr">
        <is>
          <t>DV-160[0].Page2[0].ProtectedDescription[0]</t>
        </is>
      </c>
      <c r="F17" s="6" t="inlineStr">
        <is>
          <t>checkbox</t>
        </is>
      </c>
      <c r="G17" s="6" t="inlineStr">
        <is>
          <t>1</t>
        </is>
      </c>
      <c r="H17" s="6" t="inlineStr"/>
      <c r="I17" s="6" t="inlineStr">
        <is>
          <t>63, 332, 72, 341</t>
        </is>
      </c>
      <c r="J17" s="6" t="inlineStr">
        <is>
          <t>derived</t>
        </is>
      </c>
      <c r="K17" s="6" t="inlineStr">
        <is>
          <t>M2</t>
        </is>
      </c>
      <c r="L17" s="6" t="inlineStr">
        <is>
          <t>check if M2.length &gt;= 2</t>
        </is>
      </c>
      <c r="M17" s="6" t="inlineStr"/>
      <c r="N17" s="6" t="inlineStr">
        <is>
          <t>Only a parent or guardian may ask for more than one minor (M1 validation).</t>
        </is>
      </c>
      <c r="O17" s="6" t="inlineStr"/>
    </row>
    <row r="18">
      <c r="A18" s="5" t="n">
        <v>17</v>
      </c>
      <c r="B18" s="5" t="n">
        <v>2</v>
      </c>
      <c r="C18" s="5" t="inlineStr">
        <is>
          <t>4a</t>
        </is>
      </c>
      <c r="D18" s="5" t="inlineStr">
        <is>
          <t>a.</t>
        </is>
      </c>
      <c r="E18" s="5" t="inlineStr">
        <is>
          <t>DV-160[0].Page2[0].confi[0]</t>
        </is>
      </c>
      <c r="F18" s="5" t="inlineStr">
        <is>
          <t>checkbox</t>
        </is>
      </c>
      <c r="G18" s="5" t="inlineStr">
        <is>
          <t>1</t>
        </is>
      </c>
      <c r="H18" s="5" t="inlineStr"/>
      <c r="I18" s="5" t="inlineStr">
        <is>
          <t>78, 367, 87, 376</t>
        </is>
      </c>
      <c r="J18" s="5" t="inlineStr">
        <is>
          <t>question</t>
        </is>
      </c>
      <c r="K18" s="5" t="inlineStr">
        <is>
          <t>M3</t>
        </is>
      </c>
      <c r="L18" s="5" t="inlineStr">
        <is>
          <t>check if M3 == "Y"</t>
        </is>
      </c>
      <c r="M18" s="5" t="inlineStr">
        <is>
          <t>M2.length &gt;= 2</t>
        </is>
      </c>
      <c r="N18" s="5" t="inlineStr"/>
      <c r="O18" s="5" t="inlineStr"/>
    </row>
    <row r="19">
      <c r="A19" s="5" t="n">
        <v>18</v>
      </c>
      <c r="B19" s="5" t="n">
        <v>2</v>
      </c>
      <c r="C19" s="5" t="inlineStr">
        <is>
          <t>4b</t>
        </is>
      </c>
      <c r="D19" s="5" t="inlineStr">
        <is>
          <t>b.</t>
        </is>
      </c>
      <c r="E19" s="5" t="inlineStr">
        <is>
          <t>DV-160[0].Page2[0].confi[1]</t>
        </is>
      </c>
      <c r="F19" s="5" t="inlineStr">
        <is>
          <t>checkbox</t>
        </is>
      </c>
      <c r="G19" s="5" t="inlineStr">
        <is>
          <t>2</t>
        </is>
      </c>
      <c r="H19" s="5" t="inlineStr"/>
      <c r="I19" s="5" t="inlineStr">
        <is>
          <t>78, 385, 87, 394</t>
        </is>
      </c>
      <c r="J19" s="5" t="inlineStr">
        <is>
          <t>question</t>
        </is>
      </c>
      <c r="K19" s="5" t="inlineStr">
        <is>
          <t>M3</t>
        </is>
      </c>
      <c r="L19" s="5" t="inlineStr">
        <is>
          <t>check if M3 == "N"</t>
        </is>
      </c>
      <c r="M19" s="5" t="inlineStr">
        <is>
          <t>M2.length &gt;= 2</t>
        </is>
      </c>
      <c r="N19" s="5" t="inlineStr">
        <is>
          <t>Export value 2.</t>
        </is>
      </c>
      <c r="O19" s="5" t="inlineStr"/>
    </row>
    <row r="20">
      <c r="A20" s="5" t="n">
        <v>19</v>
      </c>
      <c r="B20" s="5" t="n">
        <v>2</v>
      </c>
      <c r="C20" s="5" t="inlineStr">
        <is>
          <t>5a</t>
        </is>
      </c>
      <c r="D20" s="5" t="inlineStr">
        <is>
          <t>Minor’s name</t>
        </is>
      </c>
      <c r="E20" s="5" t="inlineStr">
        <is>
          <t>DV-160[0].Page2[0].OtherProtectedText_OF_cb1[0]</t>
        </is>
      </c>
      <c r="F20" s="5" t="inlineStr">
        <is>
          <t>checkbox</t>
        </is>
      </c>
      <c r="G20" s="5" t="inlineStr">
        <is>
          <t>1</t>
        </is>
      </c>
      <c r="H20" s="5" t="inlineStr"/>
      <c r="I20" s="5" t="inlineStr">
        <is>
          <t>78, 524, 87, 533</t>
        </is>
      </c>
      <c r="J20" s="5" t="inlineStr">
        <is>
          <t>question</t>
        </is>
      </c>
      <c r="K20" s="5" t="inlineStr">
        <is>
          <t>M4</t>
        </is>
      </c>
      <c r="L20" s="5" t="inlineStr">
        <is>
          <t>check if M4 has "name"</t>
        </is>
      </c>
      <c r="M20" s="5" t="inlineStr"/>
      <c r="N20" s="5" t="inlineStr"/>
      <c r="O20" s="5" t="inlineStr"/>
    </row>
    <row r="21">
      <c r="A21" s="5" t="n">
        <v>20</v>
      </c>
      <c r="B21" s="5" t="n">
        <v>2</v>
      </c>
      <c r="C21" s="5" t="inlineStr">
        <is>
          <t>5b</t>
        </is>
      </c>
      <c r="D21" s="5" t="inlineStr">
        <is>
          <t>Minor’s address</t>
        </is>
      </c>
      <c r="E21" s="5" t="inlineStr">
        <is>
          <t>DV-160[0].Page2[0].OtherProtectedText_OF_cb1[1]</t>
        </is>
      </c>
      <c r="F21" s="5" t="inlineStr">
        <is>
          <t>checkbox</t>
        </is>
      </c>
      <c r="G21" s="5" t="inlineStr">
        <is>
          <t>1</t>
        </is>
      </c>
      <c r="H21" s="5" t="inlineStr"/>
      <c r="I21" s="5" t="inlineStr">
        <is>
          <t>78, 579, 87, 588</t>
        </is>
      </c>
      <c r="J21" s="5" t="inlineStr">
        <is>
          <t>question</t>
        </is>
      </c>
      <c r="K21" s="5" t="inlineStr">
        <is>
          <t>M4</t>
        </is>
      </c>
      <c r="L21" s="5" t="inlineStr">
        <is>
          <t>check if M4 has "address"</t>
        </is>
      </c>
      <c r="M21" s="5" t="inlineStr"/>
      <c r="N21" s="5" t="inlineStr"/>
      <c r="O21" s="5" t="inlineStr"/>
    </row>
    <row r="22">
      <c r="A22" s="5" t="n">
        <v>21</v>
      </c>
      <c r="B22" s="5" t="n">
        <v>2</v>
      </c>
      <c r="C22" s="5" t="inlineStr">
        <is>
          <t>3</t>
        </is>
      </c>
      <c r="D22" s="5" t="inlineStr">
        <is>
          <t>Address:</t>
        </is>
      </c>
      <c r="E22" s="5" t="inlineStr">
        <is>
          <t>DV-160[0].Page2[0].TextField3[0]</t>
        </is>
      </c>
      <c r="F22" s="5" t="inlineStr">
        <is>
          <t>text</t>
        </is>
      </c>
      <c r="G22" s="5" t="inlineStr"/>
      <c r="H22" s="5" t="inlineStr"/>
      <c r="I22" s="5" t="inlineStr">
        <is>
          <t>122, 162, 426, 182</t>
        </is>
      </c>
      <c r="J22" s="5" t="inlineStr">
        <is>
          <t>question</t>
        </is>
      </c>
      <c r="K22" s="5" t="inlineStr">
        <is>
          <t>S5,L4,P6</t>
        </is>
      </c>
      <c r="L22" s="5">
        <f> S5=="Y" ? L4.street : P6.street</f>
        <v/>
      </c>
      <c r="M22" s="5" t="inlineStr"/>
      <c r="N22" s="5" t="inlineStr"/>
      <c r="O22" s="5" t="inlineStr"/>
    </row>
    <row r="23">
      <c r="A23" s="5" t="n">
        <v>22</v>
      </c>
      <c r="B23" s="5" t="n">
        <v>2</v>
      </c>
      <c r="C23" s="5" t="inlineStr">
        <is>
          <t>3</t>
        </is>
      </c>
      <c r="D23" s="5" t="inlineStr">
        <is>
          <t>City:</t>
        </is>
      </c>
      <c r="E23" s="5" t="inlineStr">
        <is>
          <t>DV-160[0].Page2[0].TextField3[1]</t>
        </is>
      </c>
      <c r="F23" s="5" t="inlineStr">
        <is>
          <t>text</t>
        </is>
      </c>
      <c r="G23" s="5" t="inlineStr"/>
      <c r="H23" s="5" t="inlineStr"/>
      <c r="I23" s="5" t="inlineStr">
        <is>
          <t>105, 187, 243, 206</t>
        </is>
      </c>
      <c r="J23" s="5" t="inlineStr">
        <is>
          <t>question</t>
        </is>
      </c>
      <c r="K23" s="5" t="inlineStr">
        <is>
          <t>S5,L4,P6</t>
        </is>
      </c>
      <c r="L23" s="5">
        <f> S5=="Y" ? L4.city : P6.city</f>
        <v/>
      </c>
      <c r="M23" s="5" t="inlineStr"/>
      <c r="N23" s="5" t="inlineStr"/>
      <c r="O23" s="5" t="inlineStr"/>
    </row>
    <row r="24">
      <c r="A24" s="5" t="n">
        <v>23</v>
      </c>
      <c r="B24" s="5" t="n">
        <v>2</v>
      </c>
      <c r="C24" s="5" t="inlineStr">
        <is>
          <t>3</t>
        </is>
      </c>
      <c r="D24" s="5" t="inlineStr">
        <is>
          <t>State:</t>
        </is>
      </c>
      <c r="E24" s="5" t="inlineStr">
        <is>
          <t>DV-160[0].Page2[0].TextField3[2]</t>
        </is>
      </c>
      <c r="F24" s="5" t="inlineStr">
        <is>
          <t>text</t>
        </is>
      </c>
      <c r="G24" s="5" t="inlineStr"/>
      <c r="H24" s="5" t="inlineStr"/>
      <c r="I24" s="5" t="inlineStr">
        <is>
          <t>275, 187, 315, 206</t>
        </is>
      </c>
      <c r="J24" s="5" t="inlineStr">
        <is>
          <t>question</t>
        </is>
      </c>
      <c r="K24" s="5" t="inlineStr">
        <is>
          <t>S5,L4,P6</t>
        </is>
      </c>
      <c r="L24" s="5">
        <f> S5=="Y" ? L4.state : P6.state</f>
        <v/>
      </c>
      <c r="M24" s="5" t="inlineStr"/>
      <c r="N24" s="5" t="inlineStr"/>
      <c r="O24" s="5" t="inlineStr"/>
    </row>
    <row r="25">
      <c r="A25" s="5" t="n">
        <v>24</v>
      </c>
      <c r="B25" s="5" t="n">
        <v>2</v>
      </c>
      <c r="C25" s="5" t="inlineStr">
        <is>
          <t>3</t>
        </is>
      </c>
      <c r="D25" s="5" t="inlineStr">
        <is>
          <t>Zip:</t>
        </is>
      </c>
      <c r="E25" s="5" t="inlineStr">
        <is>
          <t>DV-160[0].Page2[0].TextField3[3]</t>
        </is>
      </c>
      <c r="F25" s="5" t="inlineStr">
        <is>
          <t>text</t>
        </is>
      </c>
      <c r="G25" s="5" t="inlineStr"/>
      <c r="H25" s="5" t="inlineStr"/>
      <c r="I25" s="5" t="inlineStr">
        <is>
          <t>346, 187, 423, 206</t>
        </is>
      </c>
      <c r="J25" s="5" t="inlineStr">
        <is>
          <t>question</t>
        </is>
      </c>
      <c r="K25" s="5" t="inlineStr">
        <is>
          <t>S5,L4,P6</t>
        </is>
      </c>
      <c r="L25" s="5">
        <f> S5=="Y" ? L4.zip : P6.zip</f>
        <v/>
      </c>
      <c r="M25" s="5" t="inlineStr"/>
      <c r="N25" s="5" t="inlineStr"/>
      <c r="O25" s="5" t="inlineStr"/>
    </row>
    <row r="26">
      <c r="A26" s="5" t="n">
        <v>25</v>
      </c>
      <c r="B26" s="5" t="n">
        <v>2</v>
      </c>
      <c r="C26" s="5" t="inlineStr">
        <is>
          <t>3</t>
        </is>
      </c>
      <c r="D26" s="5" t="inlineStr">
        <is>
          <t>Telephone:</t>
        </is>
      </c>
      <c r="E26" s="5" t="inlineStr">
        <is>
          <t>DV-160[0].Page2[0].TextField3[4]</t>
        </is>
      </c>
      <c r="F26" s="5" t="inlineStr">
        <is>
          <t>text</t>
        </is>
      </c>
      <c r="G26" s="5" t="inlineStr"/>
      <c r="H26" s="5" t="inlineStr"/>
      <c r="I26" s="5" t="inlineStr">
        <is>
          <t>133, 231, 282, 251</t>
        </is>
      </c>
      <c r="J26" s="5" t="inlineStr">
        <is>
          <t>question</t>
        </is>
      </c>
      <c r="K26" s="5" t="inlineStr">
        <is>
          <t>S5,L5,P7</t>
        </is>
      </c>
      <c r="L26" s="5">
        <f> S5=="Y" ? L5.phone : P7</f>
        <v/>
      </c>
      <c r="M26" s="5" t="inlineStr">
        <is>
          <t>optional</t>
        </is>
      </c>
      <c r="N26" s="5" t="inlineStr"/>
      <c r="O26" s="5" t="inlineStr"/>
    </row>
    <row r="27">
      <c r="A27" s="5" t="n">
        <v>26</v>
      </c>
      <c r="B27" s="5" t="n">
        <v>2</v>
      </c>
      <c r="C27" s="5" t="inlineStr">
        <is>
          <t>3</t>
        </is>
      </c>
      <c r="D27" s="5" t="inlineStr">
        <is>
          <t>E-mail address:</t>
        </is>
      </c>
      <c r="E27" s="5" t="inlineStr">
        <is>
          <t>DV-160[0].Page2[0].TextField3[5]</t>
        </is>
      </c>
      <c r="F27" s="5" t="inlineStr">
        <is>
          <t>text</t>
        </is>
      </c>
      <c r="G27" s="5" t="inlineStr"/>
      <c r="H27" s="5" t="inlineStr"/>
      <c r="I27" s="5" t="inlineStr">
        <is>
          <t>152, 256, 423, 276</t>
        </is>
      </c>
      <c r="J27" s="5" t="inlineStr">
        <is>
          <t>question</t>
        </is>
      </c>
      <c r="K27" s="5" t="inlineStr">
        <is>
          <t>S5,L5,P8</t>
        </is>
      </c>
      <c r="L27" s="5">
        <f> S5=="Y" ? L5.email : P8.email</f>
        <v/>
      </c>
      <c r="M27" s="5" t="inlineStr">
        <is>
          <t>optional</t>
        </is>
      </c>
      <c r="N27" s="5" t="inlineStr"/>
      <c r="O27" s="5" t="inlineStr"/>
    </row>
    <row r="28">
      <c r="A28" s="5" t="n">
        <v>27</v>
      </c>
      <c r="B28" s="5" t="n">
        <v>2</v>
      </c>
      <c r="C28" s="5" t="inlineStr">
        <is>
          <t>3</t>
        </is>
      </c>
      <c r="D28" s="5" t="inlineStr">
        <is>
          <t>Fax:</t>
        </is>
      </c>
      <c r="E28" s="5" t="inlineStr">
        <is>
          <t>DV-160[0].Page2[0].TextField3[6]</t>
        </is>
      </c>
      <c r="F28" s="5" t="inlineStr">
        <is>
          <t>text</t>
        </is>
      </c>
      <c r="G28" s="5" t="inlineStr"/>
      <c r="H28" s="5" t="inlineStr"/>
      <c r="I28" s="5" t="inlineStr">
        <is>
          <t>311, 230, 422, 250</t>
        </is>
      </c>
      <c r="J28" s="5" t="inlineStr">
        <is>
          <t>question</t>
        </is>
      </c>
      <c r="K28" s="5" t="inlineStr">
        <is>
          <t>S5,L5,P8</t>
        </is>
      </c>
      <c r="L28" s="5">
        <f> S5=="Y" ? L5.fax : P8.fax</f>
        <v/>
      </c>
      <c r="M28" s="5" t="inlineStr">
        <is>
          <t>optional</t>
        </is>
      </c>
      <c r="N28" s="5" t="inlineStr"/>
      <c r="O28" s="5" t="inlineStr"/>
    </row>
    <row r="29">
      <c r="A29" s="5" t="n">
        <v>28</v>
      </c>
      <c r="B29" s="5" t="n">
        <v>2</v>
      </c>
      <c r="C29" s="5" t="inlineStr">
        <is>
          <t>3</t>
        </is>
      </c>
      <c r="D29" s="5" t="inlineStr">
        <is>
          <t>Name:</t>
        </is>
      </c>
      <c r="E29" s="5" t="inlineStr">
        <is>
          <t>DV-160[0].Page2[0].TextField3[7]</t>
        </is>
      </c>
      <c r="F29" s="5" t="inlineStr">
        <is>
          <t>text</t>
        </is>
      </c>
      <c r="G29" s="5" t="inlineStr"/>
      <c r="H29" s="5" t="inlineStr"/>
      <c r="I29" s="5" t="inlineStr">
        <is>
          <t>116, 300, 380, 314</t>
        </is>
      </c>
      <c r="J29" s="5" t="inlineStr">
        <is>
          <t>question</t>
        </is>
      </c>
      <c r="K29" s="5" t="inlineStr">
        <is>
          <t>L1</t>
        </is>
      </c>
      <c r="L29" s="5">
        <f> L1</f>
        <v/>
      </c>
      <c r="M29" s="5" t="inlineStr">
        <is>
          <t>S5 == "Y"</t>
        </is>
      </c>
      <c r="N29" s="5" t="inlineStr"/>
      <c r="O29" s="5" t="inlineStr"/>
    </row>
    <row r="30">
      <c r="A30" s="5" t="n">
        <v>29</v>
      </c>
      <c r="B30" s="5" t="n">
        <v>2</v>
      </c>
      <c r="C30" s="5" t="inlineStr">
        <is>
          <t>3</t>
        </is>
      </c>
      <c r="D30" s="5" t="inlineStr">
        <is>
          <t>State Bar No.:</t>
        </is>
      </c>
      <c r="E30" s="5" t="inlineStr">
        <is>
          <t>DV-160[0].Page2[0].TextField3[8]</t>
        </is>
      </c>
      <c r="F30" s="5" t="inlineStr">
        <is>
          <t>text</t>
        </is>
      </c>
      <c r="G30" s="5" t="inlineStr"/>
      <c r="H30" s="5" t="inlineStr"/>
      <c r="I30" s="5" t="inlineStr">
        <is>
          <t>449, 300, 556, 314</t>
        </is>
      </c>
      <c r="J30" s="5" t="inlineStr">
        <is>
          <t>question</t>
        </is>
      </c>
      <c r="K30" s="5" t="inlineStr">
        <is>
          <t>L2</t>
        </is>
      </c>
      <c r="L30" s="5">
        <f> L2</f>
        <v/>
      </c>
      <c r="M30" s="5" t="inlineStr">
        <is>
          <t>S5 == "Y"</t>
        </is>
      </c>
      <c r="N30" s="5" t="inlineStr"/>
      <c r="O30" s="5" t="inlineStr"/>
    </row>
    <row r="31">
      <c r="A31" s="5" t="n">
        <v>30</v>
      </c>
      <c r="B31" s="5" t="n">
        <v>2</v>
      </c>
      <c r="C31" s="5" t="inlineStr">
        <is>
          <t>5b</t>
        </is>
      </c>
      <c r="D31" s="5" t="inlineStr">
        <is>
          <t>enter The address I want kept confidential</t>
        </is>
      </c>
      <c r="E31" s="5" t="inlineStr">
        <is>
          <t>DV-160[0].Page2[0].TextField[0]</t>
        </is>
      </c>
      <c r="F31" s="5" t="inlineStr">
        <is>
          <t>text</t>
        </is>
      </c>
      <c r="G31" s="5" t="inlineStr"/>
      <c r="H31" s="5" t="inlineStr"/>
      <c r="I31" s="5" t="inlineStr">
        <is>
          <t>78, 639, 574, 669</t>
        </is>
      </c>
      <c r="J31" s="5" t="inlineStr">
        <is>
          <t>question</t>
        </is>
      </c>
      <c r="K31" s="5" t="inlineStr">
        <is>
          <t>M5</t>
        </is>
      </c>
      <c r="L31" s="5">
        <f> oneLine(M5)</f>
        <v/>
      </c>
      <c r="M31" s="5" t="inlineStr">
        <is>
          <t>M4 has "address"</t>
        </is>
      </c>
      <c r="N31" s="5" t="inlineStr"/>
      <c r="O31" s="5" t="inlineStr"/>
    </row>
    <row r="32">
      <c r="A32" s="5" t="n">
        <v>31</v>
      </c>
      <c r="B32" s="5" t="n">
        <v>3</v>
      </c>
      <c r="C32" s="5" t="inlineStr">
        <is>
          <t>5c</t>
        </is>
      </c>
      <c r="D32" s="5" t="inlineStr">
        <is>
          <t>Information relating to the minor</t>
        </is>
      </c>
      <c r="E32" s="5" t="inlineStr">
        <is>
          <t>DV-160[0].Page3[0].OtherProtectedText_OF_cb[0]</t>
        </is>
      </c>
      <c r="F32" s="5" t="inlineStr">
        <is>
          <t>checkbox</t>
        </is>
      </c>
      <c r="G32" s="5" t="inlineStr">
        <is>
          <t>1</t>
        </is>
      </c>
      <c r="H32" s="5" t="inlineStr"/>
      <c r="I32" s="5" t="inlineStr">
        <is>
          <t>78, 84, 87, 93</t>
        </is>
      </c>
      <c r="J32" s="5" t="inlineStr">
        <is>
          <t>question</t>
        </is>
      </c>
      <c r="K32" s="5" t="inlineStr">
        <is>
          <t>M4</t>
        </is>
      </c>
      <c r="L32" s="5" t="inlineStr">
        <is>
          <t>check if M4 has "other"</t>
        </is>
      </c>
      <c r="M32" s="5" t="inlineStr"/>
      <c r="N32" s="5" t="inlineStr"/>
      <c r="O32" s="5" t="inlineStr"/>
    </row>
    <row r="33">
      <c r="A33" s="6" t="n">
        <v>32</v>
      </c>
      <c r="B33" s="6" t="n">
        <v>3</v>
      </c>
      <c r="C33" s="6" t="inlineStr">
        <is>
          <t>5c(1)</t>
        </is>
      </c>
      <c r="D33" s="6" t="inlineStr">
        <is>
          <t>Attach a copy of form DV-100 or other document that you are filing. Circle all the information you want kept confidential.</t>
        </is>
      </c>
      <c r="E33" s="6" t="inlineStr">
        <is>
          <t>DV-160[0].Page3[0].OtherProtectedText_OF_cb5[0]</t>
        </is>
      </c>
      <c r="F33" s="6" t="inlineStr">
        <is>
          <t>checkbox</t>
        </is>
      </c>
      <c r="G33" s="6" t="inlineStr">
        <is>
          <t>1</t>
        </is>
      </c>
      <c r="H33" s="6" t="inlineStr"/>
      <c r="I33" s="6" t="inlineStr">
        <is>
          <t>98, 227, 107, 236</t>
        </is>
      </c>
      <c r="J33" s="6" t="inlineStr">
        <is>
          <t>derived</t>
        </is>
      </c>
      <c r="K33" s="6" t="inlineStr">
        <is>
          <t>M6</t>
        </is>
      </c>
      <c r="L33" s="6" t="inlineStr">
        <is>
          <t>never</t>
        </is>
      </c>
      <c r="M33" s="6" t="inlineStr"/>
      <c r="N33" s="6" t="inlineStr">
        <is>
          <t>The wizard always uses the list option (2), pre-filled from where it printed the minor's details.</t>
        </is>
      </c>
      <c r="O33" s="6" t="inlineStr"/>
    </row>
    <row r="34">
      <c r="A34" s="6" t="n">
        <v>33</v>
      </c>
      <c r="B34" s="6" t="n">
        <v>3</v>
      </c>
      <c r="C34" s="6" t="inlineStr">
        <is>
          <t>5c(2)</t>
        </is>
      </c>
      <c r="D34" s="6" t="inlineStr">
        <is>
          <t>List the information below, identifying the location of the statements in form DV-100 or other document that you are filing.</t>
        </is>
      </c>
      <c r="E34" s="6" t="inlineStr">
        <is>
          <t>DV-160[0].Page3[0].OtherProtectedText_OF_cb5[1]</t>
        </is>
      </c>
      <c r="F34" s="6" t="inlineStr">
        <is>
          <t>checkbox</t>
        </is>
      </c>
      <c r="G34" s="6" t="inlineStr">
        <is>
          <t>1</t>
        </is>
      </c>
      <c r="H34" s="6" t="inlineStr"/>
      <c r="I34" s="6" t="inlineStr">
        <is>
          <t>98, 267, 107, 276</t>
        </is>
      </c>
      <c r="J34" s="6" t="inlineStr">
        <is>
          <t>derived</t>
        </is>
      </c>
      <c r="K34" s="6" t="inlineStr">
        <is>
          <t>M6</t>
        </is>
      </c>
      <c r="L34" s="6" t="inlineStr">
        <is>
          <t>check if M4 has "other"</t>
        </is>
      </c>
      <c r="M34" s="6" t="inlineStr"/>
      <c r="N34" s="6" t="inlineStr"/>
      <c r="O34" s="6" t="inlineStr"/>
    </row>
    <row r="35">
      <c r="A35" s="5" t="n">
        <v>34</v>
      </c>
      <c r="B35" s="5" t="n">
        <v>3</v>
      </c>
      <c r="C35" s="5" t="inlineStr">
        <is>
          <t>5c(2)(a)</t>
        </is>
      </c>
      <c r="D35" s="5" t="inlineStr">
        <is>
          <t>enter information to be redacted</t>
        </is>
      </c>
      <c r="E35" s="5" t="inlineStr">
        <is>
          <t>DV-160[0].Page3[0].DocTitle_ft[0]</t>
        </is>
      </c>
      <c r="F35" s="5" t="inlineStr">
        <is>
          <t>text</t>
        </is>
      </c>
      <c r="G35" s="5" t="inlineStr"/>
      <c r="H35" s="5" t="inlineStr"/>
      <c r="I35" s="5" t="inlineStr">
        <is>
          <t>259, 381, 576, 439</t>
        </is>
      </c>
      <c r="J35" s="5" t="inlineStr">
        <is>
          <t>question</t>
        </is>
      </c>
      <c r="K35" s="5" t="inlineStr">
        <is>
          <t>M6</t>
        </is>
      </c>
      <c r="L35" s="5">
        <f> M6[0].text</f>
        <v/>
      </c>
      <c r="M35" s="5" t="inlineStr">
        <is>
          <t>M6.length &gt; 0</t>
        </is>
      </c>
      <c r="N35" s="5" t="inlineStr"/>
      <c r="O35" s="5" t="inlineStr"/>
    </row>
    <row r="36">
      <c r="A36" s="5" t="n">
        <v>35</v>
      </c>
      <c r="B36" s="5" t="n">
        <v>3</v>
      </c>
      <c r="C36" s="5" t="inlineStr">
        <is>
          <t>5c(2)(a)</t>
        </is>
      </c>
      <c r="D36" s="5" t="inlineStr">
        <is>
          <t>enter location of information</t>
        </is>
      </c>
      <c r="E36" s="5" t="inlineStr">
        <is>
          <t>DV-160[0].Page3[0].DocFilingDate_ft[0]</t>
        </is>
      </c>
      <c r="F36" s="5" t="inlineStr">
        <is>
          <t>text</t>
        </is>
      </c>
      <c r="G36" s="5" t="inlineStr"/>
      <c r="H36" s="5" t="inlineStr"/>
      <c r="I36" s="5" t="inlineStr">
        <is>
          <t>117, 381, 254, 439</t>
        </is>
      </c>
      <c r="J36" s="5" t="inlineStr">
        <is>
          <t>question</t>
        </is>
      </c>
      <c r="K36" s="5" t="inlineStr">
        <is>
          <t>M6</t>
        </is>
      </c>
      <c r="L36" s="5">
        <f> M6[0].location</f>
        <v/>
      </c>
      <c r="M36" s="5" t="inlineStr">
        <is>
          <t>M6.length &gt; 0</t>
        </is>
      </c>
      <c r="N36" s="5" t="inlineStr">
        <is>
          <t>Rows a–d are numbered 0, 3, 2, 1 in the PDF.</t>
        </is>
      </c>
      <c r="O36" s="5" t="inlineStr"/>
    </row>
    <row r="37">
      <c r="A37" s="5" t="n">
        <v>36</v>
      </c>
      <c r="B37" s="5" t="n">
        <v>3</v>
      </c>
      <c r="C37" s="5" t="inlineStr">
        <is>
          <t>5c(2)(d)</t>
        </is>
      </c>
      <c r="D37" s="5" t="inlineStr">
        <is>
          <t>enter information to be redacted</t>
        </is>
      </c>
      <c r="E37" s="5" t="inlineStr">
        <is>
          <t>DV-160[0].Page3[0].DocTitle_ft[1]</t>
        </is>
      </c>
      <c r="F37" s="5" t="inlineStr">
        <is>
          <t>text</t>
        </is>
      </c>
      <c r="G37" s="5" t="inlineStr"/>
      <c r="H37" s="5" t="inlineStr"/>
      <c r="I37" s="5" t="inlineStr">
        <is>
          <t>259, 572, 576, 632</t>
        </is>
      </c>
      <c r="J37" s="5" t="inlineStr">
        <is>
          <t>question</t>
        </is>
      </c>
      <c r="K37" s="5" t="inlineStr">
        <is>
          <t>M6</t>
        </is>
      </c>
      <c r="L37" s="5">
        <f> M6[3].text</f>
        <v/>
      </c>
      <c r="M37" s="5" t="inlineStr">
        <is>
          <t>M6.length &gt; 3</t>
        </is>
      </c>
      <c r="N37" s="5" t="inlineStr"/>
      <c r="O37" s="5" t="inlineStr"/>
    </row>
    <row r="38">
      <c r="A38" s="5" t="n">
        <v>37</v>
      </c>
      <c r="B38" s="5" t="n">
        <v>3</v>
      </c>
      <c r="C38" s="5" t="inlineStr">
        <is>
          <t>5c(2)(d)</t>
        </is>
      </c>
      <c r="D38" s="5" t="inlineStr">
        <is>
          <t>enter location of information</t>
        </is>
      </c>
      <c r="E38" s="5" t="inlineStr">
        <is>
          <t>DV-160[0].Page3[0].DocFilingDate_ft[1]</t>
        </is>
      </c>
      <c r="F38" s="5" t="inlineStr">
        <is>
          <t>text</t>
        </is>
      </c>
      <c r="G38" s="5" t="inlineStr"/>
      <c r="H38" s="5" t="inlineStr"/>
      <c r="I38" s="5" t="inlineStr">
        <is>
          <t>117, 572, 254, 632</t>
        </is>
      </c>
      <c r="J38" s="5" t="inlineStr">
        <is>
          <t>question</t>
        </is>
      </c>
      <c r="K38" s="5" t="inlineStr">
        <is>
          <t>M6</t>
        </is>
      </c>
      <c r="L38" s="5">
        <f> M6[3].location</f>
        <v/>
      </c>
      <c r="M38" s="5" t="inlineStr">
        <is>
          <t>M6.length &gt; 3</t>
        </is>
      </c>
      <c r="N38" s="5" t="inlineStr"/>
      <c r="O38" s="5" t="inlineStr"/>
    </row>
    <row r="39">
      <c r="A39" s="5" t="n">
        <v>38</v>
      </c>
      <c r="B39" s="5" t="n">
        <v>3</v>
      </c>
      <c r="C39" s="5" t="inlineStr">
        <is>
          <t>5c(2)(c)</t>
        </is>
      </c>
      <c r="D39" s="5" t="inlineStr">
        <is>
          <t>enter information to be redacted</t>
        </is>
      </c>
      <c r="E39" s="5" t="inlineStr">
        <is>
          <t>DV-160[0].Page3[0].DocTitle_ft[2]</t>
        </is>
      </c>
      <c r="F39" s="5" t="inlineStr">
        <is>
          <t>text</t>
        </is>
      </c>
      <c r="G39" s="5" t="inlineStr"/>
      <c r="H39" s="5" t="inlineStr"/>
      <c r="I39" s="5" t="inlineStr">
        <is>
          <t>259, 509, 576, 567</t>
        </is>
      </c>
      <c r="J39" s="5" t="inlineStr">
        <is>
          <t>question</t>
        </is>
      </c>
      <c r="K39" s="5" t="inlineStr">
        <is>
          <t>M6</t>
        </is>
      </c>
      <c r="L39" s="5">
        <f> M6[2].text</f>
        <v/>
      </c>
      <c r="M39" s="5" t="inlineStr">
        <is>
          <t>M6.length &gt; 2</t>
        </is>
      </c>
      <c r="N39" s="5" t="inlineStr"/>
      <c r="O39" s="5" t="inlineStr"/>
    </row>
    <row r="40">
      <c r="A40" s="5" t="n">
        <v>39</v>
      </c>
      <c r="B40" s="5" t="n">
        <v>3</v>
      </c>
      <c r="C40" s="5" t="inlineStr">
        <is>
          <t>5c(2)(c)</t>
        </is>
      </c>
      <c r="D40" s="5" t="inlineStr">
        <is>
          <t>enter location of information</t>
        </is>
      </c>
      <c r="E40" s="5" t="inlineStr">
        <is>
          <t>DV-160[0].Page3[0].DocFilingDate_ft[2]</t>
        </is>
      </c>
      <c r="F40" s="5" t="inlineStr">
        <is>
          <t>text</t>
        </is>
      </c>
      <c r="G40" s="5" t="inlineStr"/>
      <c r="H40" s="5" t="inlineStr"/>
      <c r="I40" s="5" t="inlineStr">
        <is>
          <t>117, 509, 254, 567</t>
        </is>
      </c>
      <c r="J40" s="5" t="inlineStr">
        <is>
          <t>question</t>
        </is>
      </c>
      <c r="K40" s="5" t="inlineStr">
        <is>
          <t>M6</t>
        </is>
      </c>
      <c r="L40" s="5">
        <f> M6[2].location</f>
        <v/>
      </c>
      <c r="M40" s="5" t="inlineStr">
        <is>
          <t>M6.length &gt; 2</t>
        </is>
      </c>
      <c r="N40" s="5" t="inlineStr"/>
      <c r="O40" s="5" t="inlineStr"/>
    </row>
    <row r="41">
      <c r="A41" s="5" t="n">
        <v>40</v>
      </c>
      <c r="B41" s="5" t="n">
        <v>3</v>
      </c>
      <c r="C41" s="5" t="inlineStr">
        <is>
          <t>5c(2)(b)</t>
        </is>
      </c>
      <c r="D41" s="5" t="inlineStr">
        <is>
          <t>enter information to be redacted</t>
        </is>
      </c>
      <c r="E41" s="5" t="inlineStr">
        <is>
          <t>DV-160[0].Page3[0].DocTitle_ft[3]</t>
        </is>
      </c>
      <c r="F41" s="5" t="inlineStr">
        <is>
          <t>text</t>
        </is>
      </c>
      <c r="G41" s="5" t="inlineStr"/>
      <c r="H41" s="5" t="inlineStr"/>
      <c r="I41" s="5" t="inlineStr">
        <is>
          <t>259, 445, 576, 503</t>
        </is>
      </c>
      <c r="J41" s="5" t="inlineStr">
        <is>
          <t>question</t>
        </is>
      </c>
      <c r="K41" s="5" t="inlineStr">
        <is>
          <t>M6</t>
        </is>
      </c>
      <c r="L41" s="5">
        <f> M6[1].text</f>
        <v/>
      </c>
      <c r="M41" s="5" t="inlineStr">
        <is>
          <t>M6.length &gt; 1</t>
        </is>
      </c>
      <c r="N41" s="5" t="inlineStr"/>
      <c r="O41" s="5" t="inlineStr"/>
    </row>
    <row r="42">
      <c r="A42" s="5" t="n">
        <v>41</v>
      </c>
      <c r="B42" s="5" t="n">
        <v>3</v>
      </c>
      <c r="C42" s="5" t="inlineStr">
        <is>
          <t>5c(2)(b)</t>
        </is>
      </c>
      <c r="D42" s="5" t="inlineStr">
        <is>
          <t>enter location of information</t>
        </is>
      </c>
      <c r="E42" s="5" t="inlineStr">
        <is>
          <t>DV-160[0].Page3[0].DocFilingDate_ft[3]</t>
        </is>
      </c>
      <c r="F42" s="5" t="inlineStr">
        <is>
          <t>text</t>
        </is>
      </c>
      <c r="G42" s="5" t="inlineStr"/>
      <c r="H42" s="5" t="inlineStr"/>
      <c r="I42" s="5" t="inlineStr">
        <is>
          <t>117, 445, 254, 503</t>
        </is>
      </c>
      <c r="J42" s="5" t="inlineStr">
        <is>
          <t>question</t>
        </is>
      </c>
      <c r="K42" s="5" t="inlineStr">
        <is>
          <t>M6</t>
        </is>
      </c>
      <c r="L42" s="5">
        <f> M6[1].location</f>
        <v/>
      </c>
      <c r="M42" s="5" t="inlineStr">
        <is>
          <t>M6.length &gt; 1</t>
        </is>
      </c>
      <c r="N42" s="5" t="inlineStr"/>
      <c r="O42" s="5" t="inlineStr"/>
    </row>
    <row r="43">
      <c r="A43" s="6" t="n">
        <v>42</v>
      </c>
      <c r="B43" s="6" t="n">
        <v>3</v>
      </c>
      <c r="C43" s="6" t="inlineStr">
        <is>
          <t>5c(2) more</t>
        </is>
      </c>
      <c r="D43" s="6" t="inlineStr">
        <is>
          <t>Check here if there is not enough space for your answer. Put your complete answer on an attached sheet of paper, and write “Attachment 5c(2)” for a title.</t>
        </is>
      </c>
      <c r="E43" s="6" t="inlineStr">
        <is>
          <t>DV-160[0].Page3[0].OtherProtectedText_OF_cb[1]</t>
        </is>
      </c>
      <c r="F43" s="6" t="inlineStr">
        <is>
          <t>checkbox</t>
        </is>
      </c>
      <c r="G43" s="6" t="inlineStr">
        <is>
          <t>1</t>
        </is>
      </c>
      <c r="H43" s="6" t="inlineStr"/>
      <c r="I43" s="6" t="inlineStr">
        <is>
          <t>117, 652, 126, 661</t>
        </is>
      </c>
      <c r="J43" s="6" t="inlineStr">
        <is>
          <t>derived</t>
        </is>
      </c>
      <c r="K43" s="6" t="inlineStr">
        <is>
          <t>M6</t>
        </is>
      </c>
      <c r="L43" s="6" t="inlineStr">
        <is>
          <t>check if M6.length &gt; 4</t>
        </is>
      </c>
      <c r="M43" s="6" t="inlineStr"/>
      <c r="N43" s="6" t="inlineStr">
        <is>
          <t>Attach "Attachment 5c(2)".</t>
        </is>
      </c>
      <c r="O43" s="6" t="inlineStr"/>
    </row>
    <row r="44">
      <c r="A44" s="5" t="n">
        <v>43</v>
      </c>
      <c r="B44" s="5" t="n">
        <v>3</v>
      </c>
      <c r="C44" s="5" t="inlineStr">
        <is>
          <t>Caption</t>
        </is>
      </c>
      <c r="D44" s="5" t="inlineStr">
        <is>
          <t>Case Number:</t>
        </is>
      </c>
      <c r="E44" s="5" t="inlineStr">
        <is>
          <t>DV-160[0].Page3[0].PxCaption[0].CaseNumber_ft[0]</t>
        </is>
      </c>
      <c r="F44" s="5" t="inlineStr">
        <is>
          <t>text</t>
        </is>
      </c>
      <c r="G44" s="5" t="inlineStr"/>
      <c r="H44" s="5" t="inlineStr"/>
      <c r="I44" s="5" t="inlineStr">
        <is>
          <t>399, 49, 572, 61</t>
        </is>
      </c>
      <c r="J44" s="5" t="inlineStr">
        <is>
          <t>question</t>
        </is>
      </c>
      <c r="K44" s="5" t="inlineStr">
        <is>
          <t>S3,S4</t>
        </is>
      </c>
      <c r="L44" s="5">
        <f> S4</f>
        <v/>
      </c>
      <c r="M44" s="5" t="inlineStr">
        <is>
          <t>S3 == "update"; otherwise blank for clerk</t>
        </is>
      </c>
      <c r="N44" s="5" t="inlineStr"/>
      <c r="O44" s="5" t="inlineStr"/>
    </row>
    <row r="45">
      <c r="A45" s="5" t="n">
        <v>44</v>
      </c>
      <c r="B45" s="5" t="n">
        <v>4</v>
      </c>
      <c r="C45" s="5" t="inlineStr">
        <is>
          <t>6a</t>
        </is>
      </c>
      <c r="D45" s="5" t="inlineStr"/>
      <c r="E45" s="5" t="inlineStr">
        <is>
          <t>DV-160[0].Page4[0].OtherProtectedReasons_ft[0]</t>
        </is>
      </c>
      <c r="F45" s="5" t="inlineStr">
        <is>
          <t>text</t>
        </is>
      </c>
      <c r="G45" s="5" t="inlineStr"/>
      <c r="H45" s="5" t="inlineStr"/>
      <c r="I45" s="5" t="inlineStr">
        <is>
          <t>79, 271, 573, 410</t>
        </is>
      </c>
      <c r="J45" s="5" t="inlineStr">
        <is>
          <t>question</t>
        </is>
      </c>
      <c r="K45" s="5" t="inlineStr">
        <is>
          <t>M7</t>
        </is>
      </c>
      <c r="L45" s="5">
        <f> fit(M7)</f>
        <v/>
      </c>
      <c r="M45" s="5" t="inlineStr"/>
      <c r="N45" s="5" t="inlineStr"/>
      <c r="O45" s="5" t="inlineStr"/>
    </row>
    <row r="46">
      <c r="A46" s="5" t="n">
        <v>45</v>
      </c>
      <c r="B46" s="5" t="n">
        <v>4</v>
      </c>
      <c r="C46" s="5" t="inlineStr">
        <is>
          <t>6b</t>
        </is>
      </c>
      <c r="D46" s="5" t="inlineStr">
        <is>
          <t>What do you think would happen if the information was NOT made private or confidential?</t>
        </is>
      </c>
      <c r="E46" s="5" t="inlineStr">
        <is>
          <t>DV-160[0].Page4[0].OtherProtectedReasons_ft[1]</t>
        </is>
      </c>
      <c r="F46" s="5" t="inlineStr">
        <is>
          <t>text</t>
        </is>
      </c>
      <c r="G46" s="5" t="inlineStr"/>
      <c r="H46" s="5" t="inlineStr"/>
      <c r="I46" s="5" t="inlineStr">
        <is>
          <t>79, 479, 573, 623</t>
        </is>
      </c>
      <c r="J46" s="5" t="inlineStr">
        <is>
          <t>question</t>
        </is>
      </c>
      <c r="K46" s="5" t="inlineStr">
        <is>
          <t>M8</t>
        </is>
      </c>
      <c r="L46" s="5">
        <f> fit(M8)</f>
        <v/>
      </c>
      <c r="M46" s="5" t="inlineStr"/>
      <c r="N46" s="5" t="inlineStr"/>
      <c r="O46" s="5" t="inlineStr"/>
    </row>
    <row r="47">
      <c r="A47" s="6" t="n">
        <v>46</v>
      </c>
      <c r="B47" s="6" t="n">
        <v>4</v>
      </c>
      <c r="C47" s="6" t="inlineStr">
        <is>
          <t>6a more</t>
        </is>
      </c>
      <c r="D47" s="6" t="inlineStr">
        <is>
          <t>Check here if there is not enough space for your answer. Put your complete answer on an attached sheet of paper, and write “Attachment 6a” for a title.</t>
        </is>
      </c>
      <c r="E47" s="6" t="inlineStr">
        <is>
          <t>DV-160[0].Page4[0].CheckBox2[0]</t>
        </is>
      </c>
      <c r="F47" s="6" t="inlineStr">
        <is>
          <t>checkbox</t>
        </is>
      </c>
      <c r="G47" s="6" t="inlineStr">
        <is>
          <t>1</t>
        </is>
      </c>
      <c r="H47" s="6" t="inlineStr"/>
      <c r="I47" s="6" t="inlineStr">
        <is>
          <t>78, 417, 87, 426</t>
        </is>
      </c>
      <c r="J47" s="6" t="inlineStr">
        <is>
          <t>derived</t>
        </is>
      </c>
      <c r="K47" s="6" t="inlineStr">
        <is>
          <t>M7</t>
        </is>
      </c>
      <c r="L47" s="6" t="inlineStr">
        <is>
          <t>check if M7 overflowed</t>
        </is>
      </c>
      <c r="M47" s="6" t="inlineStr"/>
      <c r="N47" s="6" t="inlineStr">
        <is>
          <t>Attach "Attachment 6a".</t>
        </is>
      </c>
      <c r="O47" s="6" t="inlineStr"/>
    </row>
    <row r="48">
      <c r="A48" s="5" t="n">
        <v>47</v>
      </c>
      <c r="B48" s="5" t="n">
        <v>4</v>
      </c>
      <c r="C48" s="5" t="inlineStr">
        <is>
          <t>Caption</t>
        </is>
      </c>
      <c r="D48" s="5" t="inlineStr">
        <is>
          <t>Case Number:</t>
        </is>
      </c>
      <c r="E48" s="5" t="inlineStr">
        <is>
          <t>DV-160[0].Page4[0].PxCaption[0].CaseNumber_ft[0]</t>
        </is>
      </c>
      <c r="F48" s="5" t="inlineStr">
        <is>
          <t>text</t>
        </is>
      </c>
      <c r="G48" s="5" t="inlineStr"/>
      <c r="H48" s="5" t="inlineStr"/>
      <c r="I48" s="5" t="inlineStr">
        <is>
          <t>399, 49, 572, 61</t>
        </is>
      </c>
      <c r="J48" s="5" t="inlineStr">
        <is>
          <t>question</t>
        </is>
      </c>
      <c r="K48" s="5" t="inlineStr">
        <is>
          <t>S3,S4</t>
        </is>
      </c>
      <c r="L48" s="5">
        <f> S4</f>
        <v/>
      </c>
      <c r="M48" s="5" t="inlineStr">
        <is>
          <t>S3 == "update"; otherwise blank for clerk</t>
        </is>
      </c>
      <c r="N48" s="5" t="inlineStr"/>
      <c r="O48" s="5" t="inlineStr"/>
    </row>
    <row r="49">
      <c r="A49" s="6" t="n">
        <v>48</v>
      </c>
      <c r="B49" s="6" t="n">
        <v>4</v>
      </c>
      <c r="C49" s="6" t="inlineStr">
        <is>
          <t>6b more</t>
        </is>
      </c>
      <c r="D49" s="6" t="inlineStr">
        <is>
          <t>Check here if there is not enough space for your answer. Put your complete answer on an attached sheet of paper, and write “Attachment 6b” for a title.</t>
        </is>
      </c>
      <c r="E49" s="6" t="inlineStr">
        <is>
          <t>DV-160[0].Page4[0].CheckBox2[1]</t>
        </is>
      </c>
      <c r="F49" s="6" t="inlineStr">
        <is>
          <t>checkbox</t>
        </is>
      </c>
      <c r="G49" s="6" t="inlineStr">
        <is>
          <t>1</t>
        </is>
      </c>
      <c r="H49" s="6" t="inlineStr"/>
      <c r="I49" s="6" t="inlineStr">
        <is>
          <t>78, 638, 87, 647</t>
        </is>
      </c>
      <c r="J49" s="6" t="inlineStr">
        <is>
          <t>derived</t>
        </is>
      </c>
      <c r="K49" s="6" t="inlineStr">
        <is>
          <t>M8</t>
        </is>
      </c>
      <c r="L49" s="6" t="inlineStr">
        <is>
          <t>check if M8 overflowed</t>
        </is>
      </c>
      <c r="M49" s="6" t="inlineStr"/>
      <c r="N49" s="6" t="inlineStr">
        <is>
          <t>Attach "Attachment 6b".</t>
        </is>
      </c>
      <c r="O49" s="6" t="inlineStr"/>
    </row>
    <row r="50">
      <c r="A50" s="5" t="n">
        <v>49</v>
      </c>
      <c r="B50" s="5" t="n">
        <v>5</v>
      </c>
      <c r="C50" s="5" t="inlineStr">
        <is>
          <t>8a(3)</t>
        </is>
      </c>
      <c r="D50" s="5" t="inlineStr">
        <is>
          <t>Other information relating to the minor from item</t>
        </is>
      </c>
      <c r="E50" s="5" t="inlineStr">
        <is>
          <t>DV-160[0].Page5[0].ConfMinorOth_cb[0]</t>
        </is>
      </c>
      <c r="F50" s="5" t="inlineStr">
        <is>
          <t>checkbox</t>
        </is>
      </c>
      <c r="G50" s="5" t="inlineStr">
        <is>
          <t>1</t>
        </is>
      </c>
      <c r="H50" s="5" t="inlineStr"/>
      <c r="I50" s="5" t="inlineStr">
        <is>
          <t>98, 411, 107, 420</t>
        </is>
      </c>
      <c r="J50" s="5" t="inlineStr">
        <is>
          <t>question</t>
        </is>
      </c>
      <c r="K50" s="5" t="inlineStr">
        <is>
          <t>M10</t>
        </is>
      </c>
      <c r="L50" s="5" t="inlineStr">
        <is>
          <t>check if M10.what has "other"</t>
        </is>
      </c>
      <c r="M50" s="5" t="inlineStr"/>
      <c r="N50" s="5" t="inlineStr"/>
      <c r="O50" s="5" t="inlineStr"/>
    </row>
    <row r="51">
      <c r="A51" s="5" t="n">
        <v>50</v>
      </c>
      <c r="B51" s="5" t="n">
        <v>5</v>
      </c>
      <c r="C51" s="5" t="inlineStr">
        <is>
          <t>7a</t>
        </is>
      </c>
      <c r="D51" s="5" t="inlineStr">
        <is>
          <t xml:space="preserve">Cancel my request for restraining order  I ask the court NOT to make a decision on my Request for Domestic Violence Restraining Order (form DV-100). I understand that cancelling my request means that </t>
        </is>
      </c>
      <c r="E51" s="5" t="inlineStr">
        <is>
          <t>DV-160[0].Page5[0].OtherProtectedText_OF_cb4[0]</t>
        </is>
      </c>
      <c r="F51" s="5" t="inlineStr">
        <is>
          <t>checkbox</t>
        </is>
      </c>
      <c r="G51" s="5" t="inlineStr">
        <is>
          <t>1</t>
        </is>
      </c>
      <c r="H51" s="5" t="inlineStr"/>
      <c r="I51" s="5" t="inlineStr">
        <is>
          <t>78, 141, 87, 150</t>
        </is>
      </c>
      <c r="J51" s="5" t="inlineStr">
        <is>
          <t>question</t>
        </is>
      </c>
      <c r="K51" s="5" t="inlineStr">
        <is>
          <t>M9</t>
        </is>
      </c>
      <c r="L51" s="5" t="inlineStr">
        <is>
          <t>check if M9 == "cancel"</t>
        </is>
      </c>
      <c r="M51" s="5" t="inlineStr"/>
      <c r="N51" s="5" t="inlineStr"/>
      <c r="O51" s="5" t="inlineStr"/>
    </row>
    <row r="52">
      <c r="A52" s="5" t="n">
        <v>51</v>
      </c>
      <c r="B52" s="5" t="n">
        <v>5</v>
      </c>
      <c r="C52" s="5" t="inlineStr">
        <is>
          <t>7b</t>
        </is>
      </c>
      <c r="D52" s="5" t="inlineStr">
        <is>
          <t>Move forward with my request for restraining order  I ask the court to make a decision on my Request for Domestic Violence Restraining Order (form DV-100). (Note: Choosing this option means that all o</t>
        </is>
      </c>
      <c r="E52" s="5" t="inlineStr">
        <is>
          <t>DV-160[0].Page5[0].OtherProtectedText_OF_cb4[1]</t>
        </is>
      </c>
      <c r="F52" s="5" t="inlineStr">
        <is>
          <t>checkbox</t>
        </is>
      </c>
      <c r="G52" s="5" t="inlineStr">
        <is>
          <t>2</t>
        </is>
      </c>
      <c r="H52" s="5" t="inlineStr"/>
      <c r="I52" s="5" t="inlineStr">
        <is>
          <t>78, 204, 87, 213</t>
        </is>
      </c>
      <c r="J52" s="5" t="inlineStr">
        <is>
          <t>question</t>
        </is>
      </c>
      <c r="K52" s="5" t="inlineStr">
        <is>
          <t>M9</t>
        </is>
      </c>
      <c r="L52" s="5" t="inlineStr">
        <is>
          <t>check if M9 == "go forward"</t>
        </is>
      </c>
      <c r="M52" s="5" t="inlineStr"/>
      <c r="N52" s="5" t="inlineStr">
        <is>
          <t>Export value 2.</t>
        </is>
      </c>
      <c r="O52" s="5" t="inlineStr"/>
    </row>
    <row r="53">
      <c r="A53" s="5" t="n">
        <v>52</v>
      </c>
      <c r="B53" s="5" t="n">
        <v>5</v>
      </c>
      <c r="C53" s="5" t="inlineStr">
        <is>
          <t>8</t>
        </is>
      </c>
      <c r="D53" s="5" t="inlineStr">
        <is>
          <t>Information to Be Kept Confidential from the Restrained Person</t>
        </is>
      </c>
      <c r="E53" s="5" t="inlineStr">
        <is>
          <t>DV-160[0].Page5[0].OtherOrders_cb[0]</t>
        </is>
      </c>
      <c r="F53" s="5" t="inlineStr">
        <is>
          <t>checkbox</t>
        </is>
      </c>
      <c r="G53" s="5" t="inlineStr">
        <is>
          <t>1</t>
        </is>
      </c>
      <c r="H53" s="5" t="inlineStr"/>
      <c r="I53" s="5" t="inlineStr">
        <is>
          <t>63, 286, 72, 295</t>
        </is>
      </c>
      <c r="J53" s="5" t="inlineStr">
        <is>
          <t>question</t>
        </is>
      </c>
      <c r="K53" s="5" t="inlineStr">
        <is>
          <t>M10</t>
        </is>
      </c>
      <c r="L53" s="5" t="inlineStr">
        <is>
          <t>check if M10.what is not empty</t>
        </is>
      </c>
      <c r="M53" s="5" t="inlineStr"/>
      <c r="N53" s="5" t="inlineStr"/>
      <c r="O53" s="5" t="inlineStr"/>
    </row>
    <row r="54">
      <c r="A54" s="5" t="n">
        <v>53</v>
      </c>
      <c r="B54" s="5" t="n">
        <v>5</v>
      </c>
      <c r="C54" s="5" t="inlineStr">
        <is>
          <t>8a(1)</t>
        </is>
      </c>
      <c r="D54" s="5" t="inlineStr">
        <is>
          <t>Minor’s name</t>
        </is>
      </c>
      <c r="E54" s="5" t="inlineStr">
        <is>
          <t>DV-160[0].Page5[0].ConfMinorsName_cb[0]</t>
        </is>
      </c>
      <c r="F54" s="5" t="inlineStr">
        <is>
          <t>checkbox</t>
        </is>
      </c>
      <c r="G54" s="5" t="inlineStr">
        <is>
          <t>1</t>
        </is>
      </c>
      <c r="H54" s="5" t="inlineStr"/>
      <c r="I54" s="5" t="inlineStr">
        <is>
          <t>98, 375, 107, 384</t>
        </is>
      </c>
      <c r="J54" s="5" t="inlineStr">
        <is>
          <t>question</t>
        </is>
      </c>
      <c r="K54" s="5" t="inlineStr">
        <is>
          <t>M10</t>
        </is>
      </c>
      <c r="L54" s="5" t="inlineStr">
        <is>
          <t>check if M10.what has "name"</t>
        </is>
      </c>
      <c r="M54" s="5" t="inlineStr"/>
      <c r="N54" s="5" t="inlineStr"/>
      <c r="O54" s="5" t="inlineStr"/>
    </row>
    <row r="55">
      <c r="A55" s="5" t="n">
        <v>54</v>
      </c>
      <c r="B55" s="5" t="n">
        <v>5</v>
      </c>
      <c r="C55" s="5" t="inlineStr">
        <is>
          <t>8a(2)</t>
        </is>
      </c>
      <c r="D55" s="5" t="inlineStr">
        <is>
          <t>Minor’s address</t>
        </is>
      </c>
      <c r="E55" s="5" t="inlineStr">
        <is>
          <t>DV-160[0].Page5[0].ConfMinorsAdd_cb[0]</t>
        </is>
      </c>
      <c r="F55" s="5" t="inlineStr">
        <is>
          <t>checkbox</t>
        </is>
      </c>
      <c r="G55" s="5" t="inlineStr">
        <is>
          <t>1</t>
        </is>
      </c>
      <c r="H55" s="5" t="inlineStr"/>
      <c r="I55" s="5" t="inlineStr">
        <is>
          <t>98, 393, 107, 402</t>
        </is>
      </c>
      <c r="J55" s="5" t="inlineStr">
        <is>
          <t>question</t>
        </is>
      </c>
      <c r="K55" s="5" t="inlineStr">
        <is>
          <t>M10</t>
        </is>
      </c>
      <c r="L55" s="5" t="inlineStr">
        <is>
          <t>check if M10.what has "address"</t>
        </is>
      </c>
      <c r="M55" s="5" t="inlineStr"/>
      <c r="N55" s="5" t="inlineStr"/>
      <c r="O55" s="5" t="inlineStr"/>
    </row>
    <row r="56">
      <c r="A56" s="6" t="n">
        <v>55</v>
      </c>
      <c r="B56" s="6" t="n">
        <v>5</v>
      </c>
      <c r="C56" s="6" t="inlineStr">
        <is>
          <t>8 more</t>
        </is>
      </c>
      <c r="D56" s="6" t="inlineStr">
        <is>
          <t>Check here if there is not enough space for your answer. Put your complete answer on an attached sheet of paper, and write “Attachment 8” for a title.</t>
        </is>
      </c>
      <c r="E56" s="6" t="inlineStr">
        <is>
          <t>DV-160[0].Page5[0].CheckBox2[0]</t>
        </is>
      </c>
      <c r="F56" s="6" t="inlineStr">
        <is>
          <t>checkbox</t>
        </is>
      </c>
      <c r="G56" s="6" t="inlineStr">
        <is>
          <t>1</t>
        </is>
      </c>
      <c r="H56" s="6" t="inlineStr"/>
      <c r="I56" s="6" t="inlineStr">
        <is>
          <t>63, 654, 72, 663</t>
        </is>
      </c>
      <c r="J56" s="6" t="inlineStr">
        <is>
          <t>derived</t>
        </is>
      </c>
      <c r="K56" s="6" t="inlineStr">
        <is>
          <t>M10</t>
        </is>
      </c>
      <c r="L56" s="6" t="inlineStr">
        <is>
          <t>check if 8b or 8c overflowed</t>
        </is>
      </c>
      <c r="M56" s="6" t="inlineStr"/>
      <c r="N56" s="6" t="inlineStr">
        <is>
          <t>Attach "Attachment 8".</t>
        </is>
      </c>
      <c r="O56" s="6" t="inlineStr"/>
    </row>
    <row r="57">
      <c r="A57" s="5" t="n">
        <v>56</v>
      </c>
      <c r="B57" s="5" t="n">
        <v>5</v>
      </c>
      <c r="C57" s="5" t="inlineStr">
        <is>
          <t>Caption</t>
        </is>
      </c>
      <c r="D57" s="5" t="inlineStr">
        <is>
          <t>Case Number:</t>
        </is>
      </c>
      <c r="E57" s="5" t="inlineStr">
        <is>
          <t>DV-160[0].Page5[0].PxCaption[0].CaseNumber_ft[0]</t>
        </is>
      </c>
      <c r="F57" s="5" t="inlineStr">
        <is>
          <t>text</t>
        </is>
      </c>
      <c r="G57" s="5" t="inlineStr"/>
      <c r="H57" s="5" t="inlineStr"/>
      <c r="I57" s="5" t="inlineStr">
        <is>
          <t>399, 49, 572, 61</t>
        </is>
      </c>
      <c r="J57" s="5" t="inlineStr">
        <is>
          <t>question</t>
        </is>
      </c>
      <c r="K57" s="5" t="inlineStr">
        <is>
          <t>S3,S4</t>
        </is>
      </c>
      <c r="L57" s="5">
        <f> S4</f>
        <v/>
      </c>
      <c r="M57" s="5" t="inlineStr">
        <is>
          <t>S3 == "update"; otherwise blank for clerk</t>
        </is>
      </c>
      <c r="N57" s="5" t="inlineStr"/>
      <c r="O57" s="5" t="inlineStr"/>
    </row>
    <row r="58">
      <c r="A58" s="5" t="n">
        <v>57</v>
      </c>
      <c r="B58" s="5" t="n">
        <v>5</v>
      </c>
      <c r="C58" s="5" t="inlineStr">
        <is>
          <t>8b</t>
        </is>
      </c>
      <c r="D58" s="5" t="inlineStr">
        <is>
          <t>enter Why should the information listed in 8a be kept confidential and not given to the restrained person</t>
        </is>
      </c>
      <c r="E58" s="5" t="inlineStr">
        <is>
          <t>DV-160[0].Page5[0].TextField[0]</t>
        </is>
      </c>
      <c r="F58" s="5" t="inlineStr">
        <is>
          <t>text</t>
        </is>
      </c>
      <c r="G58" s="5" t="inlineStr"/>
      <c r="H58" s="5" t="inlineStr"/>
      <c r="I58" s="5" t="inlineStr">
        <is>
          <t>78, 501, 574, 560</t>
        </is>
      </c>
      <c r="J58" s="5" t="inlineStr">
        <is>
          <t>question</t>
        </is>
      </c>
      <c r="K58" s="5" t="inlineStr">
        <is>
          <t>M10</t>
        </is>
      </c>
      <c r="L58" s="5">
        <f> fit(M10.why)</f>
        <v/>
      </c>
      <c r="M58" s="5" t="inlineStr">
        <is>
          <t>M10.what not empty</t>
        </is>
      </c>
      <c r="N58" s="5" t="inlineStr"/>
      <c r="O58" s="5" t="inlineStr"/>
    </row>
    <row r="59">
      <c r="A59" s="5" t="n">
        <v>58</v>
      </c>
      <c r="B59" s="5" t="n">
        <v>5</v>
      </c>
      <c r="C59" s="5" t="inlineStr">
        <is>
          <t>8c</t>
        </is>
      </c>
      <c r="D59" s="5" t="inlineStr">
        <is>
          <t>enter What do you think would happen if the information listed in 8a is given to the restrained person?</t>
        </is>
      </c>
      <c r="E59" s="5" t="inlineStr">
        <is>
          <t>DV-160[0].Page5[0].TextField[1]</t>
        </is>
      </c>
      <c r="F59" s="5" t="inlineStr">
        <is>
          <t>text</t>
        </is>
      </c>
      <c r="G59" s="5" t="inlineStr"/>
      <c r="H59" s="5" t="inlineStr"/>
      <c r="I59" s="5" t="inlineStr">
        <is>
          <t>78, 590, 575, 646</t>
        </is>
      </c>
      <c r="J59" s="5" t="inlineStr">
        <is>
          <t>question</t>
        </is>
      </c>
      <c r="K59" s="5" t="inlineStr">
        <is>
          <t>M10</t>
        </is>
      </c>
      <c r="L59" s="5">
        <f> fit(M10.whatWouldHappen)</f>
        <v/>
      </c>
      <c r="M59" s="5" t="inlineStr">
        <is>
          <t>M10.what not empty</t>
        </is>
      </c>
      <c r="N59" s="5" t="inlineStr"/>
      <c r="O59" s="5" t="inlineStr"/>
    </row>
    <row r="60">
      <c r="A60" s="5" t="n">
        <v>59</v>
      </c>
      <c r="B60" s="5" t="n">
        <v>5</v>
      </c>
      <c r="C60" s="5" t="inlineStr">
        <is>
          <t>8a(3)</t>
        </is>
      </c>
      <c r="D60" s="5" t="inlineStr">
        <is>
          <t>specify here</t>
        </is>
      </c>
      <c r="E60" s="5" t="inlineStr">
        <is>
          <t>DV-160[0].Page5[0].TextField[2]</t>
        </is>
      </c>
      <c r="F60" s="5" t="inlineStr">
        <is>
          <t>text</t>
        </is>
      </c>
      <c r="G60" s="5" t="inlineStr"/>
      <c r="H60" s="5" t="inlineStr"/>
      <c r="I60" s="5" t="inlineStr">
        <is>
          <t>96, 426, 574, 469</t>
        </is>
      </c>
      <c r="J60" s="5" t="inlineStr">
        <is>
          <t>question</t>
        </is>
      </c>
      <c r="K60" s="5" t="inlineStr">
        <is>
          <t>M10</t>
        </is>
      </c>
      <c r="L60" s="5">
        <f> M10.otherText</f>
        <v/>
      </c>
      <c r="M60" s="5" t="inlineStr">
        <is>
          <t>M10.what has "other"</t>
        </is>
      </c>
      <c r="N60" s="5" t="inlineStr"/>
      <c r="O60" s="5" t="inlineStr"/>
    </row>
    <row r="61">
      <c r="A61" s="6" t="n">
        <v>60</v>
      </c>
      <c r="B61" s="6" t="n">
        <v>6</v>
      </c>
      <c r="C61" s="6" t="inlineStr">
        <is>
          <t>10</t>
        </is>
      </c>
      <c r="D61" s="6" t="inlineStr">
        <is>
          <t>Number of pages attached to this form, if any:</t>
        </is>
      </c>
      <c r="E61" s="6" t="inlineStr">
        <is>
          <t>DV-160[0].Page6[0].PagesAttached_no[0]</t>
        </is>
      </c>
      <c r="F61" s="6" t="inlineStr">
        <is>
          <t>text</t>
        </is>
      </c>
      <c r="G61" s="6" t="inlineStr"/>
      <c r="H61" s="6" t="inlineStr"/>
      <c r="I61" s="6" t="inlineStr">
        <is>
          <t>273, 492, 305, 504</t>
        </is>
      </c>
      <c r="J61" s="6" t="inlineStr">
        <is>
          <t>derived</t>
        </is>
      </c>
      <c r="K61" s="6" t="inlineStr">
        <is>
          <t>(packet)</t>
        </is>
      </c>
      <c r="L61" s="6">
        <f> number of pages attached to DV-160</f>
        <v/>
      </c>
      <c r="M61" s="6" t="inlineStr"/>
      <c r="N61" s="6" t="inlineStr"/>
      <c r="O61" s="6" t="inlineStr"/>
    </row>
    <row r="62">
      <c r="A62" s="5" t="n">
        <v>61</v>
      </c>
      <c r="B62" s="5" t="n">
        <v>6</v>
      </c>
      <c r="C62" s="5" t="inlineStr">
        <is>
          <t>12</t>
        </is>
      </c>
      <c r="D62" s="5" t="inlineStr">
        <is>
          <t>Date:</t>
        </is>
      </c>
      <c r="E62" s="5" t="inlineStr">
        <is>
          <t>DV-160[0].Page6[0].LawyerSignature_dt[0]</t>
        </is>
      </c>
      <c r="F62" s="5" t="inlineStr">
        <is>
          <t>text</t>
        </is>
      </c>
      <c r="G62" s="5" t="inlineStr"/>
      <c r="H62" s="5" t="inlineStr"/>
      <c r="I62" s="5" t="inlineStr">
        <is>
          <t>95, 654, 241, 667</t>
        </is>
      </c>
      <c r="J62" s="5" t="inlineStr">
        <is>
          <t>question</t>
        </is>
      </c>
      <c r="K62" s="5" t="inlineStr">
        <is>
          <t>G1</t>
        </is>
      </c>
      <c r="L62" s="5">
        <f> fmtDate(G1)</f>
        <v/>
      </c>
      <c r="M62" s="5" t="inlineStr">
        <is>
          <t>S5 == "Y"</t>
        </is>
      </c>
      <c r="N62" s="5" t="inlineStr">
        <is>
          <t>There is no printed-name field for the lawyer here.</t>
        </is>
      </c>
      <c r="O62" s="5" t="inlineStr"/>
    </row>
    <row r="63">
      <c r="A63" s="5" t="n">
        <v>62</v>
      </c>
      <c r="B63" s="5" t="n">
        <v>6</v>
      </c>
      <c r="C63" s="5" t="inlineStr">
        <is>
          <t>Caption</t>
        </is>
      </c>
      <c r="D63" s="5" t="inlineStr">
        <is>
          <t>Case Number:</t>
        </is>
      </c>
      <c r="E63" s="5" t="inlineStr">
        <is>
          <t>DV-160[0].Page6[0].PxCaption[0].CaseNumber_ft[0]</t>
        </is>
      </c>
      <c r="F63" s="5" t="inlineStr">
        <is>
          <t>text</t>
        </is>
      </c>
      <c r="G63" s="5" t="inlineStr"/>
      <c r="H63" s="5" t="inlineStr"/>
      <c r="I63" s="5" t="inlineStr">
        <is>
          <t>399, 49, 572, 61</t>
        </is>
      </c>
      <c r="J63" s="5" t="inlineStr">
        <is>
          <t>question</t>
        </is>
      </c>
      <c r="K63" s="5" t="inlineStr">
        <is>
          <t>S3,S4</t>
        </is>
      </c>
      <c r="L63" s="5">
        <f> S4</f>
        <v/>
      </c>
      <c r="M63" s="5" t="inlineStr">
        <is>
          <t>S3 == "update"; otherwise blank for clerk</t>
        </is>
      </c>
      <c r="N63" s="5" t="inlineStr"/>
      <c r="O63" s="5" t="inlineStr"/>
    </row>
    <row r="64">
      <c r="A64" s="6" t="n">
        <v>63</v>
      </c>
      <c r="B64" s="6" t="n">
        <v>6</v>
      </c>
      <c r="C64" s="6" t="inlineStr">
        <is>
          <t>8d</t>
        </is>
      </c>
      <c r="D64" s="6" t="inlineStr">
        <is>
          <t>d.</t>
        </is>
      </c>
      <c r="E64" s="6" t="inlineStr">
        <is>
          <t>DV-160[0].Page6[0].OtherOrders_cb[0]</t>
        </is>
      </c>
      <c r="F64" s="6" t="inlineStr">
        <is>
          <t>checkbox</t>
        </is>
      </c>
      <c r="G64" s="6" t="inlineStr">
        <is>
          <t>1</t>
        </is>
      </c>
      <c r="H64" s="6" t="inlineStr"/>
      <c r="I64" s="6" t="inlineStr">
        <is>
          <t>78, 80, 87, 89</t>
        </is>
      </c>
      <c r="J64" s="6" t="inlineStr">
        <is>
          <t>derived</t>
        </is>
      </c>
      <c r="K64" s="6" t="inlineStr">
        <is>
          <t>M10</t>
        </is>
      </c>
      <c r="L64" s="6" t="inlineStr">
        <is>
          <t>check if M10.what is not empty</t>
        </is>
      </c>
      <c r="M64" s="6" t="inlineStr"/>
      <c r="N64" s="6" t="inlineStr"/>
      <c r="O64" s="6" t="inlineStr"/>
    </row>
    <row r="65">
      <c r="A65" s="5" t="n">
        <v>64</v>
      </c>
      <c r="B65" s="5" t="n">
        <v>6</v>
      </c>
      <c r="C65" s="5" t="inlineStr">
        <is>
          <t>8d(1)</t>
        </is>
      </c>
      <c r="D65" s="5" t="inlineStr">
        <is>
          <t>Cancel my request for restraining order  I ask the court NOT to make a decision on my Request for Domestic Violence Restraining Order (form DV-100). I understand that canceling my request means that I</t>
        </is>
      </c>
      <c r="E65" s="5" t="inlineStr">
        <is>
          <t>DV-160[0].Page6[0].OtherProtectedText_OF_cb2[0]</t>
        </is>
      </c>
      <c r="F65" s="5" t="inlineStr">
        <is>
          <t>checkbox</t>
        </is>
      </c>
      <c r="G65" s="5" t="inlineStr">
        <is>
          <t>1</t>
        </is>
      </c>
      <c r="H65" s="5" t="inlineStr"/>
      <c r="I65" s="5" t="inlineStr">
        <is>
          <t>98, 114, 107, 123</t>
        </is>
      </c>
      <c r="J65" s="5" t="inlineStr">
        <is>
          <t>question</t>
        </is>
      </c>
      <c r="K65" s="5" t="inlineStr">
        <is>
          <t>M10</t>
        </is>
      </c>
      <c r="L65" s="5" t="inlineStr">
        <is>
          <t>check if M10.ifDenied == "cancel"</t>
        </is>
      </c>
      <c r="M65" s="5" t="inlineStr">
        <is>
          <t>M10.what not empty</t>
        </is>
      </c>
      <c r="N65" s="5" t="inlineStr"/>
      <c r="O65" s="5" t="inlineStr"/>
    </row>
    <row r="66">
      <c r="A66" s="5" t="n">
        <v>65</v>
      </c>
      <c r="B66" s="5" t="n">
        <v>6</v>
      </c>
      <c r="C66" s="5" t="inlineStr">
        <is>
          <t>8d(2)</t>
        </is>
      </c>
      <c r="D66" s="5" t="inlineStr">
        <is>
          <t>Move forward with my request for restraining order  I ask the court to make a decision on my Request for Domestic Violence Restraining Order (form DV-100). (Note: Choosing this option means that all o</t>
        </is>
      </c>
      <c r="E66" s="5" t="inlineStr">
        <is>
          <t>DV-160[0].Page6[0].OtherProtectedText_OF_cb2[1]</t>
        </is>
      </c>
      <c r="F66" s="5" t="inlineStr">
        <is>
          <t>checkbox</t>
        </is>
      </c>
      <c r="G66" s="5" t="inlineStr">
        <is>
          <t>2</t>
        </is>
      </c>
      <c r="H66" s="5" t="inlineStr"/>
      <c r="I66" s="5" t="inlineStr">
        <is>
          <t>98, 186, 107, 195</t>
        </is>
      </c>
      <c r="J66" s="5" t="inlineStr">
        <is>
          <t>question</t>
        </is>
      </c>
      <c r="K66" s="5" t="inlineStr">
        <is>
          <t>M10</t>
        </is>
      </c>
      <c r="L66" s="5" t="inlineStr">
        <is>
          <t>check if M10.ifDenied == "go forward"</t>
        </is>
      </c>
      <c r="M66" s="5" t="inlineStr">
        <is>
          <t>M10.what not empty</t>
        </is>
      </c>
      <c r="N66" s="5" t="inlineStr"/>
      <c r="O66" s="5" t="inlineStr"/>
    </row>
    <row r="67">
      <c r="A67" s="7" t="n">
        <v>66</v>
      </c>
      <c r="B67" s="7" t="n">
        <v>6</v>
      </c>
      <c r="C67" s="7" t="inlineStr">
        <is>
          <t>—</t>
        </is>
      </c>
      <c r="D67" s="7" t="inlineStr">
        <is>
          <t>Print this form</t>
        </is>
      </c>
      <c r="E67" s="7" t="inlineStr">
        <is>
          <t>DV-160[0].Page6[0].#area[2].Print_bt[0]</t>
        </is>
      </c>
      <c r="F67" s="7" t="inlineStr">
        <is>
          <t>button</t>
        </is>
      </c>
      <c r="G67" s="7" t="inlineStr"/>
      <c r="H67" s="7" t="inlineStr"/>
      <c r="I67" s="7" t="inlineStr">
        <is>
          <t>258, 763, 339, 780</t>
        </is>
      </c>
      <c r="J67" s="7" t="inlineStr">
        <is>
          <t>ignore (UI button)</t>
        </is>
      </c>
      <c r="K67" s="7" t="inlineStr"/>
      <c r="L67" s="7" t="inlineStr"/>
      <c r="M67" s="7" t="inlineStr"/>
      <c r="N67" s="7" t="inlineStr">
        <is>
          <t>Print/Save/Clear button. Do not fill.</t>
        </is>
      </c>
      <c r="O67" s="7" t="inlineStr"/>
    </row>
    <row r="68">
      <c r="A68" s="7" t="n">
        <v>67</v>
      </c>
      <c r="B68" s="7" t="n">
        <v>6</v>
      </c>
      <c r="C68" s="7" t="inlineStr">
        <is>
          <t>—</t>
        </is>
      </c>
      <c r="D68" s="7" t="inlineStr">
        <is>
          <t>Save this form</t>
        </is>
      </c>
      <c r="E68" s="7" t="inlineStr">
        <is>
          <t>DV-160[0].Page6[0].#area[2].Save_bt[0]</t>
        </is>
      </c>
      <c r="F68" s="7" t="inlineStr">
        <is>
          <t>button</t>
        </is>
      </c>
      <c r="G68" s="7" t="inlineStr"/>
      <c r="H68" s="7" t="inlineStr"/>
      <c r="I68" s="7" t="inlineStr">
        <is>
          <t>345, 763, 426, 780</t>
        </is>
      </c>
      <c r="J68" s="7" t="inlineStr">
        <is>
          <t>ignore (UI button)</t>
        </is>
      </c>
      <c r="K68" s="7" t="inlineStr"/>
      <c r="L68" s="7" t="inlineStr"/>
      <c r="M68" s="7" t="inlineStr"/>
      <c r="N68" s="7" t="inlineStr">
        <is>
          <t>Print/Save/Clear button. Do not fill.</t>
        </is>
      </c>
      <c r="O68" s="7" t="inlineStr"/>
    </row>
    <row r="69">
      <c r="A69" s="7" t="n">
        <v>68</v>
      </c>
      <c r="B69" s="7" t="n">
        <v>6</v>
      </c>
      <c r="C69" s="7" t="inlineStr">
        <is>
          <t>—</t>
        </is>
      </c>
      <c r="D69" s="7" t="inlineStr">
        <is>
          <t>Clear this form</t>
        </is>
      </c>
      <c r="E69" s="7" t="inlineStr">
        <is>
          <t>DV-160[0].Page6[0].#area[2].Reset_bt[0]</t>
        </is>
      </c>
      <c r="F69" s="7" t="inlineStr">
        <is>
          <t>button</t>
        </is>
      </c>
      <c r="G69" s="7" t="inlineStr"/>
      <c r="H69" s="7" t="inlineStr"/>
      <c r="I69" s="7" t="inlineStr">
        <is>
          <t>494, 763, 575, 780</t>
        </is>
      </c>
      <c r="J69" s="7" t="inlineStr">
        <is>
          <t>ignore (UI button)</t>
        </is>
      </c>
      <c r="K69" s="7" t="inlineStr"/>
      <c r="L69" s="7" t="inlineStr"/>
      <c r="M69" s="7" t="inlineStr"/>
      <c r="N69" s="7" t="inlineStr">
        <is>
          <t>Print/Save/Clear button. Do not fill.</t>
        </is>
      </c>
      <c r="O69" s="7" t="inlineStr"/>
    </row>
    <row r="70">
      <c r="A70" s="7" t="n">
        <v>69</v>
      </c>
      <c r="B70" s="7" t="n">
        <v>6</v>
      </c>
      <c r="C70" s="7" t="inlineStr">
        <is>
          <t>—</t>
        </is>
      </c>
      <c r="D70" s="7" t="inlineStr">
        <is>
          <t>For your protection and privacy, please press the Clear This Form button after you have printed the form.</t>
        </is>
      </c>
      <c r="E70" s="7" t="inlineStr">
        <is>
          <t>DV-160[0].Page6[0].#area[2].T23[0]</t>
        </is>
      </c>
      <c r="F70" s="7" t="inlineStr">
        <is>
          <t>button</t>
        </is>
      </c>
      <c r="G70" s="7" t="inlineStr"/>
      <c r="H70" s="7" t="inlineStr"/>
      <c r="I70" s="7" t="inlineStr">
        <is>
          <t>36, 757, 247, 780</t>
        </is>
      </c>
      <c r="J70" s="7" t="inlineStr">
        <is>
          <t>ignore (UI button)</t>
        </is>
      </c>
      <c r="K70" s="7" t="inlineStr"/>
      <c r="L70" s="7" t="inlineStr"/>
      <c r="M70" s="7" t="inlineStr"/>
      <c r="N70" s="7" t="inlineStr">
        <is>
          <t>Print/Save/Clear button. Do not fill.</t>
        </is>
      </c>
      <c r="O70" s="7" t="inlineStr"/>
    </row>
    <row r="71">
      <c r="A71" s="5" t="n">
        <v>70</v>
      </c>
      <c r="B71" s="5" t="n">
        <v>6</v>
      </c>
      <c r="C71" s="5" t="inlineStr">
        <is>
          <t>9a</t>
        </is>
      </c>
      <c r="D71" s="5" t="inlineStr">
        <is>
          <t>Minor's childcare provider</t>
        </is>
      </c>
      <c r="E71" s="5" t="inlineStr">
        <is>
          <t>DV-160[0].Page6[0].CheckBox4[0]</t>
        </is>
      </c>
      <c r="F71" s="5" t="inlineStr">
        <is>
          <t>checkbox</t>
        </is>
      </c>
      <c r="G71" s="5" t="inlineStr">
        <is>
          <t>1</t>
        </is>
      </c>
      <c r="H71" s="5" t="inlineStr"/>
      <c r="I71" s="5" t="inlineStr">
        <is>
          <t>101, 357, 110, 366</t>
        </is>
      </c>
      <c r="J71" s="5" t="inlineStr">
        <is>
          <t>question</t>
        </is>
      </c>
      <c r="K71" s="5" t="inlineStr">
        <is>
          <t>M11</t>
        </is>
      </c>
      <c r="L71" s="5" t="inlineStr">
        <is>
          <t>check if M11.who has "childcare"</t>
        </is>
      </c>
      <c r="M71" s="5" t="inlineStr"/>
      <c r="N71" s="5" t="inlineStr"/>
      <c r="O71" s="5" t="inlineStr"/>
    </row>
    <row r="72">
      <c r="A72" s="5" t="n">
        <v>71</v>
      </c>
      <c r="B72" s="5" t="n">
        <v>6</v>
      </c>
      <c r="C72" s="5" t="inlineStr">
        <is>
          <t>9a</t>
        </is>
      </c>
      <c r="D72" s="5" t="inlineStr">
        <is>
          <t>Supervised visitation provider</t>
        </is>
      </c>
      <c r="E72" s="5" t="inlineStr">
        <is>
          <t>DV-160[0].Page6[0].CheckBox4[1]</t>
        </is>
      </c>
      <c r="F72" s="5" t="inlineStr">
        <is>
          <t>checkbox</t>
        </is>
      </c>
      <c r="G72" s="5" t="inlineStr">
        <is>
          <t>1</t>
        </is>
      </c>
      <c r="H72" s="5" t="inlineStr"/>
      <c r="I72" s="5" t="inlineStr">
        <is>
          <t>101, 375, 110, 384</t>
        </is>
      </c>
      <c r="J72" s="5" t="inlineStr">
        <is>
          <t>question</t>
        </is>
      </c>
      <c r="K72" s="5" t="inlineStr">
        <is>
          <t>M11</t>
        </is>
      </c>
      <c r="L72" s="5" t="inlineStr">
        <is>
          <t>check if M11.who has "supervised visitation provider"</t>
        </is>
      </c>
      <c r="M72" s="5" t="inlineStr"/>
      <c r="N72" s="5" t="inlineStr"/>
      <c r="O72" s="5" t="inlineStr"/>
    </row>
    <row r="73">
      <c r="A73" s="5" t="n">
        <v>72</v>
      </c>
      <c r="B73" s="5" t="n">
        <v>6</v>
      </c>
      <c r="C73" s="5" t="inlineStr">
        <is>
          <t>9a</t>
        </is>
      </c>
      <c r="D73" s="5" t="inlineStr">
        <is>
          <t>Minor's school and after-school program</t>
        </is>
      </c>
      <c r="E73" s="5" t="inlineStr">
        <is>
          <t>DV-160[0].Page6[0].CheckBox4[2]</t>
        </is>
      </c>
      <c r="F73" s="5" t="inlineStr">
        <is>
          <t>checkbox</t>
        </is>
      </c>
      <c r="G73" s="5" t="inlineStr">
        <is>
          <t>1</t>
        </is>
      </c>
      <c r="H73" s="5" t="inlineStr"/>
      <c r="I73" s="5" t="inlineStr">
        <is>
          <t>101, 340, 110, 349</t>
        </is>
      </c>
      <c r="J73" s="5" t="inlineStr">
        <is>
          <t>question</t>
        </is>
      </c>
      <c r="K73" s="5" t="inlineStr">
        <is>
          <t>M11</t>
        </is>
      </c>
      <c r="L73" s="5" t="inlineStr">
        <is>
          <t>check if M11.who has "school"</t>
        </is>
      </c>
      <c r="M73" s="5" t="inlineStr"/>
      <c r="N73" s="5" t="inlineStr">
        <is>
          <t>Box order is shuffled: [2] school, [0] childcare, [1] supervisor, [6] other.</t>
        </is>
      </c>
      <c r="O73" s="5" t="inlineStr"/>
    </row>
    <row r="74">
      <c r="A74" s="5" t="n">
        <v>73</v>
      </c>
      <c r="B74" s="5" t="n">
        <v>6</v>
      </c>
      <c r="C74" s="5" t="inlineStr">
        <is>
          <t>9b</t>
        </is>
      </c>
      <c r="D74" s="5" t="inlineStr">
        <is>
          <t>Minor's address</t>
        </is>
      </c>
      <c r="E74" s="5" t="inlineStr">
        <is>
          <t>DV-160[0].Page6[0].CheckBox4[3]</t>
        </is>
      </c>
      <c r="F74" s="5" t="inlineStr">
        <is>
          <t>checkbox</t>
        </is>
      </c>
      <c r="G74" s="5" t="inlineStr">
        <is>
          <t>1</t>
        </is>
      </c>
      <c r="H74" s="5" t="inlineStr"/>
      <c r="I74" s="5" t="inlineStr">
        <is>
          <t>101, 451, 110, 460</t>
        </is>
      </c>
      <c r="J74" s="5" t="inlineStr">
        <is>
          <t>question</t>
        </is>
      </c>
      <c r="K74" s="5" t="inlineStr">
        <is>
          <t>M11</t>
        </is>
      </c>
      <c r="L74" s="5" t="inlineStr">
        <is>
          <t>check if M11.what has "address"</t>
        </is>
      </c>
      <c r="M74" s="5" t="inlineStr"/>
      <c r="N74" s="5" t="inlineStr"/>
      <c r="O74" s="5" t="inlineStr"/>
    </row>
    <row r="75">
      <c r="A75" s="5" t="n">
        <v>74</v>
      </c>
      <c r="B75" s="5" t="n">
        <v>6</v>
      </c>
      <c r="C75" s="5" t="inlineStr">
        <is>
          <t>9b</t>
        </is>
      </c>
      <c r="D75" s="5" t="inlineStr">
        <is>
          <t>Information listed in item 5c.</t>
        </is>
      </c>
      <c r="E75" s="5" t="inlineStr">
        <is>
          <t>DV-160[0].Page6[0].CheckBox4[4]</t>
        </is>
      </c>
      <c r="F75" s="5" t="inlineStr">
        <is>
          <t>checkbox</t>
        </is>
      </c>
      <c r="G75" s="5" t="inlineStr">
        <is>
          <t>1</t>
        </is>
      </c>
      <c r="H75" s="5" t="inlineStr"/>
      <c r="I75" s="5" t="inlineStr">
        <is>
          <t>101, 467, 110, 476</t>
        </is>
      </c>
      <c r="J75" s="5" t="inlineStr">
        <is>
          <t>question</t>
        </is>
      </c>
      <c r="K75" s="5" t="inlineStr">
        <is>
          <t>M11</t>
        </is>
      </c>
      <c r="L75" s="5" t="inlineStr">
        <is>
          <t>check if M11.what has "5c information"</t>
        </is>
      </c>
      <c r="M75" s="5" t="inlineStr"/>
      <c r="N75" s="5" t="inlineStr"/>
      <c r="O75" s="5" t="inlineStr"/>
    </row>
    <row r="76">
      <c r="A76" s="5" t="n">
        <v>75</v>
      </c>
      <c r="B76" s="5" t="n">
        <v>6</v>
      </c>
      <c r="C76" s="5" t="inlineStr">
        <is>
          <t>9b</t>
        </is>
      </c>
      <c r="D76" s="5" t="inlineStr">
        <is>
          <t>Minor's name</t>
        </is>
      </c>
      <c r="E76" s="5" t="inlineStr">
        <is>
          <t>DV-160[0].Page6[0].CheckBox4[5]</t>
        </is>
      </c>
      <c r="F76" s="5" t="inlineStr">
        <is>
          <t>checkbox</t>
        </is>
      </c>
      <c r="G76" s="5" t="inlineStr">
        <is>
          <t>1</t>
        </is>
      </c>
      <c r="H76" s="5" t="inlineStr"/>
      <c r="I76" s="5" t="inlineStr">
        <is>
          <t>101, 437, 110, 446</t>
        </is>
      </c>
      <c r="J76" s="5" t="inlineStr">
        <is>
          <t>question</t>
        </is>
      </c>
      <c r="K76" s="5" t="inlineStr">
        <is>
          <t>M11</t>
        </is>
      </c>
      <c r="L76" s="5" t="inlineStr">
        <is>
          <t>check if M11.what has "name"</t>
        </is>
      </c>
      <c r="M76" s="5" t="inlineStr"/>
      <c r="N76" s="5" t="inlineStr"/>
      <c r="O76" s="5" t="inlineStr"/>
    </row>
    <row r="77">
      <c r="A77" s="5" t="n">
        <v>76</v>
      </c>
      <c r="B77" s="5" t="n">
        <v>6</v>
      </c>
      <c r="C77" s="5" t="inlineStr">
        <is>
          <t>9a</t>
        </is>
      </c>
      <c r="D77" s="5" t="inlineStr">
        <is>
          <t>Other</t>
        </is>
      </c>
      <c r="E77" s="5" t="inlineStr">
        <is>
          <t>DV-160[0].Page6[0].CheckBox4[6]</t>
        </is>
      </c>
      <c r="F77" s="5" t="inlineStr">
        <is>
          <t>checkbox</t>
        </is>
      </c>
      <c r="G77" s="5" t="inlineStr">
        <is>
          <t>1</t>
        </is>
      </c>
      <c r="H77" s="5" t="inlineStr"/>
      <c r="I77" s="5" t="inlineStr">
        <is>
          <t>101, 394, 110, 403</t>
        </is>
      </c>
      <c r="J77" s="5" t="inlineStr">
        <is>
          <t>question</t>
        </is>
      </c>
      <c r="K77" s="5" t="inlineStr">
        <is>
          <t>M11</t>
        </is>
      </c>
      <c r="L77" s="5" t="inlineStr">
        <is>
          <t>check if M11.who has "other"</t>
        </is>
      </c>
      <c r="M77" s="5" t="inlineStr"/>
      <c r="N77" s="5" t="inlineStr"/>
      <c r="O77" s="5" t="inlineStr"/>
    </row>
    <row r="78">
      <c r="A78" s="5" t="n">
        <v>77</v>
      </c>
      <c r="B78" s="5" t="n">
        <v>6</v>
      </c>
      <c r="C78" s="5" t="inlineStr">
        <is>
          <t>11</t>
        </is>
      </c>
      <c r="D78" s="5" t="inlineStr">
        <is>
          <t>Date:</t>
        </is>
      </c>
      <c r="E78" s="5" t="inlineStr">
        <is>
          <t>DV-160[0].Page6[0].SigDate[0]</t>
        </is>
      </c>
      <c r="F78" s="5" t="inlineStr">
        <is>
          <t>text</t>
        </is>
      </c>
      <c r="G78" s="5" t="inlineStr"/>
      <c r="H78" s="5" t="inlineStr"/>
      <c r="I78" s="5" t="inlineStr">
        <is>
          <t>91, 572, 241, 585</t>
        </is>
      </c>
      <c r="J78" s="5" t="inlineStr">
        <is>
          <t>question</t>
        </is>
      </c>
      <c r="K78" s="5" t="inlineStr">
        <is>
          <t>G1</t>
        </is>
      </c>
      <c r="L78" s="5">
        <f> fmtDate(G1)</f>
        <v/>
      </c>
      <c r="M78" s="5" t="inlineStr"/>
      <c r="N78" s="5" t="inlineStr"/>
      <c r="O78" s="5" t="inlineStr"/>
    </row>
    <row r="79">
      <c r="A79" s="5" t="n">
        <v>78</v>
      </c>
      <c r="B79" s="5" t="n">
        <v>6</v>
      </c>
      <c r="C79" s="5" t="inlineStr">
        <is>
          <t>11</t>
        </is>
      </c>
      <c r="D79" s="5" t="inlineStr">
        <is>
          <t>Type or print your name</t>
        </is>
      </c>
      <c r="E79" s="5" t="inlineStr">
        <is>
          <t>DV-160[0].Page6[0].T14[0]</t>
        </is>
      </c>
      <c r="F79" s="5" t="inlineStr">
        <is>
          <t>text</t>
        </is>
      </c>
      <c r="G79" s="5" t="inlineStr"/>
      <c r="H79" s="5" t="inlineStr"/>
      <c r="I79" s="5" t="inlineStr">
        <is>
          <t>63, 590, 311, 605</t>
        </is>
      </c>
      <c r="J79" s="5" t="inlineStr">
        <is>
          <t>question</t>
        </is>
      </c>
      <c r="K79" s="5" t="inlineStr">
        <is>
          <t>M1,P1</t>
        </is>
      </c>
      <c r="L79" s="5">
        <f> M1 == "the minor" ? M1.minorName : P1</f>
        <v/>
      </c>
      <c r="M79" s="5" t="inlineStr"/>
      <c r="N79" s="5" t="inlineStr"/>
      <c r="O79" s="5" t="inlineStr"/>
    </row>
    <row r="80">
      <c r="A80" s="5" t="n">
        <v>79</v>
      </c>
      <c r="B80" s="5" t="n">
        <v>6</v>
      </c>
      <c r="C80" s="5" t="inlineStr">
        <is>
          <t>9a(4)</t>
        </is>
      </c>
      <c r="D80" s="5" t="inlineStr">
        <is>
          <t>(name of person or entity):</t>
        </is>
      </c>
      <c r="E80" s="5" t="inlineStr">
        <is>
          <t>DV-160[0].Page6[0].TextField[0]</t>
        </is>
      </c>
      <c r="F80" s="5" t="inlineStr">
        <is>
          <t>text</t>
        </is>
      </c>
      <c r="G80" s="5" t="inlineStr"/>
      <c r="H80" s="5" t="inlineStr"/>
      <c r="I80" s="5" t="inlineStr">
        <is>
          <t>265, 391, 509, 406</t>
        </is>
      </c>
      <c r="J80" s="5" t="inlineStr">
        <is>
          <t>question</t>
        </is>
      </c>
      <c r="K80" s="5" t="inlineStr">
        <is>
          <t>M11</t>
        </is>
      </c>
      <c r="L80" s="5">
        <f> M11.otherName</f>
        <v/>
      </c>
      <c r="M80" s="5" t="inlineStr">
        <is>
          <t>M11.who has "other"</t>
        </is>
      </c>
      <c r="N80" s="5" t="inlineStr"/>
      <c r="O80" s="5" t="inlineStr"/>
    </row>
  </sheetData>
  <autoFilter ref="A1:O80"/>
  <dataValidations count="1">
    <dataValidation sqref="J2:J80" showDropDown="0" showInputMessage="0" showErrorMessage="0" allowBlank="1" type="list">
      <formula1>"question,derived,court/clerk,server,ignore (UI button)"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99"/>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6" t="n">
        <v>1</v>
      </c>
      <c r="B2" s="6" t="n">
        <v>1</v>
      </c>
      <c r="C2" s="6" t="inlineStr">
        <is>
          <t>Caption</t>
        </is>
      </c>
      <c r="D2" s="6" t="inlineStr">
        <is>
          <t>Superior Court of California, County of</t>
        </is>
      </c>
      <c r="E2" s="6" t="inlineStr">
        <is>
          <t>DV-165[0].Page1[0].Caption_sf[0].CourtInfo[0].CourtInfo_ft[0]</t>
        </is>
      </c>
      <c r="F2" s="6" t="inlineStr">
        <is>
          <t>text</t>
        </is>
      </c>
      <c r="G2" s="6" t="inlineStr"/>
      <c r="H2" s="6" t="inlineStr"/>
      <c r="I2" s="6" t="inlineStr">
        <is>
          <t>399, 209, 573, 275</t>
        </is>
      </c>
      <c r="J2" s="6" t="inlineStr">
        <is>
          <t>derived</t>
        </is>
      </c>
      <c r="K2" s="6" t="inlineStr">
        <is>
          <t>S1,S2</t>
        </is>
      </c>
      <c r="L2" s="6">
        <f> S1.countyName + "\n" + courthouse(S1,S2).streetAddress + ", " + courthouse(S1,S2).cityZip</f>
        <v/>
      </c>
      <c r="M2" s="6" t="inlineStr"/>
      <c r="N2" s="6" t="inlineStr"/>
      <c r="O2" s="6" t="inlineStr"/>
    </row>
    <row r="3">
      <c r="A3" s="5" t="n">
        <v>2</v>
      </c>
      <c r="B3" s="5" t="n">
        <v>1</v>
      </c>
      <c r="C3" s="5" t="inlineStr">
        <is>
          <t>Caption</t>
        </is>
      </c>
      <c r="D3" s="5" t="inlineStr">
        <is>
          <t>Case Number</t>
        </is>
      </c>
      <c r="E3" s="5" t="inlineStr">
        <is>
          <t>DV-165[0].Page1[0].Caption_sf[0].CaseNumber[0].CaseNumber_ft[0]</t>
        </is>
      </c>
      <c r="F3" s="5" t="inlineStr">
        <is>
          <t>text</t>
        </is>
      </c>
      <c r="G3" s="5" t="inlineStr"/>
      <c r="H3" s="5" t="inlineStr"/>
      <c r="I3" s="5" t="inlineStr">
        <is>
          <t>399, 306, 573, 323</t>
        </is>
      </c>
      <c r="J3" s="5" t="inlineStr">
        <is>
          <t>question</t>
        </is>
      </c>
      <c r="K3" s="5" t="inlineStr">
        <is>
          <t>S3,S4</t>
        </is>
      </c>
      <c r="L3" s="5">
        <f> S4</f>
        <v/>
      </c>
      <c r="M3" s="5" t="inlineStr">
        <is>
          <t>S3 == "update"; otherwise blank for clerk</t>
        </is>
      </c>
      <c r="N3" s="5" t="inlineStr"/>
      <c r="O3" s="5" t="inlineStr"/>
    </row>
    <row r="4">
      <c r="A4" s="6" t="n">
        <v>3</v>
      </c>
      <c r="B4" s="6" t="n">
        <v>1</v>
      </c>
      <c r="C4" s="6" t="inlineStr">
        <is>
          <t>Header</t>
        </is>
      </c>
      <c r="D4" s="6" t="inlineStr">
        <is>
          <t>CONFIDENTIAL</t>
        </is>
      </c>
      <c r="E4" s="6" t="inlineStr">
        <is>
          <t>DV-165[0].Page1[0].Check[0].Ch1[0]</t>
        </is>
      </c>
      <c r="F4" s="6" t="inlineStr">
        <is>
          <t>checkbox</t>
        </is>
      </c>
      <c r="G4" s="6" t="inlineStr">
        <is>
          <t>1</t>
        </is>
      </c>
      <c r="H4" s="6" t="inlineStr"/>
      <c r="I4" s="6" t="inlineStr">
        <is>
          <t>44, 83, 53, 92</t>
        </is>
      </c>
      <c r="J4" s="6" t="inlineStr">
        <is>
          <t>derived</t>
        </is>
      </c>
      <c r="K4" s="6" t="inlineStr">
        <is>
          <t>(fixed)</t>
        </is>
      </c>
      <c r="L4" s="6" t="inlineStr">
        <is>
          <t>check ("CONFIDENTIAL")</t>
        </is>
      </c>
      <c r="M4" s="6" t="inlineStr"/>
      <c r="N4" s="6" t="inlineStr">
        <is>
          <t>No public redacted version is generated (decision).</t>
        </is>
      </c>
      <c r="O4" s="6" t="inlineStr"/>
    </row>
    <row r="5">
      <c r="A5" s="6" t="n">
        <v>4</v>
      </c>
      <c r="B5" s="6" t="n">
        <v>1</v>
      </c>
      <c r="C5" s="6" t="inlineStr">
        <is>
          <t>Header</t>
        </is>
      </c>
      <c r="D5" s="6" t="inlineStr">
        <is>
          <t>PUBLIC VERSION (REDACTED)</t>
        </is>
      </c>
      <c r="E5" s="6" t="inlineStr">
        <is>
          <t>DV-165[0].Page1[0].Check[0].Ch1[1]</t>
        </is>
      </c>
      <c r="F5" s="6" t="inlineStr">
        <is>
          <t>checkbox</t>
        </is>
      </c>
      <c r="G5" s="6" t="inlineStr">
        <is>
          <t>2</t>
        </is>
      </c>
      <c r="H5" s="6" t="inlineStr"/>
      <c r="I5" s="6" t="inlineStr">
        <is>
          <t>195, 83, 204, 92</t>
        </is>
      </c>
      <c r="J5" s="6" t="inlineStr">
        <is>
          <t>derived</t>
        </is>
      </c>
      <c r="K5" s="6" t="inlineStr">
        <is>
          <t>(fixed)</t>
        </is>
      </c>
      <c r="L5" s="6" t="inlineStr">
        <is>
          <t>never</t>
        </is>
      </c>
      <c r="M5" s="6" t="inlineStr"/>
      <c r="N5" s="6" t="inlineStr">
        <is>
          <t>PUBLIC VERSION (REDACTED): not produced.</t>
        </is>
      </c>
      <c r="O5" s="6" t="inlineStr"/>
    </row>
    <row r="6">
      <c r="A6" s="5" t="n">
        <v>5</v>
      </c>
      <c r="B6" s="5" t="n">
        <v>1</v>
      </c>
      <c r="C6" s="5" t="inlineStr">
        <is>
          <t>1a</t>
        </is>
      </c>
      <c r="D6" s="5" t="inlineStr">
        <is>
          <t>Full Name</t>
        </is>
      </c>
      <c r="E6" s="5" t="inlineStr">
        <is>
          <t>DV-165[0].Page1[0].List1[0].Lia[0].TextField1[0]</t>
        </is>
      </c>
      <c r="F6" s="5" t="inlineStr">
        <is>
          <t>text</t>
        </is>
      </c>
      <c r="G6" s="5" t="inlineStr"/>
      <c r="H6" s="5" t="inlineStr"/>
      <c r="I6" s="5" t="inlineStr">
        <is>
          <t>133, 161, 374, 173</t>
        </is>
      </c>
      <c r="J6" s="5" t="inlineStr">
        <is>
          <t>question</t>
        </is>
      </c>
      <c r="K6" s="5" t="inlineStr">
        <is>
          <t>P1</t>
        </is>
      </c>
      <c r="L6" s="5">
        <f> P1</f>
        <v/>
      </c>
      <c r="M6" s="5" t="inlineStr"/>
      <c r="N6" s="5" t="inlineStr"/>
      <c r="O6" s="5" t="inlineStr"/>
    </row>
    <row r="7">
      <c r="A7" s="5" t="n">
        <v>6</v>
      </c>
      <c r="B7" s="5" t="n">
        <v>1</v>
      </c>
      <c r="C7" s="5" t="inlineStr">
        <is>
          <t>1b</t>
        </is>
      </c>
      <c r="D7" s="5" t="inlineStr">
        <is>
          <t>Full Name</t>
        </is>
      </c>
      <c r="E7" s="5" t="inlineStr">
        <is>
          <t>DV-165[0].Page1[0].List1[0].Lib[0].TextField2[0]</t>
        </is>
      </c>
      <c r="F7" s="5" t="inlineStr">
        <is>
          <t>text</t>
        </is>
      </c>
      <c r="G7" s="5" t="inlineStr"/>
      <c r="H7" s="5" t="inlineStr"/>
      <c r="I7" s="5" t="inlineStr">
        <is>
          <t>133, 199, 374, 211</t>
        </is>
      </c>
      <c r="J7" s="5" t="inlineStr">
        <is>
          <t>question</t>
        </is>
      </c>
      <c r="K7" s="5" t="inlineStr">
        <is>
          <t>R1</t>
        </is>
      </c>
      <c r="L7" s="5">
        <f> R1</f>
        <v/>
      </c>
      <c r="M7" s="5" t="inlineStr"/>
      <c r="N7" s="5" t="inlineStr"/>
      <c r="O7" s="5" t="inlineStr"/>
    </row>
    <row r="8">
      <c r="A8" s="5" t="n">
        <v>7</v>
      </c>
      <c r="B8" s="5" t="n">
        <v>1</v>
      </c>
      <c r="C8" s="5" t="inlineStr">
        <is>
          <t>2</t>
        </is>
      </c>
      <c r="D8" s="5" t="inlineStr">
        <is>
          <t>Full Name</t>
        </is>
      </c>
      <c r="E8" s="5" t="inlineStr">
        <is>
          <t>DV-165[0].Page1[0].List2[0].item2[0].TextField3[0]</t>
        </is>
      </c>
      <c r="F8" s="5" t="inlineStr">
        <is>
          <t>text</t>
        </is>
      </c>
      <c r="G8" s="5" t="inlineStr"/>
      <c r="H8" s="5" t="inlineStr"/>
      <c r="I8" s="5" t="inlineStr">
        <is>
          <t>117, 270, 371, 282</t>
        </is>
      </c>
      <c r="J8" s="5" t="inlineStr">
        <is>
          <t>question</t>
        </is>
      </c>
      <c r="K8" s="5" t="inlineStr">
        <is>
          <t>M1,P1</t>
        </is>
      </c>
      <c r="L8" s="5">
        <f> M1 == "the minor" ? M1.minorName : P1</f>
        <v/>
      </c>
      <c r="M8" s="5" t="inlineStr"/>
      <c r="N8" s="5" t="inlineStr"/>
      <c r="O8" s="5" t="inlineStr"/>
    </row>
    <row r="9">
      <c r="A9" s="8" t="n">
        <v>8</v>
      </c>
      <c r="B9" s="8" t="n">
        <v>1</v>
      </c>
      <c r="C9" s="8" t="inlineStr">
        <is>
          <t>3 (court)</t>
        </is>
      </c>
      <c r="D9" s="8" t="inlineStr">
        <is>
          <t>Court Denied Request or More Information Needed</t>
        </is>
      </c>
      <c r="E9" s="8" t="inlineStr">
        <is>
          <t>DV-165[0].Page1[0].List3[0].ProtectedDescription[0]</t>
        </is>
      </c>
      <c r="F9" s="8" t="inlineStr">
        <is>
          <t>checkbox</t>
        </is>
      </c>
      <c r="G9" s="8" t="inlineStr">
        <is>
          <t>1</t>
        </is>
      </c>
      <c r="H9" s="8" t="inlineStr"/>
      <c r="I9" s="8" t="inlineStr">
        <is>
          <t>63, 365, 72, 374</t>
        </is>
      </c>
      <c r="J9" s="8" t="inlineStr">
        <is>
          <t>court/clerk</t>
        </is>
      </c>
      <c r="K9" s="8" t="inlineStr"/>
      <c r="L9" s="8" t="inlineStr"/>
      <c r="M9" s="8" t="inlineStr"/>
      <c r="N9" s="8" t="inlineStr">
        <is>
          <t>Judge completes.</t>
        </is>
      </c>
      <c r="O9" s="8" t="inlineStr"/>
    </row>
    <row r="10">
      <c r="A10" s="8" t="n">
        <v>9</v>
      </c>
      <c r="B10" s="8" t="n">
        <v>1</v>
      </c>
      <c r="C10" s="8" t="inlineStr">
        <is>
          <t>3 (court)</t>
        </is>
      </c>
      <c r="D10" s="8" t="inlineStr">
        <is>
          <t>Denied. The request to keep information of a minor or minors confidential is denied</t>
        </is>
      </c>
      <c r="E10" s="8" t="inlineStr">
        <is>
          <t>DV-165[0].Page1[0].List3[0].Lia[0].CARPOWho_cb[0]</t>
        </is>
      </c>
      <c r="F10" s="8" t="inlineStr">
        <is>
          <t>checkbox</t>
        </is>
      </c>
      <c r="G10" s="8" t="inlineStr">
        <is>
          <t>1</t>
        </is>
      </c>
      <c r="H10" s="8" t="inlineStr"/>
      <c r="I10" s="8" t="inlineStr">
        <is>
          <t>78, 395, 87, 404</t>
        </is>
      </c>
      <c r="J10" s="8" t="inlineStr">
        <is>
          <t>court/clerk</t>
        </is>
      </c>
      <c r="K10" s="8" t="inlineStr"/>
      <c r="L10" s="8" t="inlineStr"/>
      <c r="M10" s="8" t="inlineStr"/>
      <c r="N10" s="8" t="inlineStr">
        <is>
          <t>Judge completes.</t>
        </is>
      </c>
      <c r="O10" s="8" t="inlineStr"/>
    </row>
    <row r="11">
      <c r="A11" s="8" t="n">
        <v>10</v>
      </c>
      <c r="B11" s="8" t="n">
        <v>1</v>
      </c>
      <c r="C11" s="8" t="inlineStr">
        <is>
          <t>3 (court)</t>
        </is>
      </c>
      <c r="D11" s="8" t="inlineStr">
        <is>
          <t>The court will NOT make a decision on the Request for Domestic Violence Restraining Order (form DV-100). The request for restraining order and proposed order forms must be returned to the requester pe</t>
        </is>
      </c>
      <c r="E11" s="8" t="inlineStr">
        <is>
          <t>DV-165[0].Page1[0].List3[0].Lia[0].subList[0].SubLi1[0].CARPOWho_cb1[0]</t>
        </is>
      </c>
      <c r="F11" s="8" t="inlineStr">
        <is>
          <t>checkbox</t>
        </is>
      </c>
      <c r="G11" s="8" t="inlineStr">
        <is>
          <t>3</t>
        </is>
      </c>
      <c r="H11" s="8" t="inlineStr"/>
      <c r="I11" s="8" t="inlineStr">
        <is>
          <t>98, 416, 107, 425</t>
        </is>
      </c>
      <c r="J11" s="8" t="inlineStr">
        <is>
          <t>court/clerk</t>
        </is>
      </c>
      <c r="K11" s="8" t="inlineStr"/>
      <c r="L11" s="8" t="inlineStr"/>
      <c r="M11" s="8" t="inlineStr"/>
      <c r="N11" s="8" t="inlineStr">
        <is>
          <t>Judge completes.</t>
        </is>
      </c>
      <c r="O11" s="8" t="inlineStr"/>
    </row>
    <row r="12">
      <c r="A12" s="8" t="n">
        <v>11</v>
      </c>
      <c r="B12" s="8" t="n">
        <v>1</v>
      </c>
      <c r="C12" s="8" t="inlineStr">
        <is>
          <t>3 (court)</t>
        </is>
      </c>
      <c r="D12" s="8" t="inlineStr">
        <is>
          <t>The court will make a decision on the Request for Domestic Violence Restraining Order (form DV-100). The request for restraining order and any accompanying orders will be filed in the public file</t>
        </is>
      </c>
      <c r="E12" s="8" t="inlineStr">
        <is>
          <t>DV-165[0].Page1[0].List3[0].Lia[0].subList[0].SubLi2[0].CARPOWho_cb1[0]</t>
        </is>
      </c>
      <c r="F12" s="8" t="inlineStr">
        <is>
          <t>checkbox</t>
        </is>
      </c>
      <c r="G12" s="8" t="inlineStr">
        <is>
          <t>2</t>
        </is>
      </c>
      <c r="H12" s="8" t="inlineStr"/>
      <c r="I12" s="8" t="inlineStr">
        <is>
          <t>98, 470, 107, 479</t>
        </is>
      </c>
      <c r="J12" s="8" t="inlineStr">
        <is>
          <t>court/clerk</t>
        </is>
      </c>
      <c r="K12" s="8" t="inlineStr"/>
      <c r="L12" s="8" t="inlineStr"/>
      <c r="M12" s="8" t="inlineStr"/>
      <c r="N12" s="8" t="inlineStr">
        <is>
          <t>Judge completes.</t>
        </is>
      </c>
      <c r="O12" s="8" t="inlineStr"/>
    </row>
    <row r="13">
      <c r="A13" s="8" t="n">
        <v>12</v>
      </c>
      <c r="B13" s="8" t="n">
        <v>1</v>
      </c>
      <c r="C13" s="8" t="inlineStr">
        <is>
          <t>3 (court)</t>
        </is>
      </c>
      <c r="D13" s="8" t="inlineStr">
        <is>
          <t>More information is needed for court decision. You must go to court on the date and time below. At the court date, you must give more information on why you need the court to make information confiden</t>
        </is>
      </c>
      <c r="E13" s="8" t="inlineStr">
        <is>
          <t>DV-165[0].Page1[0].List3[0].Lib[0].CARPOWho_cb[0]</t>
        </is>
      </c>
      <c r="F13" s="8" t="inlineStr">
        <is>
          <t>checkbox</t>
        </is>
      </c>
      <c r="G13" s="8" t="inlineStr">
        <is>
          <t>2</t>
        </is>
      </c>
      <c r="H13" s="8" t="inlineStr"/>
      <c r="I13" s="8" t="inlineStr">
        <is>
          <t>78, 516, 87, 525</t>
        </is>
      </c>
      <c r="J13" s="8" t="inlineStr">
        <is>
          <t>court/clerk</t>
        </is>
      </c>
      <c r="K13" s="8" t="inlineStr"/>
      <c r="L13" s="8" t="inlineStr"/>
      <c r="M13" s="8" t="inlineStr"/>
      <c r="N13" s="8" t="inlineStr">
        <is>
          <t>Judge completes.</t>
        </is>
      </c>
      <c r="O13" s="8" t="inlineStr"/>
    </row>
    <row r="14">
      <c r="A14" s="8" t="n">
        <v>13</v>
      </c>
      <c r="B14" s="8" t="n">
        <v>1</v>
      </c>
      <c r="C14" s="8" t="inlineStr">
        <is>
          <t>3 (court)</t>
        </is>
      </c>
      <c r="D14" s="8" t="inlineStr">
        <is>
          <t>Date</t>
        </is>
      </c>
      <c r="E14" s="8" t="inlineStr">
        <is>
          <t>DV-165[0].Page1[0].List3[0].Lib[0].List[0].HearingDate_dt[0]</t>
        </is>
      </c>
      <c r="F14" s="8" t="inlineStr">
        <is>
          <t>text</t>
        </is>
      </c>
      <c r="G14" s="8" t="inlineStr"/>
      <c r="H14" s="8" t="inlineStr"/>
      <c r="I14" s="8" t="inlineStr">
        <is>
          <t>160, 576, 237, 589</t>
        </is>
      </c>
      <c r="J14" s="8" t="inlineStr">
        <is>
          <t>court/clerk</t>
        </is>
      </c>
      <c r="K14" s="8" t="inlineStr"/>
      <c r="L14" s="8" t="inlineStr"/>
      <c r="M14" s="8" t="inlineStr"/>
      <c r="N14" s="8" t="inlineStr">
        <is>
          <t>Judge completes.</t>
        </is>
      </c>
      <c r="O14" s="8" t="inlineStr"/>
    </row>
    <row r="15">
      <c r="A15" s="8" t="n">
        <v>14</v>
      </c>
      <c r="B15" s="8" t="n">
        <v>1</v>
      </c>
      <c r="C15" s="8" t="inlineStr">
        <is>
          <t>3 (court)</t>
        </is>
      </c>
      <c r="D15" s="8" t="inlineStr">
        <is>
          <t>Time</t>
        </is>
      </c>
      <c r="E15" s="8" t="inlineStr">
        <is>
          <t>DV-165[0].Page1[0].List3[0].Lib[0].List[0].HearingTime_dt[0]</t>
        </is>
      </c>
      <c r="F15" s="8" t="inlineStr">
        <is>
          <t>text</t>
        </is>
      </c>
      <c r="G15" s="8" t="inlineStr"/>
      <c r="H15" s="8" t="inlineStr"/>
      <c r="I15" s="8" t="inlineStr">
        <is>
          <t>272, 576, 325, 589</t>
        </is>
      </c>
      <c r="J15" s="8" t="inlineStr">
        <is>
          <t>court/clerk</t>
        </is>
      </c>
      <c r="K15" s="8" t="inlineStr"/>
      <c r="L15" s="8" t="inlineStr"/>
      <c r="M15" s="8" t="inlineStr"/>
      <c r="N15" s="8" t="inlineStr">
        <is>
          <t>Judge completes.</t>
        </is>
      </c>
      <c r="O15" s="8" t="inlineStr"/>
    </row>
    <row r="16">
      <c r="A16" s="8" t="n">
        <v>15</v>
      </c>
      <c r="B16" s="8" t="n">
        <v>1</v>
      </c>
      <c r="C16" s="8" t="inlineStr">
        <is>
          <t>3 (court)</t>
        </is>
      </c>
      <c r="D16" s="8" t="inlineStr">
        <is>
          <t>Department</t>
        </is>
      </c>
      <c r="E16" s="8" t="inlineStr">
        <is>
          <t>DV-165[0].Page1[0].List3[0].Lib[0].List[0].HearingDept_ft[0]</t>
        </is>
      </c>
      <c r="F16" s="8" t="inlineStr">
        <is>
          <t>text</t>
        </is>
      </c>
      <c r="G16" s="8" t="inlineStr"/>
      <c r="H16" s="8" t="inlineStr"/>
      <c r="I16" s="8" t="inlineStr">
        <is>
          <t>163, 591, 238, 604</t>
        </is>
      </c>
      <c r="J16" s="8" t="inlineStr">
        <is>
          <t>court/clerk</t>
        </is>
      </c>
      <c r="K16" s="8" t="inlineStr"/>
      <c r="L16" s="8" t="inlineStr"/>
      <c r="M16" s="8" t="inlineStr"/>
      <c r="N16" s="8" t="inlineStr">
        <is>
          <t>Judge completes.</t>
        </is>
      </c>
      <c r="O16" s="8" t="inlineStr"/>
    </row>
    <row r="17">
      <c r="A17" s="8" t="n">
        <v>16</v>
      </c>
      <c r="B17" s="8" t="n">
        <v>1</v>
      </c>
      <c r="C17" s="8" t="inlineStr">
        <is>
          <t>3 (court)</t>
        </is>
      </c>
      <c r="D17" s="8" t="inlineStr">
        <is>
          <t>Room</t>
        </is>
      </c>
      <c r="E17" s="8" t="inlineStr">
        <is>
          <t>DV-165[0].Page1[0].List3[0].Lib[0].List[0].HearingRm_ft[0]</t>
        </is>
      </c>
      <c r="F17" s="8" t="inlineStr">
        <is>
          <t>text</t>
        </is>
      </c>
      <c r="G17" s="8" t="inlineStr"/>
      <c r="H17" s="8" t="inlineStr"/>
      <c r="I17" s="8" t="inlineStr">
        <is>
          <t>277, 591, 325, 604</t>
        </is>
      </c>
      <c r="J17" s="8" t="inlineStr">
        <is>
          <t>court/clerk</t>
        </is>
      </c>
      <c r="K17" s="8" t="inlineStr"/>
      <c r="L17" s="8" t="inlineStr"/>
      <c r="M17" s="8" t="inlineStr"/>
      <c r="N17" s="8" t="inlineStr">
        <is>
          <t>Judge completes.</t>
        </is>
      </c>
      <c r="O17" s="8" t="inlineStr"/>
    </row>
    <row r="18">
      <c r="A18" s="8" t="n">
        <v>17</v>
      </c>
      <c r="B18" s="8" t="n">
        <v>1</v>
      </c>
      <c r="C18" s="8" t="inlineStr">
        <is>
          <t>3 (court)</t>
        </is>
      </c>
      <c r="D18" s="8" t="inlineStr">
        <is>
          <t>Name and address of court if different from above</t>
        </is>
      </c>
      <c r="E18" s="8" t="inlineStr">
        <is>
          <t>DV-165[0].Page1[0].List3[0].Lib[0].List[0].HearingAdd_gp[0].HearingCourt_ft[0]</t>
        </is>
      </c>
      <c r="F18" s="8" t="inlineStr">
        <is>
          <t>text</t>
        </is>
      </c>
      <c r="G18" s="8" t="inlineStr"/>
      <c r="H18" s="8" t="inlineStr"/>
      <c r="I18" s="8" t="inlineStr">
        <is>
          <t>335, 562, 574, 604</t>
        </is>
      </c>
      <c r="J18" s="8" t="inlineStr">
        <is>
          <t>court/clerk</t>
        </is>
      </c>
      <c r="K18" s="8" t="inlineStr"/>
      <c r="L18" s="8" t="inlineStr"/>
      <c r="M18" s="8" t="inlineStr"/>
      <c r="N18" s="8" t="inlineStr">
        <is>
          <t>Judge completes.</t>
        </is>
      </c>
      <c r="O18" s="8" t="inlineStr"/>
    </row>
    <row r="19">
      <c r="A19" s="8" t="n">
        <v>18</v>
      </c>
      <c r="B19" s="8" t="n">
        <v>1</v>
      </c>
      <c r="C19" s="8" t="inlineStr">
        <is>
          <t>(court)</t>
        </is>
      </c>
      <c r="D19" s="8" t="inlineStr">
        <is>
          <t>date</t>
        </is>
      </c>
      <c r="E19" s="8" t="inlineStr">
        <is>
          <t>DV-165[0].Page1[0].sign[0].SignatureDate1[0]</t>
        </is>
      </c>
      <c r="F19" s="8" t="inlineStr">
        <is>
          <t>text</t>
        </is>
      </c>
      <c r="G19" s="8" t="inlineStr"/>
      <c r="H19" s="8" t="inlineStr"/>
      <c r="I19" s="8" t="inlineStr">
        <is>
          <t>62, 642, 208, 654</t>
        </is>
      </c>
      <c r="J19" s="8" t="inlineStr">
        <is>
          <t>court/clerk</t>
        </is>
      </c>
      <c r="K19" s="8" t="inlineStr"/>
      <c r="L19" s="8" t="inlineStr"/>
      <c r="M19" s="8" t="inlineStr"/>
      <c r="N19" s="8" t="inlineStr">
        <is>
          <t>Judge completes.</t>
        </is>
      </c>
      <c r="O19" s="8" t="inlineStr"/>
    </row>
    <row r="20">
      <c r="A20" s="5" t="n">
        <v>19</v>
      </c>
      <c r="B20" s="5" t="n">
        <v>2</v>
      </c>
      <c r="C20" s="5" t="inlineStr">
        <is>
          <t>Caption</t>
        </is>
      </c>
      <c r="D20" s="5" t="inlineStr">
        <is>
          <t>Case Number</t>
        </is>
      </c>
      <c r="E20" s="5" t="inlineStr">
        <is>
          <t>DV-165[0].Page2[0].PxCaption[0].CaseNumber_ft[0]</t>
        </is>
      </c>
      <c r="F20" s="5" t="inlineStr">
        <is>
          <t>text</t>
        </is>
      </c>
      <c r="G20" s="5" t="inlineStr"/>
      <c r="H20" s="5" t="inlineStr"/>
      <c r="I20" s="5" t="inlineStr">
        <is>
          <t>399, 49, 572, 61</t>
        </is>
      </c>
      <c r="J20" s="5" t="inlineStr">
        <is>
          <t>question</t>
        </is>
      </c>
      <c r="K20" s="5" t="inlineStr">
        <is>
          <t>S3,S4</t>
        </is>
      </c>
      <c r="L20" s="5">
        <f> S4</f>
        <v/>
      </c>
      <c r="M20" s="5" t="inlineStr">
        <is>
          <t>S3 == "update"; otherwise blank for clerk</t>
        </is>
      </c>
      <c r="N20" s="5" t="inlineStr"/>
      <c r="O20" s="5" t="inlineStr"/>
    </row>
    <row r="21">
      <c r="A21" s="8" t="n">
        <v>20</v>
      </c>
      <c r="B21" s="8" t="n">
        <v>2</v>
      </c>
      <c r="C21" s="8" t="inlineStr">
        <is>
          <t>4 (court)</t>
        </is>
      </c>
      <c r="D21" s="8" t="inlineStr">
        <is>
          <t>Court Granted Request</t>
        </is>
      </c>
      <c r="E21" s="8" t="inlineStr">
        <is>
          <t>DV-165[0].Page2[0].List4[0].Granted[0]</t>
        </is>
      </c>
      <c r="F21" s="8" t="inlineStr">
        <is>
          <t>checkbox</t>
        </is>
      </c>
      <c r="G21" s="8" t="inlineStr">
        <is>
          <t>1</t>
        </is>
      </c>
      <c r="H21" s="8" t="inlineStr"/>
      <c r="I21" s="8" t="inlineStr">
        <is>
          <t>63, 98, 72, 107</t>
        </is>
      </c>
      <c r="J21" s="8" t="inlineStr">
        <is>
          <t>court/clerk</t>
        </is>
      </c>
      <c r="K21" s="8" t="inlineStr"/>
      <c r="L21" s="8" t="inlineStr"/>
      <c r="M21" s="8" t="inlineStr"/>
      <c r="N21" s="8" t="inlineStr">
        <is>
          <t>Judge completes.</t>
        </is>
      </c>
      <c r="O21" s="8" t="inlineStr"/>
    </row>
    <row r="22">
      <c r="A22" s="8" t="n">
        <v>21</v>
      </c>
      <c r="B22" s="8" t="n">
        <v>2</v>
      </c>
      <c r="C22" s="8" t="inlineStr">
        <is>
          <t>4 (court)</t>
        </is>
      </c>
      <c r="D22" s="8" t="inlineStr">
        <is>
          <t>Granted in full. The request to keep the information of a minor or minors confidential is granted in full.  Details of the order are stated below in items 5 dash 12</t>
        </is>
      </c>
      <c r="E22" s="8" t="inlineStr">
        <is>
          <t>DV-165[0].Page2[0].List4[0].Lia[0].CARPOWho_cb2[0]</t>
        </is>
      </c>
      <c r="F22" s="8" t="inlineStr">
        <is>
          <t>checkbox</t>
        </is>
      </c>
      <c r="G22" s="8" t="inlineStr">
        <is>
          <t>1</t>
        </is>
      </c>
      <c r="H22" s="8" t="inlineStr"/>
      <c r="I22" s="8" t="inlineStr">
        <is>
          <t>78, 114, 87, 123</t>
        </is>
      </c>
      <c r="J22" s="8" t="inlineStr">
        <is>
          <t>court/clerk</t>
        </is>
      </c>
      <c r="K22" s="8" t="inlineStr"/>
      <c r="L22" s="8" t="inlineStr"/>
      <c r="M22" s="8" t="inlineStr"/>
      <c r="N22" s="8" t="inlineStr">
        <is>
          <t>Judge completes.</t>
        </is>
      </c>
      <c r="O22" s="8" t="inlineStr"/>
    </row>
    <row r="23">
      <c r="A23" s="8" t="n">
        <v>22</v>
      </c>
      <c r="B23" s="8" t="n">
        <v>2</v>
      </c>
      <c r="C23" s="8" t="inlineStr">
        <is>
          <t>4 (court)</t>
        </is>
      </c>
      <c r="D23" s="8" t="inlineStr">
        <is>
          <t>Partially granted. The request to keep the information of a minor or minors confidential is granted only in part. Details of the order are stated below in items 5 dash 12</t>
        </is>
      </c>
      <c r="E23" s="8" t="inlineStr">
        <is>
          <t>DV-165[0].Page2[0].List4[0].Lib[0].CARPOWho_cb2[0]</t>
        </is>
      </c>
      <c r="F23" s="8" t="inlineStr">
        <is>
          <t>checkbox</t>
        </is>
      </c>
      <c r="G23" s="8" t="inlineStr">
        <is>
          <t>2</t>
        </is>
      </c>
      <c r="H23" s="8" t="inlineStr"/>
      <c r="I23" s="8" t="inlineStr">
        <is>
          <t>78, 146, 87, 155</t>
        </is>
      </c>
      <c r="J23" s="8" t="inlineStr">
        <is>
          <t>court/clerk</t>
        </is>
      </c>
      <c r="K23" s="8" t="inlineStr"/>
      <c r="L23" s="8" t="inlineStr"/>
      <c r="M23" s="8" t="inlineStr"/>
      <c r="N23" s="8" t="inlineStr">
        <is>
          <t>Judge completes.</t>
        </is>
      </c>
      <c r="O23" s="8" t="inlineStr"/>
    </row>
    <row r="24">
      <c r="A24" s="8" t="n">
        <v>23</v>
      </c>
      <c r="B24" s="8" t="n">
        <v>2</v>
      </c>
      <c r="C24" s="8" t="inlineStr">
        <is>
          <t>5 (court)</t>
        </is>
      </c>
      <c r="D24" s="8" t="inlineStr">
        <is>
          <t>The court finds all of the following (all of these findings are required if granting in full or in part)</t>
        </is>
      </c>
      <c r="E24" s="8" t="inlineStr">
        <is>
          <t>DV-165[0].Page2[0].List5[0].CARPOWho_cb[0]</t>
        </is>
      </c>
      <c r="F24" s="8" t="inlineStr">
        <is>
          <t>checkbox</t>
        </is>
      </c>
      <c r="G24" s="8" t="inlineStr">
        <is>
          <t>2</t>
        </is>
      </c>
      <c r="H24" s="8" t="inlineStr"/>
      <c r="I24" s="8" t="inlineStr">
        <is>
          <t>63, 198, 72, 207</t>
        </is>
      </c>
      <c r="J24" s="8" t="inlineStr">
        <is>
          <t>court/clerk</t>
        </is>
      </c>
      <c r="K24" s="8" t="inlineStr"/>
      <c r="L24" s="8" t="inlineStr"/>
      <c r="M24" s="8" t="inlineStr"/>
      <c r="N24" s="8" t="inlineStr">
        <is>
          <t>Judge completes.</t>
        </is>
      </c>
      <c r="O24" s="8" t="inlineStr"/>
    </row>
    <row r="25">
      <c r="A25" s="8" t="n">
        <v>24</v>
      </c>
      <c r="B25" s="8" t="n">
        <v>2</v>
      </c>
      <c r="C25" s="8" t="inlineStr">
        <is>
          <t>6 (court)</t>
        </is>
      </c>
      <c r="D25" s="8" t="inlineStr">
        <is>
          <t>Name</t>
        </is>
      </c>
      <c r="E25" s="8" t="inlineStr">
        <is>
          <t>DV-165[0].Page2[0].List6[0].Lic[0].Name3[0]</t>
        </is>
      </c>
      <c r="F25" s="8" t="inlineStr">
        <is>
          <t>text</t>
        </is>
      </c>
      <c r="G25" s="8" t="inlineStr"/>
      <c r="H25" s="8" t="inlineStr"/>
      <c r="I25" s="8" t="inlineStr">
        <is>
          <t>112, 379, 387, 391</t>
        </is>
      </c>
      <c r="J25" s="8" t="inlineStr">
        <is>
          <t>court/clerk</t>
        </is>
      </c>
      <c r="K25" s="8" t="inlineStr"/>
      <c r="L25" s="8" t="inlineStr"/>
      <c r="M25" s="8" t="inlineStr"/>
      <c r="N25" s="8" t="inlineStr">
        <is>
          <t>Judge completes.</t>
        </is>
      </c>
      <c r="O25" s="8" t="inlineStr"/>
    </row>
    <row r="26">
      <c r="A26" s="8" t="n">
        <v>25</v>
      </c>
      <c r="B26" s="8" t="n">
        <v>2</v>
      </c>
      <c r="C26" s="8" t="inlineStr">
        <is>
          <t>6 (court)</t>
        </is>
      </c>
      <c r="D26" s="8" t="inlineStr">
        <is>
          <t>Minors Subject to This Order</t>
        </is>
      </c>
      <c r="E26" s="8" t="inlineStr">
        <is>
          <t>DV-165[0].Page2[0].List6[0].ProtectedDescription[0]</t>
        </is>
      </c>
      <c r="F26" s="8" t="inlineStr">
        <is>
          <t>checkbox</t>
        </is>
      </c>
      <c r="G26" s="8" t="inlineStr">
        <is>
          <t>1</t>
        </is>
      </c>
      <c r="H26" s="8" t="inlineStr"/>
      <c r="I26" s="8" t="inlineStr">
        <is>
          <t>63, 304, 72, 313</t>
        </is>
      </c>
      <c r="J26" s="8" t="inlineStr">
        <is>
          <t>court/clerk</t>
        </is>
      </c>
      <c r="K26" s="8" t="inlineStr"/>
      <c r="L26" s="8" t="inlineStr"/>
      <c r="M26" s="8" t="inlineStr"/>
      <c r="N26" s="8" t="inlineStr">
        <is>
          <t>Judge completes.</t>
        </is>
      </c>
      <c r="O26" s="8" t="inlineStr"/>
    </row>
    <row r="27">
      <c r="A27" s="8" t="n">
        <v>26</v>
      </c>
      <c r="B27" s="8" t="n">
        <v>2</v>
      </c>
      <c r="C27" s="8" t="inlineStr">
        <is>
          <t>6 (court)</t>
        </is>
      </c>
      <c r="D27" s="8" t="inlineStr">
        <is>
          <t>Name</t>
        </is>
      </c>
      <c r="E27" s="8" t="inlineStr">
        <is>
          <t>DV-165[0].Page2[0].List6[0].Lia[0].Name1[0]</t>
        </is>
      </c>
      <c r="F27" s="8" t="inlineStr">
        <is>
          <t>text</t>
        </is>
      </c>
      <c r="G27" s="8" t="inlineStr"/>
      <c r="H27" s="8" t="inlineStr"/>
      <c r="I27" s="8" t="inlineStr">
        <is>
          <t>111, 339, 387, 351</t>
        </is>
      </c>
      <c r="J27" s="8" t="inlineStr">
        <is>
          <t>court/clerk</t>
        </is>
      </c>
      <c r="K27" s="8" t="inlineStr"/>
      <c r="L27" s="8" t="inlineStr"/>
      <c r="M27" s="8" t="inlineStr"/>
      <c r="N27" s="8" t="inlineStr">
        <is>
          <t>Judge completes.</t>
        </is>
      </c>
      <c r="O27" s="8" t="inlineStr"/>
    </row>
    <row r="28">
      <c r="A28" s="8" t="n">
        <v>27</v>
      </c>
      <c r="B28" s="8" t="n">
        <v>2</v>
      </c>
      <c r="C28" s="8" t="inlineStr">
        <is>
          <t>6 (court)</t>
        </is>
      </c>
      <c r="D28" s="8" t="inlineStr">
        <is>
          <t>Name</t>
        </is>
      </c>
      <c r="E28" s="8" t="inlineStr">
        <is>
          <t>DV-165[0].Page2[0].List6[0].Lib[0].Name2[0]</t>
        </is>
      </c>
      <c r="F28" s="8" t="inlineStr">
        <is>
          <t>text</t>
        </is>
      </c>
      <c r="G28" s="8" t="inlineStr"/>
      <c r="H28" s="8" t="inlineStr"/>
      <c r="I28" s="8" t="inlineStr">
        <is>
          <t>112, 359, 387, 371</t>
        </is>
      </c>
      <c r="J28" s="8" t="inlineStr">
        <is>
          <t>court/clerk</t>
        </is>
      </c>
      <c r="K28" s="8" t="inlineStr"/>
      <c r="L28" s="8" t="inlineStr"/>
      <c r="M28" s="8" t="inlineStr"/>
      <c r="N28" s="8" t="inlineStr">
        <is>
          <t>Judge completes.</t>
        </is>
      </c>
      <c r="O28" s="8" t="inlineStr"/>
    </row>
    <row r="29">
      <c r="A29" s="8" t="n">
        <v>28</v>
      </c>
      <c r="B29" s="8" t="n">
        <v>2</v>
      </c>
      <c r="C29" s="8" t="inlineStr">
        <is>
          <t>6 (court)</t>
        </is>
      </c>
      <c r="D29" s="8" t="inlineStr">
        <is>
          <t>Name</t>
        </is>
      </c>
      <c r="E29" s="8" t="inlineStr">
        <is>
          <t>DV-165[0].Page2[0].List6[0].Lid[0].Name4[0]</t>
        </is>
      </c>
      <c r="F29" s="8" t="inlineStr">
        <is>
          <t>text</t>
        </is>
      </c>
      <c r="G29" s="8" t="inlineStr"/>
      <c r="H29" s="8" t="inlineStr"/>
      <c r="I29" s="8" t="inlineStr">
        <is>
          <t>111, 399, 387, 412</t>
        </is>
      </c>
      <c r="J29" s="8" t="inlineStr">
        <is>
          <t>court/clerk</t>
        </is>
      </c>
      <c r="K29" s="8" t="inlineStr"/>
      <c r="L29" s="8" t="inlineStr"/>
      <c r="M29" s="8" t="inlineStr"/>
      <c r="N29" s="8" t="inlineStr">
        <is>
          <t>Judge completes.</t>
        </is>
      </c>
      <c r="O29" s="8" t="inlineStr"/>
    </row>
    <row r="30">
      <c r="A30" s="8" t="n">
        <v>29</v>
      </c>
      <c r="B30" s="8" t="n">
        <v>2</v>
      </c>
      <c r="C30" s="8" t="inlineStr">
        <is>
          <t>6 (court)</t>
        </is>
      </c>
      <c r="D30" s="8" t="inlineStr">
        <is>
          <t>Check here if there are additional minors. Attach a sheet of paper and write "Attachment 6 Additional Minors" for a title</t>
        </is>
      </c>
      <c r="E30" s="8" t="inlineStr">
        <is>
          <t>DV-165[0].Page2[0].List6[0].additionalminor[0]</t>
        </is>
      </c>
      <c r="F30" s="8" t="inlineStr">
        <is>
          <t>checkbox</t>
        </is>
      </c>
      <c r="G30" s="8" t="inlineStr">
        <is>
          <t>1</t>
        </is>
      </c>
      <c r="H30" s="8" t="inlineStr"/>
      <c r="I30" s="8" t="inlineStr">
        <is>
          <t>63, 416, 72, 425</t>
        </is>
      </c>
      <c r="J30" s="8" t="inlineStr">
        <is>
          <t>court/clerk</t>
        </is>
      </c>
      <c r="K30" s="8" t="inlineStr"/>
      <c r="L30" s="8" t="inlineStr"/>
      <c r="M30" s="8" t="inlineStr"/>
      <c r="N30" s="8" t="inlineStr">
        <is>
          <t>Judge completes.</t>
        </is>
      </c>
      <c r="O30" s="8" t="inlineStr"/>
    </row>
    <row r="31">
      <c r="A31" s="8" t="n">
        <v>30</v>
      </c>
      <c r="B31" s="8" t="n">
        <v>2</v>
      </c>
      <c r="C31" s="8" t="inlineStr">
        <is>
          <t>7 (court)</t>
        </is>
      </c>
      <c r="D31" s="8" t="inlineStr">
        <is>
          <t>Name of minor</t>
        </is>
      </c>
      <c r="E31" s="8" t="inlineStr">
        <is>
          <t>DV-165[0].Page2[0].List7[0].Lia[0].NameofMinor[0]</t>
        </is>
      </c>
      <c r="F31" s="8" t="inlineStr">
        <is>
          <t>checkbox</t>
        </is>
      </c>
      <c r="G31" s="8" t="inlineStr">
        <is>
          <t>1</t>
        </is>
      </c>
      <c r="H31" s="8" t="inlineStr"/>
      <c r="I31" s="8" t="inlineStr">
        <is>
          <t>78, 560, 87, 569</t>
        </is>
      </c>
      <c r="J31" s="8" t="inlineStr">
        <is>
          <t>court/clerk</t>
        </is>
      </c>
      <c r="K31" s="8" t="inlineStr"/>
      <c r="L31" s="8" t="inlineStr"/>
      <c r="M31" s="8" t="inlineStr"/>
      <c r="N31" s="8" t="inlineStr">
        <is>
          <t>Judge completes.</t>
        </is>
      </c>
      <c r="O31" s="8" t="inlineStr"/>
    </row>
    <row r="32">
      <c r="A32" s="8" t="n">
        <v>31</v>
      </c>
      <c r="B32" s="8" t="n">
        <v>2</v>
      </c>
      <c r="C32" s="8" t="inlineStr">
        <is>
          <t>7 (court)</t>
        </is>
      </c>
      <c r="D32" s="8" t="inlineStr">
        <is>
          <t>True name of minor in item (6)a.</t>
        </is>
      </c>
      <c r="E32" s="8" t="inlineStr">
        <is>
          <t>DV-165[0].Page2[0].List7[0].Lia[0].Table[0].DocFilingDate_ft1[0]</t>
        </is>
      </c>
      <c r="F32" s="8" t="inlineStr">
        <is>
          <t>text</t>
        </is>
      </c>
      <c r="G32" s="8" t="inlineStr"/>
      <c r="H32" s="8" t="inlineStr"/>
      <c r="I32" s="8" t="inlineStr">
        <is>
          <t>78, 617, 343, 629</t>
        </is>
      </c>
      <c r="J32" s="8" t="inlineStr">
        <is>
          <t>court/clerk</t>
        </is>
      </c>
      <c r="K32" s="8" t="inlineStr"/>
      <c r="L32" s="8" t="inlineStr"/>
      <c r="M32" s="8" t="inlineStr"/>
      <c r="N32" s="8" t="inlineStr">
        <is>
          <t>Judge completes.</t>
        </is>
      </c>
      <c r="O32" s="8" t="inlineStr"/>
    </row>
    <row r="33">
      <c r="A33" s="8" t="n">
        <v>32</v>
      </c>
      <c r="B33" s="8" t="n">
        <v>2</v>
      </c>
      <c r="C33" s="8" t="inlineStr">
        <is>
          <t>7 (court)</t>
        </is>
      </c>
      <c r="D33" s="8" t="inlineStr">
        <is>
          <t>Initial of minor in item (6)a.</t>
        </is>
      </c>
      <c r="E33" s="8" t="inlineStr">
        <is>
          <t>DV-165[0].Page2[0].List7[0].Lia[0].Table[0].DocTitle_ft1[0]</t>
        </is>
      </c>
      <c r="F33" s="8" t="inlineStr">
        <is>
          <t>text</t>
        </is>
      </c>
      <c r="G33" s="8" t="inlineStr"/>
      <c r="H33" s="8" t="inlineStr"/>
      <c r="I33" s="8" t="inlineStr">
        <is>
          <t>349, 617, 546, 629</t>
        </is>
      </c>
      <c r="J33" s="8" t="inlineStr">
        <is>
          <t>court/clerk</t>
        </is>
      </c>
      <c r="K33" s="8" t="inlineStr"/>
      <c r="L33" s="8" t="inlineStr"/>
      <c r="M33" s="8" t="inlineStr"/>
      <c r="N33" s="8" t="inlineStr">
        <is>
          <t>Judge completes.</t>
        </is>
      </c>
      <c r="O33" s="8" t="inlineStr"/>
    </row>
    <row r="34">
      <c r="A34" s="8" t="n">
        <v>33</v>
      </c>
      <c r="B34" s="8" t="n">
        <v>2</v>
      </c>
      <c r="C34" s="8" t="inlineStr">
        <is>
          <t>7 (court)</t>
        </is>
      </c>
      <c r="D34" s="8" t="inlineStr">
        <is>
          <t>True name of minor in item (6)b.</t>
        </is>
      </c>
      <c r="E34" s="8" t="inlineStr">
        <is>
          <t>DV-165[0].Page2[0].List7[0].Lia[0].Table[0].DocFilingDate_ft2[0]</t>
        </is>
      </c>
      <c r="F34" s="8" t="inlineStr">
        <is>
          <t>text</t>
        </is>
      </c>
      <c r="G34" s="8" t="inlineStr"/>
      <c r="H34" s="8" t="inlineStr"/>
      <c r="I34" s="8" t="inlineStr">
        <is>
          <t>78, 635, 343, 647</t>
        </is>
      </c>
      <c r="J34" s="8" t="inlineStr">
        <is>
          <t>court/clerk</t>
        </is>
      </c>
      <c r="K34" s="8" t="inlineStr"/>
      <c r="L34" s="8" t="inlineStr"/>
      <c r="M34" s="8" t="inlineStr"/>
      <c r="N34" s="8" t="inlineStr">
        <is>
          <t>Judge completes.</t>
        </is>
      </c>
      <c r="O34" s="8" t="inlineStr"/>
    </row>
    <row r="35">
      <c r="A35" s="8" t="n">
        <v>34</v>
      </c>
      <c r="B35" s="8" t="n">
        <v>2</v>
      </c>
      <c r="C35" s="8" t="inlineStr">
        <is>
          <t>7 (court)</t>
        </is>
      </c>
      <c r="D35" s="8" t="inlineStr">
        <is>
          <t>Initial of minor in item (6)b.</t>
        </is>
      </c>
      <c r="E35" s="8" t="inlineStr">
        <is>
          <t>DV-165[0].Page2[0].List7[0].Lia[0].Table[0].DocTitle_ft2[0]</t>
        </is>
      </c>
      <c r="F35" s="8" t="inlineStr">
        <is>
          <t>text</t>
        </is>
      </c>
      <c r="G35" s="8" t="inlineStr"/>
      <c r="H35" s="8" t="inlineStr"/>
      <c r="I35" s="8" t="inlineStr">
        <is>
          <t>349, 635, 546, 647</t>
        </is>
      </c>
      <c r="J35" s="8" t="inlineStr">
        <is>
          <t>court/clerk</t>
        </is>
      </c>
      <c r="K35" s="8" t="inlineStr"/>
      <c r="L35" s="8" t="inlineStr"/>
      <c r="M35" s="8" t="inlineStr"/>
      <c r="N35" s="8" t="inlineStr">
        <is>
          <t>Judge completes.</t>
        </is>
      </c>
      <c r="O35" s="8" t="inlineStr"/>
    </row>
    <row r="36">
      <c r="A36" s="8" t="n">
        <v>35</v>
      </c>
      <c r="B36" s="8" t="n">
        <v>2</v>
      </c>
      <c r="C36" s="8" t="inlineStr">
        <is>
          <t>7 (court)</t>
        </is>
      </c>
      <c r="D36" s="8" t="inlineStr">
        <is>
          <t>True name of minor in item (6)c.</t>
        </is>
      </c>
      <c r="E36" s="8" t="inlineStr">
        <is>
          <t>DV-165[0].Page2[0].List7[0].Lia[0].Table[0].DocFilingDate_ft3[0]</t>
        </is>
      </c>
      <c r="F36" s="8" t="inlineStr">
        <is>
          <t>text</t>
        </is>
      </c>
      <c r="G36" s="8" t="inlineStr"/>
      <c r="H36" s="8" t="inlineStr"/>
      <c r="I36" s="8" t="inlineStr">
        <is>
          <t>78, 653, 343, 665</t>
        </is>
      </c>
      <c r="J36" s="8" t="inlineStr">
        <is>
          <t>court/clerk</t>
        </is>
      </c>
      <c r="K36" s="8" t="inlineStr"/>
      <c r="L36" s="8" t="inlineStr"/>
      <c r="M36" s="8" t="inlineStr"/>
      <c r="N36" s="8" t="inlineStr">
        <is>
          <t>Judge completes.</t>
        </is>
      </c>
      <c r="O36" s="8" t="inlineStr"/>
    </row>
    <row r="37">
      <c r="A37" s="8" t="n">
        <v>36</v>
      </c>
      <c r="B37" s="8" t="n">
        <v>2</v>
      </c>
      <c r="C37" s="8" t="inlineStr">
        <is>
          <t>7 (court)</t>
        </is>
      </c>
      <c r="D37" s="8" t="inlineStr">
        <is>
          <t>Initial of minor in item (6)c.</t>
        </is>
      </c>
      <c r="E37" s="8" t="inlineStr">
        <is>
          <t>DV-165[0].Page2[0].List7[0].Lia[0].Table[0].DocTitle_ft3[0]</t>
        </is>
      </c>
      <c r="F37" s="8" t="inlineStr">
        <is>
          <t>text</t>
        </is>
      </c>
      <c r="G37" s="8" t="inlineStr"/>
      <c r="H37" s="8" t="inlineStr"/>
      <c r="I37" s="8" t="inlineStr">
        <is>
          <t>349, 653, 546, 665</t>
        </is>
      </c>
      <c r="J37" s="8" t="inlineStr">
        <is>
          <t>court/clerk</t>
        </is>
      </c>
      <c r="K37" s="8" t="inlineStr"/>
      <c r="L37" s="8" t="inlineStr"/>
      <c r="M37" s="8" t="inlineStr"/>
      <c r="N37" s="8" t="inlineStr">
        <is>
          <t>Judge completes.</t>
        </is>
      </c>
      <c r="O37" s="8" t="inlineStr"/>
    </row>
    <row r="38">
      <c r="A38" s="8" t="n">
        <v>37</v>
      </c>
      <c r="B38" s="8" t="n">
        <v>2</v>
      </c>
      <c r="C38" s="8" t="inlineStr">
        <is>
          <t>7 (court)</t>
        </is>
      </c>
      <c r="D38" s="8" t="inlineStr">
        <is>
          <t>True name of minor in item (6)d.</t>
        </is>
      </c>
      <c r="E38" s="8" t="inlineStr">
        <is>
          <t>DV-165[0].Page2[0].List7[0].Lia[0].Table[0].DocFilingDate_ft[0]</t>
        </is>
      </c>
      <c r="F38" s="8" t="inlineStr">
        <is>
          <t>text</t>
        </is>
      </c>
      <c r="G38" s="8" t="inlineStr"/>
      <c r="H38" s="8" t="inlineStr"/>
      <c r="I38" s="8" t="inlineStr">
        <is>
          <t>78, 671, 343, 683</t>
        </is>
      </c>
      <c r="J38" s="8" t="inlineStr">
        <is>
          <t>court/clerk</t>
        </is>
      </c>
      <c r="K38" s="8" t="inlineStr"/>
      <c r="L38" s="8" t="inlineStr"/>
      <c r="M38" s="8" t="inlineStr"/>
      <c r="N38" s="8" t="inlineStr">
        <is>
          <t>Judge completes.</t>
        </is>
      </c>
      <c r="O38" s="8" t="inlineStr"/>
    </row>
    <row r="39">
      <c r="A39" s="8" t="n">
        <v>38</v>
      </c>
      <c r="B39" s="8" t="n">
        <v>2</v>
      </c>
      <c r="C39" s="8" t="inlineStr">
        <is>
          <t>7 (court)</t>
        </is>
      </c>
      <c r="D39" s="8" t="inlineStr">
        <is>
          <t>Initial of minor in item (6)d.</t>
        </is>
      </c>
      <c r="E39" s="8" t="inlineStr">
        <is>
          <t>DV-165[0].Page2[0].List7[0].Lia[0].Table[0].DocTitle_ft[0]</t>
        </is>
      </c>
      <c r="F39" s="8" t="inlineStr">
        <is>
          <t>text</t>
        </is>
      </c>
      <c r="G39" s="8" t="inlineStr"/>
      <c r="H39" s="8" t="inlineStr"/>
      <c r="I39" s="8" t="inlineStr">
        <is>
          <t>349, 671, 546, 683</t>
        </is>
      </c>
      <c r="J39" s="8" t="inlineStr">
        <is>
          <t>court/clerk</t>
        </is>
      </c>
      <c r="K39" s="8" t="inlineStr"/>
      <c r="L39" s="8" t="inlineStr"/>
      <c r="M39" s="8" t="inlineStr"/>
      <c r="N39" s="8" t="inlineStr">
        <is>
          <t>Judge completes.</t>
        </is>
      </c>
      <c r="O39" s="8" t="inlineStr"/>
    </row>
    <row r="40">
      <c r="A40" s="5" t="n">
        <v>39</v>
      </c>
      <c r="B40" s="5" t="n">
        <v>3</v>
      </c>
      <c r="C40" s="5" t="inlineStr">
        <is>
          <t>Caption</t>
        </is>
      </c>
      <c r="D40" s="5" t="inlineStr">
        <is>
          <t>Case Number</t>
        </is>
      </c>
      <c r="E40" s="5" t="inlineStr">
        <is>
          <t>DV-165[0].Page3[0].PxCaption[0].CaseNumber_ft[0]</t>
        </is>
      </c>
      <c r="F40" s="5" t="inlineStr">
        <is>
          <t>text</t>
        </is>
      </c>
      <c r="G40" s="5" t="inlineStr"/>
      <c r="H40" s="5" t="inlineStr"/>
      <c r="I40" s="5" t="inlineStr">
        <is>
          <t>399, 49, 572, 61</t>
        </is>
      </c>
      <c r="J40" s="5" t="inlineStr">
        <is>
          <t>question</t>
        </is>
      </c>
      <c r="K40" s="5" t="inlineStr">
        <is>
          <t>S3,S4</t>
        </is>
      </c>
      <c r="L40" s="5">
        <f> S4</f>
        <v/>
      </c>
      <c r="M40" s="5" t="inlineStr">
        <is>
          <t>S3 == "update"; otherwise blank for clerk</t>
        </is>
      </c>
      <c r="N40" s="5" t="inlineStr"/>
      <c r="O40" s="5" t="inlineStr"/>
    </row>
    <row r="41">
      <c r="A41" s="8" t="n">
        <v>40</v>
      </c>
      <c r="B41" s="8" t="n">
        <v>3</v>
      </c>
      <c r="C41" s="8" t="inlineStr">
        <is>
          <t>7 (court)</t>
        </is>
      </c>
      <c r="D41" s="8" t="inlineStr">
        <is>
          <t>Address of minor</t>
        </is>
      </c>
      <c r="E41" s="8" t="inlineStr">
        <is>
          <t>DV-165[0].Page3[0].List7[0].Lib[0].AddressofMinor[0]</t>
        </is>
      </c>
      <c r="F41" s="8" t="inlineStr">
        <is>
          <t>checkbox</t>
        </is>
      </c>
      <c r="G41" s="8" t="inlineStr">
        <is>
          <t>1</t>
        </is>
      </c>
      <c r="H41" s="8" t="inlineStr"/>
      <c r="I41" s="8" t="inlineStr">
        <is>
          <t>78, 96, 87, 105</t>
        </is>
      </c>
      <c r="J41" s="8" t="inlineStr">
        <is>
          <t>court/clerk</t>
        </is>
      </c>
      <c r="K41" s="8" t="inlineStr"/>
      <c r="L41" s="8" t="inlineStr"/>
      <c r="M41" s="8" t="inlineStr"/>
      <c r="N41" s="8" t="inlineStr">
        <is>
          <t>Judge completes.</t>
        </is>
      </c>
      <c r="O41" s="8" t="inlineStr"/>
    </row>
    <row r="42">
      <c r="A42" s="8" t="n">
        <v>41</v>
      </c>
      <c r="B42" s="8" t="n">
        <v>3</v>
      </c>
      <c r="C42" s="8" t="inlineStr">
        <is>
          <t>7 (court)</t>
        </is>
      </c>
      <c r="D42" s="8" t="inlineStr">
        <is>
          <t>The following addresses of the minors listed in item 6 must be redacted and must not be viewable by the public</t>
        </is>
      </c>
      <c r="E42" s="8" t="inlineStr">
        <is>
          <t>DV-165[0].Page3[0].List7[0].Lib[0].TextField1[0]</t>
        </is>
      </c>
      <c r="F42" s="8" t="inlineStr">
        <is>
          <t>text</t>
        </is>
      </c>
      <c r="G42" s="8" t="inlineStr"/>
      <c r="H42" s="8" t="inlineStr"/>
      <c r="I42" s="8" t="inlineStr">
        <is>
          <t>78, 128, 570, 157</t>
        </is>
      </c>
      <c r="J42" s="8" t="inlineStr">
        <is>
          <t>court/clerk</t>
        </is>
      </c>
      <c r="K42" s="8" t="inlineStr"/>
      <c r="L42" s="8" t="inlineStr"/>
      <c r="M42" s="8" t="inlineStr"/>
      <c r="N42" s="8" t="inlineStr">
        <is>
          <t>Judge completes.</t>
        </is>
      </c>
      <c r="O42" s="8" t="inlineStr"/>
    </row>
    <row r="43">
      <c r="A43" s="8" t="n">
        <v>42</v>
      </c>
      <c r="B43" s="8" t="n">
        <v>3</v>
      </c>
      <c r="C43" s="8" t="inlineStr">
        <is>
          <t>7 (court)</t>
        </is>
      </c>
      <c r="D43" s="8" t="inlineStr">
        <is>
          <t>Information relating to minor check one</t>
        </is>
      </c>
      <c r="E43" s="8" t="inlineStr">
        <is>
          <t>DV-165[0].Page3[0].List7[0].Lic[0].Information[0]</t>
        </is>
      </c>
      <c r="F43" s="8" t="inlineStr">
        <is>
          <t>checkbox</t>
        </is>
      </c>
      <c r="G43" s="8" t="inlineStr">
        <is>
          <t>1</t>
        </is>
      </c>
      <c r="H43" s="8" t="inlineStr"/>
      <c r="I43" s="8" t="inlineStr">
        <is>
          <t>78, 175, 87, 184</t>
        </is>
      </c>
      <c r="J43" s="8" t="inlineStr">
        <is>
          <t>court/clerk</t>
        </is>
      </c>
      <c r="K43" s="8" t="inlineStr"/>
      <c r="L43" s="8" t="inlineStr"/>
      <c r="M43" s="8" t="inlineStr"/>
      <c r="N43" s="8" t="inlineStr">
        <is>
          <t>Judge completes.</t>
        </is>
      </c>
      <c r="O43" s="8" t="inlineStr"/>
    </row>
    <row r="44">
      <c r="A44" s="8" t="n">
        <v>43</v>
      </c>
      <c r="B44" s="8" t="n">
        <v>3</v>
      </c>
      <c r="C44" s="8" t="inlineStr">
        <is>
          <t>7 (court)</t>
        </is>
      </c>
      <c r="D44" s="8" t="inlineStr">
        <is>
          <t>The information CIRCLED in the attached copy of form DV-100 or other document or form is made confidential by this order</t>
        </is>
      </c>
      <c r="E44" s="8" t="inlineStr">
        <is>
          <t>DV-165[0].Page3[0].List7[0].Lic[0].SubListc[0].Sub1[0].OtherProtectedText_OF_cb1[0]</t>
        </is>
      </c>
      <c r="F44" s="8" t="inlineStr">
        <is>
          <t>checkbox</t>
        </is>
      </c>
      <c r="G44" s="8" t="inlineStr">
        <is>
          <t>1</t>
        </is>
      </c>
      <c r="H44" s="8" t="inlineStr"/>
      <c r="I44" s="8" t="inlineStr">
        <is>
          <t>98, 194, 107, 203</t>
        </is>
      </c>
      <c r="J44" s="8" t="inlineStr">
        <is>
          <t>court/clerk</t>
        </is>
      </c>
      <c r="K44" s="8" t="inlineStr"/>
      <c r="L44" s="8" t="inlineStr"/>
      <c r="M44" s="8" t="inlineStr"/>
      <c r="N44" s="8" t="inlineStr">
        <is>
          <t>Judge completes.</t>
        </is>
      </c>
      <c r="O44" s="8" t="inlineStr"/>
    </row>
    <row r="45">
      <c r="A45" s="8" t="n">
        <v>44</v>
      </c>
      <c r="B45" s="8" t="n">
        <v>3</v>
      </c>
      <c r="C45" s="8" t="inlineStr">
        <is>
          <t>7 (court)</t>
        </is>
      </c>
      <c r="D45" s="8" t="inlineStr">
        <is>
          <t>The information below is made confidential by this order</t>
        </is>
      </c>
      <c r="E45" s="8" t="inlineStr">
        <is>
          <t>DV-165[0].Page3[0].List7[0].Lic[0].SubListc[0].Sub2[0].OtherProtectedText_OF_cb1[0]</t>
        </is>
      </c>
      <c r="F45" s="8" t="inlineStr">
        <is>
          <t>checkbox</t>
        </is>
      </c>
      <c r="G45" s="8" t="inlineStr">
        <is>
          <t>2</t>
        </is>
      </c>
      <c r="H45" s="8" t="inlineStr"/>
      <c r="I45" s="8" t="inlineStr">
        <is>
          <t>98, 229, 107, 238</t>
        </is>
      </c>
      <c r="J45" s="8" t="inlineStr">
        <is>
          <t>court/clerk</t>
        </is>
      </c>
      <c r="K45" s="8" t="inlineStr"/>
      <c r="L45" s="8" t="inlineStr"/>
      <c r="M45" s="8" t="inlineStr"/>
      <c r="N45" s="8" t="inlineStr">
        <is>
          <t>Judge completes.</t>
        </is>
      </c>
      <c r="O45" s="8" t="inlineStr"/>
    </row>
    <row r="46">
      <c r="A46" s="8" t="n">
        <v>45</v>
      </c>
      <c r="B46" s="8" t="n">
        <v>3</v>
      </c>
      <c r="C46" s="8" t="inlineStr">
        <is>
          <t>7 (court)</t>
        </is>
      </c>
      <c r="D46" s="8" t="inlineStr">
        <is>
          <t>Enter Location of Information a for example form number, page number, paragraph number, line number, attachment number or exhibit number</t>
        </is>
      </c>
      <c r="E46" s="8" t="inlineStr">
        <is>
          <t>DV-165[0].Page3[0].List7[0].Lic[0].SubListc[0].Sub2[0].Subitem2[0].itema[0].DocFilingDate_ft7[0]</t>
        </is>
      </c>
      <c r="F46" s="8" t="inlineStr">
        <is>
          <t>text</t>
        </is>
      </c>
      <c r="G46" s="8" t="inlineStr"/>
      <c r="H46" s="8" t="inlineStr"/>
      <c r="I46" s="8" t="inlineStr">
        <is>
          <t>117, 319, 254, 376</t>
        </is>
      </c>
      <c r="J46" s="8" t="inlineStr">
        <is>
          <t>court/clerk</t>
        </is>
      </c>
      <c r="K46" s="8" t="inlineStr"/>
      <c r="L46" s="8" t="inlineStr"/>
      <c r="M46" s="8" t="inlineStr"/>
      <c r="N46" s="8" t="inlineStr">
        <is>
          <t>Judge completes.</t>
        </is>
      </c>
      <c r="O46" s="8" t="inlineStr"/>
    </row>
    <row r="47">
      <c r="A47" s="8" t="n">
        <v>46</v>
      </c>
      <c r="B47" s="8" t="n">
        <v>3</v>
      </c>
      <c r="C47" s="8" t="inlineStr">
        <is>
          <t>7 (court)</t>
        </is>
      </c>
      <c r="D47" s="8" t="inlineStr">
        <is>
          <t>Enter Information to be redacted a</t>
        </is>
      </c>
      <c r="E47" s="8" t="inlineStr">
        <is>
          <t>DV-165[0].Page3[0].List7[0].Lic[0].SubListc[0].Sub2[0].Subitem2[0].itema[0].DocTitle_ft7[0]</t>
        </is>
      </c>
      <c r="F47" s="8" t="inlineStr">
        <is>
          <t>text</t>
        </is>
      </c>
      <c r="G47" s="8" t="inlineStr"/>
      <c r="H47" s="8" t="inlineStr"/>
      <c r="I47" s="8" t="inlineStr">
        <is>
          <t>259, 319, 576, 376</t>
        </is>
      </c>
      <c r="J47" s="8" t="inlineStr">
        <is>
          <t>court/clerk</t>
        </is>
      </c>
      <c r="K47" s="8" t="inlineStr"/>
      <c r="L47" s="8" t="inlineStr"/>
      <c r="M47" s="8" t="inlineStr"/>
      <c r="N47" s="8" t="inlineStr">
        <is>
          <t>Judge completes.</t>
        </is>
      </c>
      <c r="O47" s="8" t="inlineStr"/>
    </row>
    <row r="48">
      <c r="A48" s="8" t="n">
        <v>47</v>
      </c>
      <c r="B48" s="8" t="n">
        <v>3</v>
      </c>
      <c r="C48" s="8" t="inlineStr">
        <is>
          <t>7 (court)</t>
        </is>
      </c>
      <c r="D48" s="8" t="inlineStr">
        <is>
          <t>Enter Location of Information b for example form number, page number, paragraph number, line number, attachment number or exhibit number</t>
        </is>
      </c>
      <c r="E48" s="8" t="inlineStr">
        <is>
          <t>DV-165[0].Page3[0].List7[0].Lic[0].SubListc[0].Sub2[0].Subitem2[0].itemb[0].DocFilingDate_ft8[0]</t>
        </is>
      </c>
      <c r="F48" s="8" t="inlineStr">
        <is>
          <t>text</t>
        </is>
      </c>
      <c r="G48" s="8" t="inlineStr"/>
      <c r="H48" s="8" t="inlineStr"/>
      <c r="I48" s="8" t="inlineStr">
        <is>
          <t>117, 383, 254, 440</t>
        </is>
      </c>
      <c r="J48" s="8" t="inlineStr">
        <is>
          <t>court/clerk</t>
        </is>
      </c>
      <c r="K48" s="8" t="inlineStr"/>
      <c r="L48" s="8" t="inlineStr"/>
      <c r="M48" s="8" t="inlineStr"/>
      <c r="N48" s="8" t="inlineStr">
        <is>
          <t>Judge completes.</t>
        </is>
      </c>
      <c r="O48" s="8" t="inlineStr"/>
    </row>
    <row r="49">
      <c r="A49" s="8" t="n">
        <v>48</v>
      </c>
      <c r="B49" s="8" t="n">
        <v>3</v>
      </c>
      <c r="C49" s="8" t="inlineStr">
        <is>
          <t>7 (court)</t>
        </is>
      </c>
      <c r="D49" s="8" t="inlineStr">
        <is>
          <t>Enter Information to be redacted b</t>
        </is>
      </c>
      <c r="E49" s="8" t="inlineStr">
        <is>
          <t>DV-165[0].Page3[0].List7[0].Lic[0].SubListc[0].Sub2[0].Subitem2[0].itemb[0].DocTitle_ft8[0]</t>
        </is>
      </c>
      <c r="F49" s="8" t="inlineStr">
        <is>
          <t>text</t>
        </is>
      </c>
      <c r="G49" s="8" t="inlineStr"/>
      <c r="H49" s="8" t="inlineStr"/>
      <c r="I49" s="8" t="inlineStr">
        <is>
          <t>259, 383, 576, 440</t>
        </is>
      </c>
      <c r="J49" s="8" t="inlineStr">
        <is>
          <t>court/clerk</t>
        </is>
      </c>
      <c r="K49" s="8" t="inlineStr"/>
      <c r="L49" s="8" t="inlineStr"/>
      <c r="M49" s="8" t="inlineStr"/>
      <c r="N49" s="8" t="inlineStr">
        <is>
          <t>Judge completes.</t>
        </is>
      </c>
      <c r="O49" s="8" t="inlineStr"/>
    </row>
    <row r="50">
      <c r="A50" s="8" t="n">
        <v>49</v>
      </c>
      <c r="B50" s="8" t="n">
        <v>3</v>
      </c>
      <c r="C50" s="8" t="inlineStr">
        <is>
          <t>7 (court)</t>
        </is>
      </c>
      <c r="D50" s="8" t="inlineStr">
        <is>
          <t>Enter Location of Information c for example form number, page number, paragraph number, line number, attachment number or exhibit number</t>
        </is>
      </c>
      <c r="E50" s="8" t="inlineStr">
        <is>
          <t>DV-165[0].Page3[0].List7[0].Lic[0].SubListc[0].Sub2[0].Subitem2[0].itemc[0].DocFilingDate_ft10[0]</t>
        </is>
      </c>
      <c r="F50" s="8" t="inlineStr">
        <is>
          <t>text</t>
        </is>
      </c>
      <c r="G50" s="8" t="inlineStr"/>
      <c r="H50" s="8" t="inlineStr"/>
      <c r="I50" s="8" t="inlineStr">
        <is>
          <t>117, 447, 254, 504</t>
        </is>
      </c>
      <c r="J50" s="8" t="inlineStr">
        <is>
          <t>court/clerk</t>
        </is>
      </c>
      <c r="K50" s="8" t="inlineStr"/>
      <c r="L50" s="8" t="inlineStr"/>
      <c r="M50" s="8" t="inlineStr"/>
      <c r="N50" s="8" t="inlineStr">
        <is>
          <t>Judge completes.</t>
        </is>
      </c>
      <c r="O50" s="8" t="inlineStr"/>
    </row>
    <row r="51">
      <c r="A51" s="8" t="n">
        <v>50</v>
      </c>
      <c r="B51" s="8" t="n">
        <v>3</v>
      </c>
      <c r="C51" s="8" t="inlineStr">
        <is>
          <t>7 (court)</t>
        </is>
      </c>
      <c r="D51" s="8" t="inlineStr">
        <is>
          <t>Enter Information to be redacted c</t>
        </is>
      </c>
      <c r="E51" s="8" t="inlineStr">
        <is>
          <t>DV-165[0].Page3[0].List7[0].Lic[0].SubListc[0].Sub2[0].Subitem2[0].itemc[0].DocTitle_ft10[0]</t>
        </is>
      </c>
      <c r="F51" s="8" t="inlineStr">
        <is>
          <t>text</t>
        </is>
      </c>
      <c r="G51" s="8" t="inlineStr"/>
      <c r="H51" s="8" t="inlineStr"/>
      <c r="I51" s="8" t="inlineStr">
        <is>
          <t>259, 447, 576, 504</t>
        </is>
      </c>
      <c r="J51" s="8" t="inlineStr">
        <is>
          <t>court/clerk</t>
        </is>
      </c>
      <c r="K51" s="8" t="inlineStr"/>
      <c r="L51" s="8" t="inlineStr"/>
      <c r="M51" s="8" t="inlineStr"/>
      <c r="N51" s="8" t="inlineStr">
        <is>
          <t>Judge completes.</t>
        </is>
      </c>
      <c r="O51" s="8" t="inlineStr"/>
    </row>
    <row r="52">
      <c r="A52" s="8" t="n">
        <v>51</v>
      </c>
      <c r="B52" s="8" t="n">
        <v>3</v>
      </c>
      <c r="C52" s="8" t="inlineStr">
        <is>
          <t>7 (court)</t>
        </is>
      </c>
      <c r="D52" s="8" t="inlineStr">
        <is>
          <t>Enter Information to be redacted d</t>
        </is>
      </c>
      <c r="E52" s="8" t="inlineStr">
        <is>
          <t>DV-165[0].Page3[0].List7[0].Lic[0].SubListc[0].Sub2[0].Subitem2[0].itemd[0].DocTitle_ft11[0]</t>
        </is>
      </c>
      <c r="F52" s="8" t="inlineStr">
        <is>
          <t>text</t>
        </is>
      </c>
      <c r="G52" s="8" t="inlineStr"/>
      <c r="H52" s="8" t="inlineStr"/>
      <c r="I52" s="8" t="inlineStr">
        <is>
          <t>259, 510, 576, 567</t>
        </is>
      </c>
      <c r="J52" s="8" t="inlineStr">
        <is>
          <t>court/clerk</t>
        </is>
      </c>
      <c r="K52" s="8" t="inlineStr"/>
      <c r="L52" s="8" t="inlineStr"/>
      <c r="M52" s="8" t="inlineStr"/>
      <c r="N52" s="8" t="inlineStr">
        <is>
          <t>Judge completes.</t>
        </is>
      </c>
      <c r="O52" s="8" t="inlineStr"/>
    </row>
    <row r="53">
      <c r="A53" s="8" t="n">
        <v>52</v>
      </c>
      <c r="B53" s="8" t="n">
        <v>3</v>
      </c>
      <c r="C53" s="8" t="inlineStr">
        <is>
          <t>7 (court)</t>
        </is>
      </c>
      <c r="D53" s="8" t="inlineStr">
        <is>
          <t>Enter Location of Information d for example form number, page number, paragraph number, line number, attachment number or exhibit number</t>
        </is>
      </c>
      <c r="E53" s="8" t="inlineStr">
        <is>
          <t>DV-165[0].Page3[0].List7[0].Lic[0].SubListc[0].Sub2[0].Subitem2[0].itemd[0].DocFilingDate_ft11[0]</t>
        </is>
      </c>
      <c r="F53" s="8" t="inlineStr">
        <is>
          <t>text</t>
        </is>
      </c>
      <c r="G53" s="8" t="inlineStr"/>
      <c r="H53" s="8" t="inlineStr"/>
      <c r="I53" s="8" t="inlineStr">
        <is>
          <t>117, 510, 254, 567</t>
        </is>
      </c>
      <c r="J53" s="8" t="inlineStr">
        <is>
          <t>court/clerk</t>
        </is>
      </c>
      <c r="K53" s="8" t="inlineStr"/>
      <c r="L53" s="8" t="inlineStr"/>
      <c r="M53" s="8" t="inlineStr"/>
      <c r="N53" s="8" t="inlineStr">
        <is>
          <t>Judge completes.</t>
        </is>
      </c>
      <c r="O53" s="8" t="inlineStr"/>
    </row>
    <row r="54">
      <c r="A54" s="8" t="n">
        <v>53</v>
      </c>
      <c r="B54" s="8" t="n">
        <v>3</v>
      </c>
      <c r="C54" s="8" t="inlineStr">
        <is>
          <t>7 (court)</t>
        </is>
      </c>
      <c r="D54" s="8" t="inlineStr">
        <is>
          <t>Check here if there is not enough space for your answer. Put your complete answer on an attached sheet of paper and write Attachment 7c2 for a title</t>
        </is>
      </c>
      <c r="E54" s="8" t="inlineStr">
        <is>
          <t>DV-165[0].Page3[0].List7[0].Lic[0].SubListc[0].Sub2[0].Subitem2[0].itemd[0].checkhere[0]</t>
        </is>
      </c>
      <c r="F54" s="8" t="inlineStr">
        <is>
          <t>checkbox</t>
        </is>
      </c>
      <c r="G54" s="8" t="inlineStr">
        <is>
          <t>1</t>
        </is>
      </c>
      <c r="H54" s="8" t="inlineStr"/>
      <c r="I54" s="8" t="inlineStr">
        <is>
          <t>117, 575, 126, 584</t>
        </is>
      </c>
      <c r="J54" s="8" t="inlineStr">
        <is>
          <t>court/clerk</t>
        </is>
      </c>
      <c r="K54" s="8" t="inlineStr"/>
      <c r="L54" s="8" t="inlineStr"/>
      <c r="M54" s="8" t="inlineStr"/>
      <c r="N54" s="8" t="inlineStr">
        <is>
          <t>Judge completes.</t>
        </is>
      </c>
      <c r="O54" s="8" t="inlineStr"/>
    </row>
    <row r="55">
      <c r="A55" s="8" t="n">
        <v>54</v>
      </c>
      <c r="B55" s="8" t="n">
        <v>3</v>
      </c>
      <c r="C55" s="8" t="inlineStr">
        <is>
          <t>7 (court)</t>
        </is>
      </c>
      <c r="D55" s="8" t="inlineStr">
        <is>
          <t>Other</t>
        </is>
      </c>
      <c r="E55" s="8" t="inlineStr">
        <is>
          <t>DV-165[0].Page3[0].List7[0].Lid[0].Other[0]</t>
        </is>
      </c>
      <c r="F55" s="8" t="inlineStr">
        <is>
          <t>checkbox</t>
        </is>
      </c>
      <c r="G55" s="8" t="inlineStr">
        <is>
          <t>1</t>
        </is>
      </c>
      <c r="H55" s="8" t="inlineStr"/>
      <c r="I55" s="8" t="inlineStr">
        <is>
          <t>79, 613, 88, 622</t>
        </is>
      </c>
      <c r="J55" s="8" t="inlineStr">
        <is>
          <t>court/clerk</t>
        </is>
      </c>
      <c r="K55" s="8" t="inlineStr"/>
      <c r="L55" s="8" t="inlineStr"/>
      <c r="M55" s="8" t="inlineStr"/>
      <c r="N55" s="8" t="inlineStr">
        <is>
          <t>Judge completes.</t>
        </is>
      </c>
      <c r="O55" s="8" t="inlineStr"/>
    </row>
    <row r="56">
      <c r="A56" s="8" t="n">
        <v>55</v>
      </c>
      <c r="B56" s="8" t="n">
        <v>3</v>
      </c>
      <c r="C56" s="8" t="inlineStr">
        <is>
          <t>7 (court)</t>
        </is>
      </c>
      <c r="D56" s="8" t="inlineStr">
        <is>
          <t>Other information to be kept confidential from the public</t>
        </is>
      </c>
      <c r="E56" s="8" t="inlineStr">
        <is>
          <t>DV-165[0].Page3[0].List7[0].Lid[0].DocTitle_ft13[0]</t>
        </is>
      </c>
      <c r="F56" s="8" t="inlineStr">
        <is>
          <t>text</t>
        </is>
      </c>
      <c r="G56" s="8" t="inlineStr"/>
      <c r="H56" s="8" t="inlineStr"/>
      <c r="I56" s="8" t="inlineStr">
        <is>
          <t>79, 629, 572, 676</t>
        </is>
      </c>
      <c r="J56" s="8" t="inlineStr">
        <is>
          <t>court/clerk</t>
        </is>
      </c>
      <c r="K56" s="8" t="inlineStr"/>
      <c r="L56" s="8" t="inlineStr"/>
      <c r="M56" s="8" t="inlineStr"/>
      <c r="N56" s="8" t="inlineStr">
        <is>
          <t>Judge completes.</t>
        </is>
      </c>
      <c r="O56" s="8" t="inlineStr"/>
    </row>
    <row r="57">
      <c r="A57" s="5" t="n">
        <v>56</v>
      </c>
      <c r="B57" s="5" t="n">
        <v>4</v>
      </c>
      <c r="C57" s="5" t="inlineStr">
        <is>
          <t>Caption</t>
        </is>
      </c>
      <c r="D57" s="5" t="inlineStr">
        <is>
          <t>Case Number</t>
        </is>
      </c>
      <c r="E57" s="5" t="inlineStr">
        <is>
          <t>DV-165[0].Page4[0].PxCaption[0].CaseNumber_ft[0]</t>
        </is>
      </c>
      <c r="F57" s="5" t="inlineStr">
        <is>
          <t>text</t>
        </is>
      </c>
      <c r="G57" s="5" t="inlineStr"/>
      <c r="H57" s="5" t="inlineStr"/>
      <c r="I57" s="5" t="inlineStr">
        <is>
          <t>399, 49, 572, 61</t>
        </is>
      </c>
      <c r="J57" s="5" t="inlineStr">
        <is>
          <t>question</t>
        </is>
      </c>
      <c r="K57" s="5" t="inlineStr">
        <is>
          <t>S3,S4</t>
        </is>
      </c>
      <c r="L57" s="5">
        <f> S4</f>
        <v/>
      </c>
      <c r="M57" s="5" t="inlineStr">
        <is>
          <t>S3 == "update"; otherwise blank for clerk</t>
        </is>
      </c>
      <c r="N57" s="5" t="inlineStr"/>
      <c r="O57" s="5" t="inlineStr"/>
    </row>
    <row r="58">
      <c r="A58" s="8" t="n">
        <v>57</v>
      </c>
      <c r="B58" s="8" t="n">
        <v>4</v>
      </c>
      <c r="C58" s="8" t="inlineStr">
        <is>
          <t>8 (court)</t>
        </is>
      </c>
      <c r="D58" s="8" t="inlineStr">
        <is>
          <t>All the information, unredacted</t>
        </is>
      </c>
      <c r="E58" s="8" t="inlineStr">
        <is>
          <t>DV-165[0].Page4[0].List8[0].Lia[0].CheckBox50[0]</t>
        </is>
      </c>
      <c r="F58" s="8" t="inlineStr">
        <is>
          <t>checkbox</t>
        </is>
      </c>
      <c r="G58" s="8" t="inlineStr">
        <is>
          <t>1</t>
        </is>
      </c>
      <c r="H58" s="8" t="inlineStr"/>
      <c r="I58" s="8" t="inlineStr">
        <is>
          <t>79, 173, 88, 182</t>
        </is>
      </c>
      <c r="J58" s="8" t="inlineStr">
        <is>
          <t>court/clerk</t>
        </is>
      </c>
      <c r="K58" s="8" t="inlineStr"/>
      <c r="L58" s="8" t="inlineStr"/>
      <c r="M58" s="8" t="inlineStr"/>
      <c r="N58" s="8" t="inlineStr">
        <is>
          <t>Judge completes.</t>
        </is>
      </c>
      <c r="O58" s="8" t="inlineStr"/>
    </row>
    <row r="59">
      <c r="A59" s="8" t="n">
        <v>58</v>
      </c>
      <c r="B59" s="8" t="n">
        <v>4</v>
      </c>
      <c r="C59" s="8" t="inlineStr">
        <is>
          <t>8 (court)</t>
        </is>
      </c>
      <c r="D59" s="8" t="inlineStr">
        <is>
          <t>All the information except for the following</t>
        </is>
      </c>
      <c r="E59" s="8" t="inlineStr">
        <is>
          <t>DV-165[0].Page4[0].List8[0].Lib[0].CheckBox50[0]</t>
        </is>
      </c>
      <c r="F59" s="8" t="inlineStr">
        <is>
          <t>checkbox</t>
        </is>
      </c>
      <c r="G59" s="8" t="inlineStr">
        <is>
          <t>2</t>
        </is>
      </c>
      <c r="H59" s="8" t="inlineStr"/>
      <c r="I59" s="8" t="inlineStr">
        <is>
          <t>79, 197, 88, 206</t>
        </is>
      </c>
      <c r="J59" s="8" t="inlineStr">
        <is>
          <t>court/clerk</t>
        </is>
      </c>
      <c r="K59" s="8" t="inlineStr"/>
      <c r="L59" s="8" t="inlineStr"/>
      <c r="M59" s="8" t="inlineStr"/>
      <c r="N59" s="8" t="inlineStr">
        <is>
          <t>Judge completes.</t>
        </is>
      </c>
      <c r="O59" s="8" t="inlineStr"/>
    </row>
    <row r="60">
      <c r="A60" s="8" t="n">
        <v>59</v>
      </c>
      <c r="B60" s="8" t="n">
        <v>4</v>
      </c>
      <c r="C60" s="8" t="inlineStr">
        <is>
          <t>8 (court)</t>
        </is>
      </c>
      <c r="D60" s="8" t="inlineStr">
        <is>
          <t>The information that need not be kept confidential from the restrained person</t>
        </is>
      </c>
      <c r="E60" s="8" t="inlineStr">
        <is>
          <t>DV-165[0].Page4[0].List8[0].Lib[0].Info[0]</t>
        </is>
      </c>
      <c r="F60" s="8" t="inlineStr">
        <is>
          <t>text</t>
        </is>
      </c>
      <c r="G60" s="8" t="inlineStr"/>
      <c r="H60" s="8" t="inlineStr"/>
      <c r="I60" s="8" t="inlineStr">
        <is>
          <t>79, 211, 575, 283</t>
        </is>
      </c>
      <c r="J60" s="8" t="inlineStr">
        <is>
          <t>court/clerk</t>
        </is>
      </c>
      <c r="K60" s="8" t="inlineStr"/>
      <c r="L60" s="8" t="inlineStr"/>
      <c r="M60" s="8" t="inlineStr"/>
      <c r="N60" s="8" t="inlineStr">
        <is>
          <t>Judge completes.</t>
        </is>
      </c>
      <c r="O60" s="8" t="inlineStr"/>
    </row>
    <row r="61">
      <c r="A61" s="8" t="n">
        <v>60</v>
      </c>
      <c r="B61" s="8" t="n">
        <v>4</v>
      </c>
      <c r="C61" s="8" t="inlineStr">
        <is>
          <t>8 (court)</t>
        </is>
      </c>
      <c r="D61" s="8" t="inlineStr">
        <is>
          <t>Check here if there is not enough space for your answer. Put your complete answer on an attached sheet of paper, and write “Attachment 8b” for a title</t>
        </is>
      </c>
      <c r="E61" s="8" t="inlineStr">
        <is>
          <t>DV-165[0].Page4[0].List8[0].Lib[0].Checkhere1[0]</t>
        </is>
      </c>
      <c r="F61" s="8" t="inlineStr">
        <is>
          <t>checkbox</t>
        </is>
      </c>
      <c r="G61" s="8" t="inlineStr">
        <is>
          <t>1</t>
        </is>
      </c>
      <c r="H61" s="8" t="inlineStr"/>
      <c r="I61" s="8" t="inlineStr">
        <is>
          <t>79, 304, 88, 313</t>
        </is>
      </c>
      <c r="J61" s="8" t="inlineStr">
        <is>
          <t>court/clerk</t>
        </is>
      </c>
      <c r="K61" s="8" t="inlineStr"/>
      <c r="L61" s="8" t="inlineStr"/>
      <c r="M61" s="8" t="inlineStr"/>
      <c r="N61" s="8" t="inlineStr">
        <is>
          <t>Judge completes.</t>
        </is>
      </c>
      <c r="O61" s="8" t="inlineStr"/>
    </row>
    <row r="62">
      <c r="A62" s="5" t="n">
        <v>61</v>
      </c>
      <c r="B62" s="5" t="n">
        <v>4</v>
      </c>
      <c r="C62" s="5" t="inlineStr">
        <is>
          <t>8</t>
        </is>
      </c>
      <c r="D62" s="5" t="inlineStr">
        <is>
          <t>The restrained person full name</t>
        </is>
      </c>
      <c r="E62" s="5" t="inlineStr">
        <is>
          <t>DV-165[0].Page4[0].List8[0].TextField1[0]</t>
        </is>
      </c>
      <c r="F62" s="5" t="inlineStr">
        <is>
          <t>text</t>
        </is>
      </c>
      <c r="G62" s="5" t="inlineStr"/>
      <c r="H62" s="5" t="inlineStr"/>
      <c r="I62" s="5" t="inlineStr">
        <is>
          <t>215, 133, 453, 145</t>
        </is>
      </c>
      <c r="J62" s="5" t="inlineStr">
        <is>
          <t>question</t>
        </is>
      </c>
      <c r="K62" s="5" t="inlineStr">
        <is>
          <t>R1</t>
        </is>
      </c>
      <c r="L62" s="5">
        <f> R1</f>
        <v/>
      </c>
      <c r="M62" s="5" t="inlineStr"/>
      <c r="N62" s="5" t="inlineStr">
        <is>
          <t>The restrained person's name in item 8 (map: "⑧ name").</t>
        </is>
      </c>
      <c r="O62" s="5" t="inlineStr"/>
    </row>
    <row r="63">
      <c r="A63" s="8" t="n">
        <v>62</v>
      </c>
      <c r="B63" s="8" t="n">
        <v>4</v>
      </c>
      <c r="C63" s="8" t="inlineStr">
        <is>
          <t>9 (court)</t>
        </is>
      </c>
      <c r="D63" s="8" t="inlineStr">
        <is>
          <t>School and after-school program</t>
        </is>
      </c>
      <c r="E63" s="8" t="inlineStr">
        <is>
          <t>DV-165[0].Page4[0].List9[0].Lia[0].SubList9[0].subitem1[0].CheckBox4[0]</t>
        </is>
      </c>
      <c r="F63" s="8" t="inlineStr">
        <is>
          <t>checkbox</t>
        </is>
      </c>
      <c r="G63" s="8" t="inlineStr">
        <is>
          <t>1</t>
        </is>
      </c>
      <c r="H63" s="8" t="inlineStr"/>
      <c r="I63" s="8" t="inlineStr">
        <is>
          <t>90, 406, 99, 415</t>
        </is>
      </c>
      <c r="J63" s="8" t="inlineStr">
        <is>
          <t>court/clerk</t>
        </is>
      </c>
      <c r="K63" s="8" t="inlineStr"/>
      <c r="L63" s="8" t="inlineStr"/>
      <c r="M63" s="8" t="inlineStr"/>
      <c r="N63" s="8" t="inlineStr">
        <is>
          <t>Judge completes.</t>
        </is>
      </c>
      <c r="O63" s="8" t="inlineStr"/>
    </row>
    <row r="64">
      <c r="A64" s="8" t="n">
        <v>63</v>
      </c>
      <c r="B64" s="8" t="n">
        <v>4</v>
      </c>
      <c r="C64" s="8" t="inlineStr">
        <is>
          <t>9 (court)</t>
        </is>
      </c>
      <c r="D64" s="8" t="inlineStr">
        <is>
          <t>Childcare provider</t>
        </is>
      </c>
      <c r="E64" s="8" t="inlineStr">
        <is>
          <t>DV-165[0].Page4[0].List9[0].Lia[0].SubList9[0].subitem2[0].CheckBox5[0]</t>
        </is>
      </c>
      <c r="F64" s="8" t="inlineStr">
        <is>
          <t>checkbox</t>
        </is>
      </c>
      <c r="G64" s="8" t="inlineStr">
        <is>
          <t>1</t>
        </is>
      </c>
      <c r="H64" s="8" t="inlineStr"/>
      <c r="I64" s="8" t="inlineStr">
        <is>
          <t>90, 426, 99, 435</t>
        </is>
      </c>
      <c r="J64" s="8" t="inlineStr">
        <is>
          <t>court/clerk</t>
        </is>
      </c>
      <c r="K64" s="8" t="inlineStr"/>
      <c r="L64" s="8" t="inlineStr"/>
      <c r="M64" s="8" t="inlineStr"/>
      <c r="N64" s="8" t="inlineStr">
        <is>
          <t>Judge completes.</t>
        </is>
      </c>
      <c r="O64" s="8" t="inlineStr"/>
    </row>
    <row r="65">
      <c r="A65" s="8" t="n">
        <v>64</v>
      </c>
      <c r="B65" s="8" t="n">
        <v>4</v>
      </c>
      <c r="C65" s="8" t="inlineStr">
        <is>
          <t>9 (court)</t>
        </is>
      </c>
      <c r="D65" s="8" t="inlineStr">
        <is>
          <t>Supervised visitation provider</t>
        </is>
      </c>
      <c r="E65" s="8" t="inlineStr">
        <is>
          <t>DV-165[0].Page4[0].List9[0].Lia[0].SubList9[0].subitem3[0].CheckBox6[0]</t>
        </is>
      </c>
      <c r="F65" s="8" t="inlineStr">
        <is>
          <t>checkbox</t>
        </is>
      </c>
      <c r="G65" s="8" t="inlineStr">
        <is>
          <t>1</t>
        </is>
      </c>
      <c r="H65" s="8" t="inlineStr"/>
      <c r="I65" s="8" t="inlineStr">
        <is>
          <t>90, 447, 99, 456</t>
        </is>
      </c>
      <c r="J65" s="8" t="inlineStr">
        <is>
          <t>court/clerk</t>
        </is>
      </c>
      <c r="K65" s="8" t="inlineStr"/>
      <c r="L65" s="8" t="inlineStr"/>
      <c r="M65" s="8" t="inlineStr"/>
      <c r="N65" s="8" t="inlineStr">
        <is>
          <t>Judge completes.</t>
        </is>
      </c>
      <c r="O65" s="8" t="inlineStr"/>
    </row>
    <row r="66">
      <c r="A66" s="8" t="n">
        <v>65</v>
      </c>
      <c r="B66" s="8" t="n">
        <v>4</v>
      </c>
      <c r="C66" s="8" t="inlineStr">
        <is>
          <t>9 (court)</t>
        </is>
      </c>
      <c r="D66" s="8" t="inlineStr">
        <is>
          <t>Other</t>
        </is>
      </c>
      <c r="E66" s="8" t="inlineStr">
        <is>
          <t>DV-165[0].Page4[0].List9[0].Lia[0].SubList9[0].subitem4[0].CheckBox7[0]</t>
        </is>
      </c>
      <c r="F66" s="8" t="inlineStr">
        <is>
          <t>checkbox</t>
        </is>
      </c>
      <c r="G66" s="8" t="inlineStr">
        <is>
          <t>1</t>
        </is>
      </c>
      <c r="H66" s="8" t="inlineStr"/>
      <c r="I66" s="8" t="inlineStr">
        <is>
          <t>90, 467, 99, 476</t>
        </is>
      </c>
      <c r="J66" s="8" t="inlineStr">
        <is>
          <t>court/clerk</t>
        </is>
      </c>
      <c r="K66" s="8" t="inlineStr"/>
      <c r="L66" s="8" t="inlineStr"/>
      <c r="M66" s="8" t="inlineStr"/>
      <c r="N66" s="8" t="inlineStr">
        <is>
          <t>Judge completes.</t>
        </is>
      </c>
      <c r="O66" s="8" t="inlineStr"/>
    </row>
    <row r="67">
      <c r="A67" s="8" t="n">
        <v>66</v>
      </c>
      <c r="B67" s="8" t="n">
        <v>4</v>
      </c>
      <c r="C67" s="8" t="inlineStr">
        <is>
          <t>9 (court)</t>
        </is>
      </c>
      <c r="D67" s="8" t="inlineStr">
        <is>
          <t>name</t>
        </is>
      </c>
      <c r="E67" s="8" t="inlineStr">
        <is>
          <t>DV-165[0].Page4[0].List9[0].Lia[0].SubList9[0].subitem4[0].TextField10[0]</t>
        </is>
      </c>
      <c r="F67" s="8" t="inlineStr">
        <is>
          <t>text</t>
        </is>
      </c>
      <c r="G67" s="8" t="inlineStr"/>
      <c r="H67" s="8" t="inlineStr"/>
      <c r="I67" s="8" t="inlineStr">
        <is>
          <t>173, 464, 503, 479</t>
        </is>
      </c>
      <c r="J67" s="8" t="inlineStr">
        <is>
          <t>court/clerk</t>
        </is>
      </c>
      <c r="K67" s="8" t="inlineStr"/>
      <c r="L67" s="8" t="inlineStr"/>
      <c r="M67" s="8" t="inlineStr"/>
      <c r="N67" s="8" t="inlineStr">
        <is>
          <t>Judge completes.</t>
        </is>
      </c>
      <c r="O67" s="8" t="inlineStr"/>
    </row>
    <row r="68">
      <c r="A68" s="8" t="n">
        <v>67</v>
      </c>
      <c r="B68" s="8" t="n">
        <v>4</v>
      </c>
      <c r="C68" s="8" t="inlineStr">
        <is>
          <t>9 (court)</t>
        </is>
      </c>
      <c r="D68" s="8" t="inlineStr">
        <is>
          <t>Minor's name</t>
        </is>
      </c>
      <c r="E68" s="8" t="inlineStr">
        <is>
          <t>DV-165[0].Page4[0].List9[0].Lib[0].sublistb[0].item1[0].CheckBox8[0]</t>
        </is>
      </c>
      <c r="F68" s="8" t="inlineStr">
        <is>
          <t>checkbox</t>
        </is>
      </c>
      <c r="G68" s="8" t="inlineStr">
        <is>
          <t>1</t>
        </is>
      </c>
      <c r="H68" s="8" t="inlineStr"/>
      <c r="I68" s="8" t="inlineStr">
        <is>
          <t>95, 534, 104, 543</t>
        </is>
      </c>
      <c r="J68" s="8" t="inlineStr">
        <is>
          <t>court/clerk</t>
        </is>
      </c>
      <c r="K68" s="8" t="inlineStr"/>
      <c r="L68" s="8" t="inlineStr"/>
      <c r="M68" s="8" t="inlineStr"/>
      <c r="N68" s="8" t="inlineStr">
        <is>
          <t>Judge completes.</t>
        </is>
      </c>
      <c r="O68" s="8" t="inlineStr"/>
    </row>
    <row r="69">
      <c r="A69" s="8" t="n">
        <v>68</v>
      </c>
      <c r="B69" s="8" t="n">
        <v>4</v>
      </c>
      <c r="C69" s="8" t="inlineStr">
        <is>
          <t>9 (court)</t>
        </is>
      </c>
      <c r="D69" s="8" t="inlineStr">
        <is>
          <t>Minor's address</t>
        </is>
      </c>
      <c r="E69" s="8" t="inlineStr">
        <is>
          <t>DV-165[0].Page4[0].List9[0].Lib[0].sublistb[0].item2[0].CheckBox9[0]</t>
        </is>
      </c>
      <c r="F69" s="8" t="inlineStr">
        <is>
          <t>checkbox</t>
        </is>
      </c>
      <c r="G69" s="8" t="inlineStr">
        <is>
          <t>1</t>
        </is>
      </c>
      <c r="H69" s="8" t="inlineStr"/>
      <c r="I69" s="8" t="inlineStr">
        <is>
          <t>95, 555, 104, 564</t>
        </is>
      </c>
      <c r="J69" s="8" t="inlineStr">
        <is>
          <t>court/clerk</t>
        </is>
      </c>
      <c r="K69" s="8" t="inlineStr"/>
      <c r="L69" s="8" t="inlineStr"/>
      <c r="M69" s="8" t="inlineStr"/>
      <c r="N69" s="8" t="inlineStr">
        <is>
          <t>Judge completes.</t>
        </is>
      </c>
      <c r="O69" s="8" t="inlineStr"/>
    </row>
    <row r="70">
      <c r="A70" s="8" t="n">
        <v>69</v>
      </c>
      <c r="B70" s="8" t="n">
        <v>4</v>
      </c>
      <c r="C70" s="8" t="inlineStr">
        <is>
          <t>9 (court)</t>
        </is>
      </c>
      <c r="D70" s="8" t="inlineStr">
        <is>
          <t>Minor's information listed in item 7c</t>
        </is>
      </c>
      <c r="E70" s="8" t="inlineStr">
        <is>
          <t>DV-165[0].Page4[0].List9[0].Lib[0].sublistb[0].item3[0].CheckBox10[0]</t>
        </is>
      </c>
      <c r="F70" s="8" t="inlineStr">
        <is>
          <t>checkbox</t>
        </is>
      </c>
      <c r="G70" s="8" t="inlineStr">
        <is>
          <t>1</t>
        </is>
      </c>
      <c r="H70" s="8" t="inlineStr"/>
      <c r="I70" s="8" t="inlineStr">
        <is>
          <t>95, 575, 104, 584</t>
        </is>
      </c>
      <c r="J70" s="8" t="inlineStr">
        <is>
          <t>court/clerk</t>
        </is>
      </c>
      <c r="K70" s="8" t="inlineStr"/>
      <c r="L70" s="8" t="inlineStr"/>
      <c r="M70" s="8" t="inlineStr"/>
      <c r="N70" s="8" t="inlineStr">
        <is>
          <t>Judge completes.</t>
        </is>
      </c>
      <c r="O70" s="8" t="inlineStr"/>
    </row>
    <row r="71">
      <c r="A71" s="5" t="n">
        <v>70</v>
      </c>
      <c r="B71" s="5" t="n">
        <v>5</v>
      </c>
      <c r="C71" s="5" t="inlineStr">
        <is>
          <t>Caption</t>
        </is>
      </c>
      <c r="D71" s="5" t="inlineStr">
        <is>
          <t>Case Number</t>
        </is>
      </c>
      <c r="E71" s="5" t="inlineStr">
        <is>
          <t>DV-165[0].Page5[0].PxCaption[0].CaseNumber_ft[0]</t>
        </is>
      </c>
      <c r="F71" s="5" t="inlineStr">
        <is>
          <t>text</t>
        </is>
      </c>
      <c r="G71" s="5" t="inlineStr"/>
      <c r="H71" s="5" t="inlineStr"/>
      <c r="I71" s="5" t="inlineStr">
        <is>
          <t>399, 49, 572, 61</t>
        </is>
      </c>
      <c r="J71" s="5" t="inlineStr">
        <is>
          <t>question</t>
        </is>
      </c>
      <c r="K71" s="5" t="inlineStr">
        <is>
          <t>S3,S4</t>
        </is>
      </c>
      <c r="L71" s="5">
        <f> S4</f>
        <v/>
      </c>
      <c r="M71" s="5" t="inlineStr">
        <is>
          <t>S3 == "update"; otherwise blank for clerk</t>
        </is>
      </c>
      <c r="N71" s="5" t="inlineStr"/>
      <c r="O71" s="5" t="inlineStr"/>
    </row>
    <row r="72">
      <c r="A72" s="8" t="n">
        <v>71</v>
      </c>
      <c r="B72" s="8" t="n">
        <v>5</v>
      </c>
      <c r="C72" s="8" t="inlineStr">
        <is>
          <t>10 (court)</t>
        </is>
      </c>
      <c r="D72" s="8" t="inlineStr">
        <is>
          <t>(number of court days or date)</t>
        </is>
      </c>
      <c r="E72" s="8" t="inlineStr">
        <is>
          <t>DV-165[0].Page5[0].List10[0].Lia[0].TextField3[0]</t>
        </is>
      </c>
      <c r="F72" s="8" t="inlineStr">
        <is>
          <t>text</t>
        </is>
      </c>
      <c r="G72" s="8" t="inlineStr"/>
      <c r="H72" s="8" t="inlineStr"/>
      <c r="I72" s="8" t="inlineStr">
        <is>
          <t>304, 139, 417, 151</t>
        </is>
      </c>
      <c r="J72" s="8" t="inlineStr">
        <is>
          <t>court/clerk</t>
        </is>
      </c>
      <c r="K72" s="8" t="inlineStr"/>
      <c r="L72" s="8" t="inlineStr"/>
      <c r="M72" s="8" t="inlineStr"/>
      <c r="N72" s="8" t="inlineStr">
        <is>
          <t>Judge completes.</t>
        </is>
      </c>
      <c r="O72" s="8" t="inlineStr"/>
    </row>
    <row r="73">
      <c r="A73" s="8" t="n">
        <v>72</v>
      </c>
      <c r="B73" s="8" t="n">
        <v>5</v>
      </c>
      <c r="C73" s="8" t="inlineStr">
        <is>
          <t>10 (court)</t>
        </is>
      </c>
      <c r="D73" s="8" t="inlineStr">
        <is>
          <t>Court</t>
        </is>
      </c>
      <c r="E73" s="8" t="inlineStr">
        <is>
          <t>DV-165[0].Page5[0].List10[0].Lia[0].sublist10[0].item1[0].CheckBox11[0]</t>
        </is>
      </c>
      <c r="F73" s="8" t="inlineStr">
        <is>
          <t>checkbox</t>
        </is>
      </c>
      <c r="G73" s="8" t="inlineStr">
        <is>
          <t>1</t>
        </is>
      </c>
      <c r="H73" s="8" t="inlineStr"/>
      <c r="I73" s="8" t="inlineStr">
        <is>
          <t>98, 162, 107, 171</t>
        </is>
      </c>
      <c r="J73" s="8" t="inlineStr">
        <is>
          <t>court/clerk</t>
        </is>
      </c>
      <c r="K73" s="8" t="inlineStr"/>
      <c r="L73" s="8" t="inlineStr"/>
      <c r="M73" s="8" t="inlineStr"/>
      <c r="N73" s="8" t="inlineStr">
        <is>
          <t>Judge completes.</t>
        </is>
      </c>
      <c r="O73" s="8" t="inlineStr"/>
    </row>
    <row r="74">
      <c r="A74" s="8" t="n">
        <v>73</v>
      </c>
      <c r="B74" s="8" t="n">
        <v>5</v>
      </c>
      <c r="C74" s="8" t="inlineStr">
        <is>
          <t>10 (court)</t>
        </is>
      </c>
      <c r="D74" s="8" t="inlineStr">
        <is>
          <t>Person making the request</t>
        </is>
      </c>
      <c r="E74" s="8" t="inlineStr">
        <is>
          <t>DV-165[0].Page5[0].List10[0].Lia[0].sublist10[0].item2[0].CheckBox11[0]</t>
        </is>
      </c>
      <c r="F74" s="8" t="inlineStr">
        <is>
          <t>checkbox</t>
        </is>
      </c>
      <c r="G74" s="8" t="inlineStr">
        <is>
          <t>2</t>
        </is>
      </c>
      <c r="H74" s="8" t="inlineStr"/>
      <c r="I74" s="8" t="inlineStr">
        <is>
          <t>98, 183, 107, 192</t>
        </is>
      </c>
      <c r="J74" s="8" t="inlineStr">
        <is>
          <t>court/clerk</t>
        </is>
      </c>
      <c r="K74" s="8" t="inlineStr"/>
      <c r="L74" s="8" t="inlineStr"/>
      <c r="M74" s="8" t="inlineStr"/>
      <c r="N74" s="8" t="inlineStr">
        <is>
          <t>Judge completes.</t>
        </is>
      </c>
      <c r="O74" s="8" t="inlineStr"/>
    </row>
    <row r="75">
      <c r="A75" s="8" t="n">
        <v>74</v>
      </c>
      <c r="B75" s="8" t="n">
        <v>5</v>
      </c>
      <c r="C75" s="8" t="inlineStr">
        <is>
          <t>10 (court)</t>
        </is>
      </c>
      <c r="D75" s="8" t="inlineStr">
        <is>
          <t>Other</t>
        </is>
      </c>
      <c r="E75" s="8" t="inlineStr">
        <is>
          <t>DV-165[0].Page5[0].List10[0].Lia[0].sublist10[0].item3[0].CheckBox11[0]</t>
        </is>
      </c>
      <c r="F75" s="8" t="inlineStr">
        <is>
          <t>checkbox</t>
        </is>
      </c>
      <c r="G75" s="8" t="inlineStr">
        <is>
          <t>3</t>
        </is>
      </c>
      <c r="H75" s="8" t="inlineStr"/>
      <c r="I75" s="8" t="inlineStr">
        <is>
          <t>98, 205, 107, 214</t>
        </is>
      </c>
      <c r="J75" s="8" t="inlineStr">
        <is>
          <t>court/clerk</t>
        </is>
      </c>
      <c r="K75" s="8" t="inlineStr"/>
      <c r="L75" s="8" t="inlineStr"/>
      <c r="M75" s="8" t="inlineStr"/>
      <c r="N75" s="8" t="inlineStr">
        <is>
          <t>Judge completes.</t>
        </is>
      </c>
      <c r="O75" s="8" t="inlineStr"/>
    </row>
    <row r="76">
      <c r="A76" s="8" t="n">
        <v>75</v>
      </c>
      <c r="B76" s="8" t="n">
        <v>5</v>
      </c>
      <c r="C76" s="8" t="inlineStr">
        <is>
          <t>10 (court)</t>
        </is>
      </c>
      <c r="D76" s="8" t="inlineStr">
        <is>
          <t>Other entity with responsibility for redacting forms and documents</t>
        </is>
      </c>
      <c r="E76" s="8" t="inlineStr">
        <is>
          <t>DV-165[0].Page5[0].List10[0].Lia[0].sublist10[0].item3[0].TextField10[0]</t>
        </is>
      </c>
      <c r="F76" s="8" t="inlineStr">
        <is>
          <t>text</t>
        </is>
      </c>
      <c r="G76" s="8" t="inlineStr"/>
      <c r="H76" s="8" t="inlineStr"/>
      <c r="I76" s="8" t="inlineStr">
        <is>
          <t>147, 203, 544, 215</t>
        </is>
      </c>
      <c r="J76" s="8" t="inlineStr">
        <is>
          <t>court/clerk</t>
        </is>
      </c>
      <c r="K76" s="8" t="inlineStr"/>
      <c r="L76" s="8" t="inlineStr"/>
      <c r="M76" s="8" t="inlineStr"/>
      <c r="N76" s="8" t="inlineStr">
        <is>
          <t>Judge completes.</t>
        </is>
      </c>
      <c r="O76" s="8" t="inlineStr"/>
    </row>
    <row r="77">
      <c r="A77" s="7" t="n">
        <v>76</v>
      </c>
      <c r="B77" s="7" t="n">
        <v>6</v>
      </c>
      <c r="C77" s="7" t="inlineStr">
        <is>
          <t>—</t>
        </is>
      </c>
      <c r="D77" s="7" t="inlineStr">
        <is>
          <t>Print this form</t>
        </is>
      </c>
      <c r="E77" s="7" t="inlineStr">
        <is>
          <t>DV-165[0].#pageSet[0].LastPage[0].FooterButtons[0].Print_bt[0]</t>
        </is>
      </c>
      <c r="F77" s="7" t="inlineStr">
        <is>
          <t>button</t>
        </is>
      </c>
      <c r="G77" s="7" t="inlineStr"/>
      <c r="H77" s="7" t="inlineStr"/>
      <c r="I77" s="7" t="inlineStr">
        <is>
          <t>258, 762, 339, 779</t>
        </is>
      </c>
      <c r="J77" s="7" t="inlineStr">
        <is>
          <t>ignore (UI button)</t>
        </is>
      </c>
      <c r="K77" s="7" t="inlineStr"/>
      <c r="L77" s="7" t="inlineStr"/>
      <c r="M77" s="7" t="inlineStr"/>
      <c r="N77" s="7" t="inlineStr">
        <is>
          <t>Print/Save/Clear button. Do not fill.</t>
        </is>
      </c>
      <c r="O77" s="7" t="inlineStr"/>
    </row>
    <row r="78">
      <c r="A78" s="7" t="n">
        <v>77</v>
      </c>
      <c r="B78" s="7" t="n">
        <v>6</v>
      </c>
      <c r="C78" s="7" t="inlineStr">
        <is>
          <t>—</t>
        </is>
      </c>
      <c r="D78" s="7" t="inlineStr">
        <is>
          <t>Save this form</t>
        </is>
      </c>
      <c r="E78" s="7" t="inlineStr">
        <is>
          <t>DV-165[0].#pageSet[0].LastPage[0].FooterButtons[0].Save_bt[0]</t>
        </is>
      </c>
      <c r="F78" s="7" t="inlineStr">
        <is>
          <t>button</t>
        </is>
      </c>
      <c r="G78" s="7" t="inlineStr"/>
      <c r="H78" s="7" t="inlineStr"/>
      <c r="I78" s="7" t="inlineStr">
        <is>
          <t>345, 762, 426, 779</t>
        </is>
      </c>
      <c r="J78" s="7" t="inlineStr">
        <is>
          <t>ignore (UI button)</t>
        </is>
      </c>
      <c r="K78" s="7" t="inlineStr"/>
      <c r="L78" s="7" t="inlineStr"/>
      <c r="M78" s="7" t="inlineStr"/>
      <c r="N78" s="7" t="inlineStr">
        <is>
          <t>Print/Save/Clear button. Do not fill.</t>
        </is>
      </c>
      <c r="O78" s="7" t="inlineStr"/>
    </row>
    <row r="79">
      <c r="A79" s="7" t="n">
        <v>78</v>
      </c>
      <c r="B79" s="7" t="n">
        <v>6</v>
      </c>
      <c r="C79" s="7" t="inlineStr">
        <is>
          <t>—</t>
        </is>
      </c>
      <c r="D79" s="7" t="inlineStr">
        <is>
          <t>Clear this form</t>
        </is>
      </c>
      <c r="E79" s="7" t="inlineStr">
        <is>
          <t>DV-165[0].#pageSet[0].LastPage[0].FooterButtons[0].Reset_bt[0]</t>
        </is>
      </c>
      <c r="F79" s="7" t="inlineStr">
        <is>
          <t>button</t>
        </is>
      </c>
      <c r="G79" s="7" t="inlineStr"/>
      <c r="H79" s="7" t="inlineStr"/>
      <c r="I79" s="7" t="inlineStr">
        <is>
          <t>495, 762, 576, 779</t>
        </is>
      </c>
      <c r="J79" s="7" t="inlineStr">
        <is>
          <t>ignore (UI button)</t>
        </is>
      </c>
      <c r="K79" s="7" t="inlineStr"/>
      <c r="L79" s="7" t="inlineStr"/>
      <c r="M79" s="7" t="inlineStr"/>
      <c r="N79" s="7" t="inlineStr">
        <is>
          <t>Print/Save/Clear button. Do not fill.</t>
        </is>
      </c>
      <c r="O79" s="7" t="inlineStr"/>
    </row>
    <row r="80">
      <c r="A80" s="7" t="n">
        <v>79</v>
      </c>
      <c r="B80" s="7" t="n">
        <v>6</v>
      </c>
      <c r="C80" s="7" t="inlineStr">
        <is>
          <t>—</t>
        </is>
      </c>
      <c r="D80" s="7" t="inlineStr">
        <is>
          <t>For your protection and privacy, please press the Clear This Form button after you have printed the form</t>
        </is>
      </c>
      <c r="E80" s="7" t="inlineStr">
        <is>
          <t>DV-165[0].#pageSet[0].LastPage[0].FooterButtons[0].T23[0]</t>
        </is>
      </c>
      <c r="F80" s="7" t="inlineStr">
        <is>
          <t>button</t>
        </is>
      </c>
      <c r="G80" s="7" t="inlineStr"/>
      <c r="H80" s="7" t="inlineStr"/>
      <c r="I80" s="7" t="inlineStr">
        <is>
          <t>36, 756, 247, 779</t>
        </is>
      </c>
      <c r="J80" s="7" t="inlineStr">
        <is>
          <t>ignore (UI button)</t>
        </is>
      </c>
      <c r="K80" s="7" t="inlineStr"/>
      <c r="L80" s="7" t="inlineStr"/>
      <c r="M80" s="7" t="inlineStr"/>
      <c r="N80" s="7" t="inlineStr">
        <is>
          <t>Print/Save/Clear button. Do not fill.</t>
        </is>
      </c>
      <c r="O80" s="7" t="inlineStr"/>
    </row>
    <row r="81">
      <c r="A81" s="5" t="n">
        <v>80</v>
      </c>
      <c r="B81" s="5" t="n">
        <v>6</v>
      </c>
      <c r="C81" s="5" t="inlineStr">
        <is>
          <t>Caption</t>
        </is>
      </c>
      <c r="D81" s="5" t="inlineStr">
        <is>
          <t>Case Number</t>
        </is>
      </c>
      <c r="E81" s="5" t="inlineStr">
        <is>
          <t>DV-165[0].Page6[0].PxCaption[0].CaseNumber_ft[0]</t>
        </is>
      </c>
      <c r="F81" s="5" t="inlineStr">
        <is>
          <t>text</t>
        </is>
      </c>
      <c r="G81" s="5" t="inlineStr"/>
      <c r="H81" s="5" t="inlineStr"/>
      <c r="I81" s="5" t="inlineStr">
        <is>
          <t>399, 49, 572, 61</t>
        </is>
      </c>
      <c r="J81" s="5" t="inlineStr">
        <is>
          <t>question</t>
        </is>
      </c>
      <c r="K81" s="5" t="inlineStr">
        <is>
          <t>S3,S4</t>
        </is>
      </c>
      <c r="L81" s="5">
        <f> S4</f>
        <v/>
      </c>
      <c r="M81" s="5" t="inlineStr">
        <is>
          <t>S3 == "update"; otherwise blank for clerk</t>
        </is>
      </c>
      <c r="N81" s="5" t="inlineStr"/>
      <c r="O81" s="5" t="inlineStr"/>
    </row>
    <row r="82">
      <c r="A82" s="8" t="n">
        <v>81</v>
      </c>
      <c r="B82" s="8" t="n">
        <v>6</v>
      </c>
      <c r="C82" s="8" t="inlineStr">
        <is>
          <t>13 (court)</t>
        </is>
      </c>
      <c r="D82" s="8" t="inlineStr">
        <is>
          <t>Have a copy of each form listed in item c below personally served on (given to) the restrained person</t>
        </is>
      </c>
      <c r="E82" s="8" t="inlineStr">
        <is>
          <t>DV-165[0].Page6[0].List13[0].Lia[0].Ch7[0]</t>
        </is>
      </c>
      <c r="F82" s="8" t="inlineStr">
        <is>
          <t>checkbox</t>
        </is>
      </c>
      <c r="G82" s="8" t="inlineStr">
        <is>
          <t>1</t>
        </is>
      </c>
      <c r="H82" s="8" t="inlineStr"/>
      <c r="I82" s="8" t="inlineStr">
        <is>
          <t>78, 122, 87, 131</t>
        </is>
      </c>
      <c r="J82" s="8" t="inlineStr">
        <is>
          <t>court/clerk</t>
        </is>
      </c>
      <c r="K82" s="8" t="inlineStr"/>
      <c r="L82" s="8" t="inlineStr"/>
      <c r="M82" s="8" t="inlineStr"/>
      <c r="N82" s="8" t="inlineStr">
        <is>
          <t>Judge completes.</t>
        </is>
      </c>
      <c r="O82" s="8" t="inlineStr"/>
    </row>
    <row r="83">
      <c r="A83" s="8" t="n">
        <v>82</v>
      </c>
      <c r="B83" s="8" t="n">
        <v>6</v>
      </c>
      <c r="C83" s="8" t="inlineStr">
        <is>
          <t>13 (court)</t>
        </is>
      </c>
      <c r="D83" s="8" t="inlineStr">
        <is>
          <t>Have a copy of each form listed in item c mailed to the</t>
        </is>
      </c>
      <c r="E83" s="8" t="inlineStr">
        <is>
          <t>DV-165[0].Page6[0].List13[0].Lib[0].Ch7[0]</t>
        </is>
      </c>
      <c r="F83" s="8" t="inlineStr">
        <is>
          <t>checkbox</t>
        </is>
      </c>
      <c r="G83" s="8" t="inlineStr">
        <is>
          <t>2</t>
        </is>
      </c>
      <c r="H83" s="8" t="inlineStr"/>
      <c r="I83" s="8" t="inlineStr">
        <is>
          <t>78, 184, 87, 193</t>
        </is>
      </c>
      <c r="J83" s="8" t="inlineStr">
        <is>
          <t>court/clerk</t>
        </is>
      </c>
      <c r="K83" s="8" t="inlineStr"/>
      <c r="L83" s="8" t="inlineStr"/>
      <c r="M83" s="8" t="inlineStr"/>
      <c r="N83" s="8" t="inlineStr">
        <is>
          <t>Judge completes.</t>
        </is>
      </c>
      <c r="O83" s="8" t="inlineStr"/>
    </row>
    <row r="84">
      <c r="A84" s="8" t="n">
        <v>83</v>
      </c>
      <c r="B84" s="8" t="n">
        <v>6</v>
      </c>
      <c r="C84" s="8" t="inlineStr">
        <is>
          <t>13 (court)</t>
        </is>
      </c>
      <c r="D84" s="8" t="inlineStr">
        <is>
          <t>Restrained person</t>
        </is>
      </c>
      <c r="E84" s="8" t="inlineStr">
        <is>
          <t>DV-165[0].Page6[0].List13[0].Lib[0].sublist13[0].Li1[0].CheckBox15[0]</t>
        </is>
      </c>
      <c r="F84" s="8" t="inlineStr">
        <is>
          <t>checkbox</t>
        </is>
      </c>
      <c r="G84" s="8" t="inlineStr">
        <is>
          <t>1</t>
        </is>
      </c>
      <c r="H84" s="8" t="inlineStr"/>
      <c r="I84" s="8" t="inlineStr">
        <is>
          <t>98, 204, 107, 213</t>
        </is>
      </c>
      <c r="J84" s="8" t="inlineStr">
        <is>
          <t>court/clerk</t>
        </is>
      </c>
      <c r="K84" s="8" t="inlineStr"/>
      <c r="L84" s="8" t="inlineStr"/>
      <c r="M84" s="8" t="inlineStr"/>
      <c r="N84" s="8" t="inlineStr">
        <is>
          <t>Judge completes.</t>
        </is>
      </c>
      <c r="O84" s="8" t="inlineStr"/>
    </row>
    <row r="85">
      <c r="A85" s="8" t="n">
        <v>84</v>
      </c>
      <c r="B85" s="8" t="n">
        <v>6</v>
      </c>
      <c r="C85" s="8" t="inlineStr">
        <is>
          <t>13 (court)</t>
        </is>
      </c>
      <c r="D85" s="8" t="inlineStr">
        <is>
          <t>Protected person</t>
        </is>
      </c>
      <c r="E85" s="8" t="inlineStr">
        <is>
          <t>DV-165[0].Page6[0].List13[0].Lib[0].sublist13[0].Li2[0].CheckBox16[0]</t>
        </is>
      </c>
      <c r="F85" s="8" t="inlineStr">
        <is>
          <t>checkbox</t>
        </is>
      </c>
      <c r="G85" s="8" t="inlineStr">
        <is>
          <t>1</t>
        </is>
      </c>
      <c r="H85" s="8" t="inlineStr"/>
      <c r="I85" s="8" t="inlineStr">
        <is>
          <t>98, 225, 107, 234</t>
        </is>
      </c>
      <c r="J85" s="8" t="inlineStr">
        <is>
          <t>court/clerk</t>
        </is>
      </c>
      <c r="K85" s="8" t="inlineStr"/>
      <c r="L85" s="8" t="inlineStr"/>
      <c r="M85" s="8" t="inlineStr"/>
      <c r="N85" s="8" t="inlineStr">
        <is>
          <t>Judge completes.</t>
        </is>
      </c>
      <c r="O85" s="8" t="inlineStr"/>
    </row>
    <row r="86">
      <c r="A86" s="8" t="n">
        <v>85</v>
      </c>
      <c r="B86" s="8" t="n">
        <v>6</v>
      </c>
      <c r="C86" s="8" t="inlineStr">
        <is>
          <t>13 (court)</t>
        </is>
      </c>
      <c r="D86" s="8" t="inlineStr">
        <is>
          <t>Other</t>
        </is>
      </c>
      <c r="E86" s="8" t="inlineStr">
        <is>
          <t>DV-165[0].Page6[0].List13[0].Lib[0].sublist13[0].Li3[0].CheckBox17[0]</t>
        </is>
      </c>
      <c r="F86" s="8" t="inlineStr">
        <is>
          <t>checkbox</t>
        </is>
      </c>
      <c r="G86" s="8" t="inlineStr">
        <is>
          <t>1</t>
        </is>
      </c>
      <c r="H86" s="8" t="inlineStr"/>
      <c r="I86" s="8" t="inlineStr">
        <is>
          <t>98, 246, 107, 255</t>
        </is>
      </c>
      <c r="J86" s="8" t="inlineStr">
        <is>
          <t>court/clerk</t>
        </is>
      </c>
      <c r="K86" s="8" t="inlineStr"/>
      <c r="L86" s="8" t="inlineStr"/>
      <c r="M86" s="8" t="inlineStr"/>
      <c r="N86" s="8" t="inlineStr">
        <is>
          <t>Judge completes.</t>
        </is>
      </c>
      <c r="O86" s="8" t="inlineStr"/>
    </row>
    <row r="87">
      <c r="A87" s="8" t="n">
        <v>86</v>
      </c>
      <c r="B87" s="8" t="n">
        <v>6</v>
      </c>
      <c r="C87" s="8" t="inlineStr">
        <is>
          <t>13 (court)</t>
        </is>
      </c>
      <c r="D87" s="8" t="inlineStr">
        <is>
          <t>Other people forms must be mailed to</t>
        </is>
      </c>
      <c r="E87" s="8" t="inlineStr">
        <is>
          <t>DV-165[0].Page6[0].List13[0].Lib[0].sublist13[0].Li3[0].TextField21[0]</t>
        </is>
      </c>
      <c r="F87" s="8" t="inlineStr">
        <is>
          <t>text</t>
        </is>
      </c>
      <c r="G87" s="8" t="inlineStr"/>
      <c r="H87" s="8" t="inlineStr"/>
      <c r="I87" s="8" t="inlineStr">
        <is>
          <t>146, 245, 544, 257</t>
        </is>
      </c>
      <c r="J87" s="8" t="inlineStr">
        <is>
          <t>court/clerk</t>
        </is>
      </c>
      <c r="K87" s="8" t="inlineStr"/>
      <c r="L87" s="8" t="inlineStr"/>
      <c r="M87" s="8" t="inlineStr"/>
      <c r="N87" s="8" t="inlineStr">
        <is>
          <t>Judge completes.</t>
        </is>
      </c>
      <c r="O87" s="8" t="inlineStr"/>
    </row>
    <row r="88">
      <c r="A88" s="7" t="n">
        <v>87</v>
      </c>
      <c r="B88" s="7" t="n">
        <v>6</v>
      </c>
      <c r="C88" s="7" t="inlineStr">
        <is>
          <t>—</t>
        </is>
      </c>
      <c r="D88" s="7" t="inlineStr">
        <is>
          <t>DV DASH 250</t>
        </is>
      </c>
      <c r="E88" s="7" t="inlineStr">
        <is>
          <t>DV-165[0].Page6[0].List13[0].Lib[0].pos[0]</t>
        </is>
      </c>
      <c r="F88" s="7" t="inlineStr">
        <is>
          <t>button</t>
        </is>
      </c>
      <c r="G88" s="7" t="inlineStr"/>
      <c r="H88" s="7" t="inlineStr"/>
      <c r="I88" s="7" t="inlineStr">
        <is>
          <t>125, 259, 161, 272</t>
        </is>
      </c>
      <c r="J88" s="7" t="inlineStr">
        <is>
          <t>ignore (UI button)</t>
        </is>
      </c>
      <c r="K88" s="7" t="inlineStr"/>
      <c r="L88" s="7" t="inlineStr"/>
      <c r="M88" s="7" t="inlineStr"/>
      <c r="N88" s="7" t="inlineStr">
        <is>
          <t>Print/Save/Clear button. Do not fill.</t>
        </is>
      </c>
      <c r="O88" s="7" t="inlineStr"/>
    </row>
    <row r="89">
      <c r="A89" s="8" t="n">
        <v>88</v>
      </c>
      <c r="B89" s="8" t="n">
        <v>6</v>
      </c>
      <c r="C89" s="8" t="inlineStr">
        <is>
          <t>13 (court)</t>
        </is>
      </c>
      <c r="D89" s="8" t="inlineStr">
        <is>
          <t>Form DV-100, Request for Domestic Violence Restraining Order</t>
        </is>
      </c>
      <c r="E89" s="8" t="inlineStr">
        <is>
          <t>DV-165[0].Page6[0].List13[0].Lic[0].sublist13[0].item2[0].CheckBox5[0]</t>
        </is>
      </c>
      <c r="F89" s="8" t="inlineStr">
        <is>
          <t>checkbox</t>
        </is>
      </c>
      <c r="G89" s="8" t="inlineStr">
        <is>
          <t>1</t>
        </is>
      </c>
      <c r="H89" s="8" t="inlineStr"/>
      <c r="I89" s="8" t="inlineStr">
        <is>
          <t>98, 344, 107, 353</t>
        </is>
      </c>
      <c r="J89" s="8" t="inlineStr">
        <is>
          <t>court/clerk</t>
        </is>
      </c>
      <c r="K89" s="8" t="inlineStr"/>
      <c r="L89" s="8" t="inlineStr"/>
      <c r="M89" s="8" t="inlineStr"/>
      <c r="N89" s="8" t="inlineStr">
        <is>
          <t>Judge completes.</t>
        </is>
      </c>
      <c r="O89" s="8" t="inlineStr"/>
    </row>
    <row r="90">
      <c r="A90" s="8" t="n">
        <v>89</v>
      </c>
      <c r="B90" s="8" t="n">
        <v>6</v>
      </c>
      <c r="C90" s="8" t="inlineStr">
        <is>
          <t>13 (court)</t>
        </is>
      </c>
      <c r="D90" s="8" t="inlineStr">
        <is>
          <t>Form DV-109, Notice of Court Hearing</t>
        </is>
      </c>
      <c r="E90" s="8" t="inlineStr">
        <is>
          <t>DV-165[0].Page6[0].List13[0].Lic[0].sublist13[0].item3[0].CheckBox6[0]</t>
        </is>
      </c>
      <c r="F90" s="8" t="inlineStr">
        <is>
          <t>checkbox</t>
        </is>
      </c>
      <c r="G90" s="8" t="inlineStr">
        <is>
          <t>1</t>
        </is>
      </c>
      <c r="H90" s="8" t="inlineStr"/>
      <c r="I90" s="8" t="inlineStr">
        <is>
          <t>98, 362, 107, 371</t>
        </is>
      </c>
      <c r="J90" s="8" t="inlineStr">
        <is>
          <t>court/clerk</t>
        </is>
      </c>
      <c r="K90" s="8" t="inlineStr"/>
      <c r="L90" s="8" t="inlineStr"/>
      <c r="M90" s="8" t="inlineStr"/>
      <c r="N90" s="8" t="inlineStr">
        <is>
          <t>Judge completes.</t>
        </is>
      </c>
      <c r="O90" s="8" t="inlineStr"/>
    </row>
    <row r="91">
      <c r="A91" s="8" t="n">
        <v>90</v>
      </c>
      <c r="B91" s="8" t="n">
        <v>6</v>
      </c>
      <c r="C91" s="8" t="inlineStr">
        <is>
          <t>13 (court)</t>
        </is>
      </c>
      <c r="D91" s="8" t="inlineStr">
        <is>
          <t>Form DV-110, Temporary Restraining Order</t>
        </is>
      </c>
      <c r="E91" s="8" t="inlineStr">
        <is>
          <t>DV-165[0].Page6[0].List13[0].Lic[0].sublist13[0].item4[0].CheckBox7[0]</t>
        </is>
      </c>
      <c r="F91" s="8" t="inlineStr">
        <is>
          <t>checkbox</t>
        </is>
      </c>
      <c r="G91" s="8" t="inlineStr">
        <is>
          <t>1</t>
        </is>
      </c>
      <c r="H91" s="8" t="inlineStr"/>
      <c r="I91" s="8" t="inlineStr">
        <is>
          <t>98, 379, 107, 388</t>
        </is>
      </c>
      <c r="J91" s="8" t="inlineStr">
        <is>
          <t>court/clerk</t>
        </is>
      </c>
      <c r="K91" s="8" t="inlineStr"/>
      <c r="L91" s="8" t="inlineStr"/>
      <c r="M91" s="8" t="inlineStr"/>
      <c r="N91" s="8" t="inlineStr">
        <is>
          <t>Judge completes.</t>
        </is>
      </c>
      <c r="O91" s="8" t="inlineStr"/>
    </row>
    <row r="92">
      <c r="A92" s="8" t="n">
        <v>91</v>
      </c>
      <c r="B92" s="8" t="n">
        <v>6</v>
      </c>
      <c r="C92" s="8" t="inlineStr">
        <is>
          <t>13 (court)</t>
        </is>
      </c>
      <c r="D92" s="8" t="inlineStr">
        <is>
          <t>Form DV-160, Request to Keep Minor's Information Confidential</t>
        </is>
      </c>
      <c r="E92" s="8" t="inlineStr">
        <is>
          <t>DV-165[0].Page6[0].List13[0].Lic[0].sublist13[0].item5[0].CheckBox8[0]</t>
        </is>
      </c>
      <c r="F92" s="8" t="inlineStr">
        <is>
          <t>checkbox</t>
        </is>
      </c>
      <c r="G92" s="8" t="inlineStr">
        <is>
          <t>1</t>
        </is>
      </c>
      <c r="H92" s="8" t="inlineStr"/>
      <c r="I92" s="8" t="inlineStr">
        <is>
          <t>98, 396, 107, 405</t>
        </is>
      </c>
      <c r="J92" s="8" t="inlineStr">
        <is>
          <t>court/clerk</t>
        </is>
      </c>
      <c r="K92" s="8" t="inlineStr"/>
      <c r="L92" s="8" t="inlineStr"/>
      <c r="M92" s="8" t="inlineStr"/>
      <c r="N92" s="8" t="inlineStr">
        <is>
          <t>Judge completes.</t>
        </is>
      </c>
      <c r="O92" s="8" t="inlineStr"/>
    </row>
    <row r="93">
      <c r="A93" s="8" t="n">
        <v>92</v>
      </c>
      <c r="B93" s="8" t="n">
        <v>6</v>
      </c>
      <c r="C93" s="8" t="inlineStr">
        <is>
          <t>13 (court)</t>
        </is>
      </c>
      <c r="D93" s="8" t="inlineStr">
        <is>
          <t>Unredacted</t>
        </is>
      </c>
      <c r="E93" s="8" t="inlineStr">
        <is>
          <t>DV-165[0].Page6[0].List13[0].Lic[0].sublist13[0].item5[0].CheckBox32[0]</t>
        </is>
      </c>
      <c r="F93" s="8" t="inlineStr">
        <is>
          <t>checkbox</t>
        </is>
      </c>
      <c r="G93" s="8" t="inlineStr">
        <is>
          <t>1</t>
        </is>
      </c>
      <c r="H93" s="8" t="inlineStr"/>
      <c r="I93" s="8" t="inlineStr">
        <is>
          <t>117, 412, 126, 421</t>
        </is>
      </c>
      <c r="J93" s="8" t="inlineStr">
        <is>
          <t>court/clerk</t>
        </is>
      </c>
      <c r="K93" s="8" t="inlineStr"/>
      <c r="L93" s="8" t="inlineStr"/>
      <c r="M93" s="8" t="inlineStr"/>
      <c r="N93" s="8" t="inlineStr">
        <is>
          <t>Judge completes.</t>
        </is>
      </c>
      <c r="O93" s="8" t="inlineStr"/>
    </row>
    <row r="94">
      <c r="A94" s="8" t="n">
        <v>93</v>
      </c>
      <c r="B94" s="8" t="n">
        <v>6</v>
      </c>
      <c r="C94" s="8" t="inlineStr">
        <is>
          <t>13 (court)</t>
        </is>
      </c>
      <c r="D94" s="8" t="inlineStr">
        <is>
          <t>Redacted (if item 8b on DV-165 is checked)</t>
        </is>
      </c>
      <c r="E94" s="8" t="inlineStr">
        <is>
          <t>DV-165[0].Page6[0].List13[0].Lic[0].sublist13[0].item5[0].CheckBox32[1]</t>
        </is>
      </c>
      <c r="F94" s="8" t="inlineStr">
        <is>
          <t>checkbox</t>
        </is>
      </c>
      <c r="G94" s="8" t="inlineStr">
        <is>
          <t>2</t>
        </is>
      </c>
      <c r="H94" s="8" t="inlineStr"/>
      <c r="I94" s="8" t="inlineStr">
        <is>
          <t>227, 412, 236, 421</t>
        </is>
      </c>
      <c r="J94" s="8" t="inlineStr">
        <is>
          <t>court/clerk</t>
        </is>
      </c>
      <c r="K94" s="8" t="inlineStr"/>
      <c r="L94" s="8" t="inlineStr"/>
      <c r="M94" s="8" t="inlineStr"/>
      <c r="N94" s="8" t="inlineStr">
        <is>
          <t>Judge completes.</t>
        </is>
      </c>
      <c r="O94" s="8" t="inlineStr"/>
    </row>
    <row r="95">
      <c r="A95" s="8" t="n">
        <v>94</v>
      </c>
      <c r="B95" s="8" t="n">
        <v>6</v>
      </c>
      <c r="C95" s="8" t="inlineStr">
        <is>
          <t>13 (court)</t>
        </is>
      </c>
      <c r="D95" s="8" t="inlineStr">
        <is>
          <t>Unredacted</t>
        </is>
      </c>
      <c r="E95" s="8" t="inlineStr">
        <is>
          <t>DV-165[0].Page6[0].List13[0].Lic[0].sublist13[0].item6[0].CheckBox33[0]</t>
        </is>
      </c>
      <c r="F95" s="8" t="inlineStr">
        <is>
          <t>checkbox</t>
        </is>
      </c>
      <c r="G95" s="8" t="inlineStr">
        <is>
          <t>1</t>
        </is>
      </c>
      <c r="H95" s="8" t="inlineStr"/>
      <c r="I95" s="8" t="inlineStr">
        <is>
          <t>117, 445, 126, 454</t>
        </is>
      </c>
      <c r="J95" s="8" t="inlineStr">
        <is>
          <t>court/clerk</t>
        </is>
      </c>
      <c r="K95" s="8" t="inlineStr"/>
      <c r="L95" s="8" t="inlineStr"/>
      <c r="M95" s="8" t="inlineStr"/>
      <c r="N95" s="8" t="inlineStr">
        <is>
          <t>Judge completes.</t>
        </is>
      </c>
      <c r="O95" s="8" t="inlineStr"/>
    </row>
    <row r="96">
      <c r="A96" s="8" t="n">
        <v>95</v>
      </c>
      <c r="B96" s="8" t="n">
        <v>6</v>
      </c>
      <c r="C96" s="8" t="inlineStr">
        <is>
          <t>13 (court)</t>
        </is>
      </c>
      <c r="D96" s="8" t="inlineStr">
        <is>
          <t>Redacted (if item 8b on DV-165 is checked)</t>
        </is>
      </c>
      <c r="E96" s="8" t="inlineStr">
        <is>
          <t>DV-165[0].Page6[0].List13[0].Lic[0].sublist13[0].item6[0].CheckBox33[1]</t>
        </is>
      </c>
      <c r="F96" s="8" t="inlineStr">
        <is>
          <t>checkbox</t>
        </is>
      </c>
      <c r="G96" s="8" t="inlineStr">
        <is>
          <t>2</t>
        </is>
      </c>
      <c r="H96" s="8" t="inlineStr"/>
      <c r="I96" s="8" t="inlineStr">
        <is>
          <t>227, 445, 236, 454</t>
        </is>
      </c>
      <c r="J96" s="8" t="inlineStr">
        <is>
          <t>court/clerk</t>
        </is>
      </c>
      <c r="K96" s="8" t="inlineStr"/>
      <c r="L96" s="8" t="inlineStr"/>
      <c r="M96" s="8" t="inlineStr"/>
      <c r="N96" s="8" t="inlineStr">
        <is>
          <t>Judge completes.</t>
        </is>
      </c>
      <c r="O96" s="8" t="inlineStr"/>
    </row>
    <row r="97">
      <c r="A97" s="8" t="n">
        <v>96</v>
      </c>
      <c r="B97" s="8" t="n">
        <v>6</v>
      </c>
      <c r="C97" s="8" t="inlineStr">
        <is>
          <t>13 (court)</t>
        </is>
      </c>
      <c r="D97" s="8" t="inlineStr">
        <is>
          <t>Other</t>
        </is>
      </c>
      <c r="E97" s="8" t="inlineStr">
        <is>
          <t>DV-165[0].Page6[0].List13[0].Lic[0].sublist13[0].item8[0].CheckBox34[0]</t>
        </is>
      </c>
      <c r="F97" s="8" t="inlineStr">
        <is>
          <t>checkbox</t>
        </is>
      </c>
      <c r="G97" s="8" t="inlineStr">
        <is>
          <t>1</t>
        </is>
      </c>
      <c r="H97" s="8" t="inlineStr"/>
      <c r="I97" s="8" t="inlineStr">
        <is>
          <t>98, 480, 107, 489</t>
        </is>
      </c>
      <c r="J97" s="8" t="inlineStr">
        <is>
          <t>court/clerk</t>
        </is>
      </c>
      <c r="K97" s="8" t="inlineStr"/>
      <c r="L97" s="8" t="inlineStr"/>
      <c r="M97" s="8" t="inlineStr"/>
      <c r="N97" s="8" t="inlineStr">
        <is>
          <t>Judge completes.</t>
        </is>
      </c>
      <c r="O97" s="8" t="inlineStr"/>
    </row>
    <row r="98">
      <c r="A98" s="8" t="n">
        <v>97</v>
      </c>
      <c r="B98" s="8" t="n">
        <v>6</v>
      </c>
      <c r="C98" s="8" t="inlineStr">
        <is>
          <t>13 (court)</t>
        </is>
      </c>
      <c r="D98" s="8" t="inlineStr">
        <is>
          <t>Other forms to be served</t>
        </is>
      </c>
      <c r="E98" s="8" t="inlineStr">
        <is>
          <t>DV-165[0].Page6[0].List13[0].Lic[0].sublist13[0].item8[0].TextField2[0]</t>
        </is>
      </c>
      <c r="F98" s="8" t="inlineStr">
        <is>
          <t>text</t>
        </is>
      </c>
      <c r="G98" s="8" t="inlineStr"/>
      <c r="H98" s="8" t="inlineStr"/>
      <c r="I98" s="8" t="inlineStr">
        <is>
          <t>147, 479, 545, 491</t>
        </is>
      </c>
      <c r="J98" s="8" t="inlineStr">
        <is>
          <t>court/clerk</t>
        </is>
      </c>
      <c r="K98" s="8" t="inlineStr"/>
      <c r="L98" s="8" t="inlineStr"/>
      <c r="M98" s="8" t="inlineStr"/>
      <c r="N98" s="8" t="inlineStr">
        <is>
          <t>Judge completes.</t>
        </is>
      </c>
      <c r="O98" s="8" t="inlineStr"/>
    </row>
    <row r="99">
      <c r="A99" s="8" t="n">
        <v>98</v>
      </c>
      <c r="B99" s="8" t="n">
        <v>6</v>
      </c>
      <c r="C99" s="8" t="inlineStr">
        <is>
          <t>(court)</t>
        </is>
      </c>
      <c r="D99" s="8" t="inlineStr">
        <is>
          <t>Date:</t>
        </is>
      </c>
      <c r="E99" s="8" t="inlineStr">
        <is>
          <t>DV-165[0].Page6[0].sign[0].Date[0]</t>
        </is>
      </c>
      <c r="F99" s="8" t="inlineStr">
        <is>
          <t>text</t>
        </is>
      </c>
      <c r="G99" s="8" t="inlineStr"/>
      <c r="H99" s="8" t="inlineStr"/>
      <c r="I99" s="8" t="inlineStr">
        <is>
          <t>68, 511, 186, 524</t>
        </is>
      </c>
      <c r="J99" s="8" t="inlineStr">
        <is>
          <t>court/clerk</t>
        </is>
      </c>
      <c r="K99" s="8" t="inlineStr"/>
      <c r="L99" s="8" t="inlineStr"/>
      <c r="M99" s="8" t="inlineStr"/>
      <c r="N99" s="8" t="inlineStr">
        <is>
          <t>Judge completes.</t>
        </is>
      </c>
      <c r="O99" s="8" t="inlineStr"/>
    </row>
  </sheetData>
  <autoFilter ref="A1:O99"/>
  <dataValidations count="1">
    <dataValidation sqref="J2:J99" showDropDown="0" showInputMessage="0" showErrorMessage="0" allowBlank="1" type="list">
      <formula1>"question,derived,court/clerk,server,ignore (UI button)"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8" t="n">
        <v>1</v>
      </c>
      <c r="B2" s="8" t="n">
        <v>1</v>
      </c>
      <c r="C2" s="8" t="inlineStr">
        <is>
          <t>(clerk)</t>
        </is>
      </c>
      <c r="D2" s="8" t="inlineStr">
        <is>
          <t>Form DV-100, Request for Domestic Violence Restraining Order</t>
        </is>
      </c>
      <c r="E2" s="8" t="inlineStr">
        <is>
          <t>DV-170[0].Page1[0].income_cb[0]</t>
        </is>
      </c>
      <c r="F2" s="8" t="inlineStr">
        <is>
          <t>checkbox</t>
        </is>
      </c>
      <c r="G2" s="8" t="inlineStr">
        <is>
          <t>1</t>
        </is>
      </c>
      <c r="H2" s="8" t="inlineStr"/>
      <c r="I2" s="8" t="inlineStr">
        <is>
          <t>80, 254, 89, 263</t>
        </is>
      </c>
      <c r="J2" s="8" t="inlineStr">
        <is>
          <t>court/clerk</t>
        </is>
      </c>
      <c r="K2" s="8" t="inlineStr"/>
      <c r="L2" s="8" t="inlineStr"/>
      <c r="M2" s="8" t="inlineStr"/>
      <c r="N2" s="8" t="inlineStr">
        <is>
          <t>Clerk checks the documents.</t>
        </is>
      </c>
      <c r="O2" s="8" t="inlineStr"/>
    </row>
    <row r="3">
      <c r="A3" s="8" t="n">
        <v>2</v>
      </c>
      <c r="B3" s="8" t="n">
        <v>1</v>
      </c>
      <c r="C3" s="8" t="inlineStr">
        <is>
          <t>(clerk)</t>
        </is>
      </c>
      <c r="D3" s="8" t="inlineStr">
        <is>
          <t>Other:</t>
        </is>
      </c>
      <c r="E3" s="8" t="inlineStr">
        <is>
          <t>DV-170[0].Page1[0].income_cb[1]</t>
        </is>
      </c>
      <c r="F3" s="8" t="inlineStr">
        <is>
          <t>checkbox</t>
        </is>
      </c>
      <c r="G3" s="8" t="inlineStr">
        <is>
          <t>1</t>
        </is>
      </c>
      <c r="H3" s="8" t="inlineStr"/>
      <c r="I3" s="8" t="inlineStr">
        <is>
          <t>80, 404, 89, 413</t>
        </is>
      </c>
      <c r="J3" s="8" t="inlineStr">
        <is>
          <t>court/clerk</t>
        </is>
      </c>
      <c r="K3" s="8" t="inlineStr"/>
      <c r="L3" s="8" t="inlineStr"/>
      <c r="M3" s="8" t="inlineStr"/>
      <c r="N3" s="8" t="inlineStr">
        <is>
          <t>Clerk checks the documents.</t>
        </is>
      </c>
      <c r="O3" s="8" t="inlineStr"/>
    </row>
    <row r="4">
      <c r="A4" s="8" t="n">
        <v>3</v>
      </c>
      <c r="B4" s="8" t="n">
        <v>1</v>
      </c>
      <c r="C4" s="8" t="inlineStr">
        <is>
          <t>(clerk)</t>
        </is>
      </c>
      <c r="D4" s="8" t="inlineStr">
        <is>
          <t>Form DV-175, Cover Sheet for Confidential Information (leave blank)</t>
        </is>
      </c>
      <c r="E4" s="8" t="inlineStr">
        <is>
          <t>DV-170[0].Page1[0].income_cb[2]</t>
        </is>
      </c>
      <c r="F4" s="8" t="inlineStr">
        <is>
          <t>checkbox</t>
        </is>
      </c>
      <c r="G4" s="8" t="inlineStr">
        <is>
          <t>1</t>
        </is>
      </c>
      <c r="H4" s="8" t="inlineStr"/>
      <c r="I4" s="8" t="inlineStr">
        <is>
          <t>80, 367, 89, 376</t>
        </is>
      </c>
      <c r="J4" s="8" t="inlineStr">
        <is>
          <t>court/clerk</t>
        </is>
      </c>
      <c r="K4" s="8" t="inlineStr"/>
      <c r="L4" s="8" t="inlineStr"/>
      <c r="M4" s="8" t="inlineStr"/>
      <c r="N4" s="8" t="inlineStr">
        <is>
          <t>Clerk checks the documents.</t>
        </is>
      </c>
      <c r="O4" s="8" t="inlineStr"/>
    </row>
    <row r="5">
      <c r="A5" s="8" t="n">
        <v>4</v>
      </c>
      <c r="B5" s="8" t="n">
        <v>1</v>
      </c>
      <c r="C5" s="8" t="inlineStr">
        <is>
          <t>(clerk)</t>
        </is>
      </c>
      <c r="D5" s="8" t="inlineStr">
        <is>
          <t>Form DV-165, Order on Request to Keep Minor's Information Confidential</t>
        </is>
      </c>
      <c r="E5" s="8" t="inlineStr">
        <is>
          <t>DV-170[0].Page1[0].income_cb[3]</t>
        </is>
      </c>
      <c r="F5" s="8" t="inlineStr">
        <is>
          <t>checkbox</t>
        </is>
      </c>
      <c r="G5" s="8" t="inlineStr">
        <is>
          <t>1</t>
        </is>
      </c>
      <c r="H5" s="8" t="inlineStr"/>
      <c r="I5" s="8" t="inlineStr">
        <is>
          <t>80, 333, 89, 342</t>
        </is>
      </c>
      <c r="J5" s="8" t="inlineStr">
        <is>
          <t>court/clerk</t>
        </is>
      </c>
      <c r="K5" s="8" t="inlineStr"/>
      <c r="L5" s="8" t="inlineStr"/>
      <c r="M5" s="8" t="inlineStr"/>
      <c r="N5" s="8" t="inlineStr">
        <is>
          <t>Clerk checks the documents.</t>
        </is>
      </c>
      <c r="O5" s="8" t="inlineStr"/>
    </row>
    <row r="6">
      <c r="A6" s="8" t="n">
        <v>5</v>
      </c>
      <c r="B6" s="8" t="n">
        <v>1</v>
      </c>
      <c r="C6" s="8" t="inlineStr">
        <is>
          <t>(clerk)</t>
        </is>
      </c>
      <c r="D6" s="8" t="inlineStr">
        <is>
          <t>Form DV-160, Request to Keep Minor's Information Confidential</t>
        </is>
      </c>
      <c r="E6" s="8" t="inlineStr">
        <is>
          <t>DV-170[0].Page1[0].income_cb[4]</t>
        </is>
      </c>
      <c r="F6" s="8" t="inlineStr">
        <is>
          <t>checkbox</t>
        </is>
      </c>
      <c r="G6" s="8" t="inlineStr">
        <is>
          <t>1</t>
        </is>
      </c>
      <c r="H6" s="8" t="inlineStr"/>
      <c r="I6" s="8" t="inlineStr">
        <is>
          <t>80, 318, 89, 327</t>
        </is>
      </c>
      <c r="J6" s="8" t="inlineStr">
        <is>
          <t>court/clerk</t>
        </is>
      </c>
      <c r="K6" s="8" t="inlineStr"/>
      <c r="L6" s="8" t="inlineStr"/>
      <c r="M6" s="8" t="inlineStr"/>
      <c r="N6" s="8" t="inlineStr">
        <is>
          <t>Clerk checks the documents.</t>
        </is>
      </c>
      <c r="O6" s="8" t="inlineStr"/>
    </row>
    <row r="7">
      <c r="A7" s="8" t="n">
        <v>6</v>
      </c>
      <c r="B7" s="8" t="n">
        <v>1</v>
      </c>
      <c r="C7" s="8" t="inlineStr">
        <is>
          <t>(clerk)</t>
        </is>
      </c>
      <c r="D7" s="8" t="inlineStr">
        <is>
          <t>Form DV-130, Restraining Order After Hearing</t>
        </is>
      </c>
      <c r="E7" s="8" t="inlineStr">
        <is>
          <t>DV-170[0].Page1[0].income_cb[5]</t>
        </is>
      </c>
      <c r="F7" s="8" t="inlineStr">
        <is>
          <t>checkbox</t>
        </is>
      </c>
      <c r="G7" s="8" t="inlineStr">
        <is>
          <t>1</t>
        </is>
      </c>
      <c r="H7" s="8" t="inlineStr"/>
      <c r="I7" s="8" t="inlineStr">
        <is>
          <t>80, 302, 89, 311</t>
        </is>
      </c>
      <c r="J7" s="8" t="inlineStr">
        <is>
          <t>court/clerk</t>
        </is>
      </c>
      <c r="K7" s="8" t="inlineStr"/>
      <c r="L7" s="8" t="inlineStr"/>
      <c r="M7" s="8" t="inlineStr"/>
      <c r="N7" s="8" t="inlineStr">
        <is>
          <t>Clerk checks the documents.</t>
        </is>
      </c>
      <c r="O7" s="8" t="inlineStr"/>
    </row>
    <row r="8">
      <c r="A8" s="8" t="n">
        <v>7</v>
      </c>
      <c r="B8" s="8" t="n">
        <v>1</v>
      </c>
      <c r="C8" s="8" t="inlineStr">
        <is>
          <t>(clerk)</t>
        </is>
      </c>
      <c r="D8" s="8" t="inlineStr">
        <is>
          <t>Form DV-110, Temporary Restraining Order</t>
        </is>
      </c>
      <c r="E8" s="8" t="inlineStr">
        <is>
          <t>DV-170[0].Page1[0].income_cb[6]</t>
        </is>
      </c>
      <c r="F8" s="8" t="inlineStr">
        <is>
          <t>checkbox</t>
        </is>
      </c>
      <c r="G8" s="8" t="inlineStr">
        <is>
          <t>1</t>
        </is>
      </c>
      <c r="H8" s="8" t="inlineStr"/>
      <c r="I8" s="8" t="inlineStr">
        <is>
          <t>80, 286, 89, 295</t>
        </is>
      </c>
      <c r="J8" s="8" t="inlineStr">
        <is>
          <t>court/clerk</t>
        </is>
      </c>
      <c r="K8" s="8" t="inlineStr"/>
      <c r="L8" s="8" t="inlineStr"/>
      <c r="M8" s="8" t="inlineStr"/>
      <c r="N8" s="8" t="inlineStr">
        <is>
          <t>Clerk checks the documents.</t>
        </is>
      </c>
      <c r="O8" s="8" t="inlineStr"/>
    </row>
    <row r="9">
      <c r="A9" s="8" t="n">
        <v>8</v>
      </c>
      <c r="B9" s="8" t="n">
        <v>1</v>
      </c>
      <c r="C9" s="8" t="inlineStr">
        <is>
          <t>(clerk)</t>
        </is>
      </c>
      <c r="D9" s="8" t="inlineStr">
        <is>
          <t>Form DV-109, Notice of Court Hearing</t>
        </is>
      </c>
      <c r="E9" s="8" t="inlineStr">
        <is>
          <t>DV-170[0].Page1[0].income_cb[7]</t>
        </is>
      </c>
      <c r="F9" s="8" t="inlineStr">
        <is>
          <t>checkbox</t>
        </is>
      </c>
      <c r="G9" s="8" t="inlineStr">
        <is>
          <t>1</t>
        </is>
      </c>
      <c r="H9" s="8" t="inlineStr"/>
      <c r="I9" s="8" t="inlineStr">
        <is>
          <t>80, 270, 89, 279</t>
        </is>
      </c>
      <c r="J9" s="8" t="inlineStr">
        <is>
          <t>court/clerk</t>
        </is>
      </c>
      <c r="K9" s="8" t="inlineStr"/>
      <c r="L9" s="8" t="inlineStr"/>
      <c r="M9" s="8" t="inlineStr"/>
      <c r="N9" s="8" t="inlineStr">
        <is>
          <t>Clerk checks the documents.</t>
        </is>
      </c>
      <c r="O9" s="8" t="inlineStr"/>
    </row>
    <row r="10">
      <c r="A10" s="8" t="n">
        <v>9</v>
      </c>
      <c r="B10" s="8" t="n">
        <v>1</v>
      </c>
      <c r="C10" s="8" t="inlineStr">
        <is>
          <t>(clerk)</t>
        </is>
      </c>
      <c r="D10" s="8" t="inlineStr">
        <is>
          <t>T186</t>
        </is>
      </c>
      <c r="E10" s="8" t="inlineStr">
        <is>
          <t>DV-170[0].Page1[0].T186[0]</t>
        </is>
      </c>
      <c r="F10" s="8" t="inlineStr">
        <is>
          <t>text</t>
        </is>
      </c>
      <c r="G10" s="8" t="inlineStr"/>
      <c r="H10" s="8" t="inlineStr"/>
      <c r="I10" s="8" t="inlineStr">
        <is>
          <t>124, 403, 386, 415</t>
        </is>
      </c>
      <c r="J10" s="8" t="inlineStr">
        <is>
          <t>court/clerk</t>
        </is>
      </c>
      <c r="K10" s="8" t="inlineStr"/>
      <c r="L10" s="8" t="inlineStr"/>
      <c r="M10" s="8" t="inlineStr"/>
      <c r="N10" s="8" t="inlineStr">
        <is>
          <t>Clerk checks the documents.</t>
        </is>
      </c>
      <c r="O10" s="8" t="inlineStr"/>
    </row>
    <row r="11">
      <c r="A11" s="6" t="n">
        <v>10</v>
      </c>
      <c r="B11" s="6" t="n">
        <v>1</v>
      </c>
      <c r="C11" s="6" t="inlineStr">
        <is>
          <t>Caption</t>
        </is>
      </c>
      <c r="D11" s="6" t="inlineStr">
        <is>
          <t>Superior Court of California, County of</t>
        </is>
      </c>
      <c r="E11" s="6" t="inlineStr">
        <is>
          <t>DV-170[0].Page1[0].Caption_sf[0].CourtInfo_ft[0]</t>
        </is>
      </c>
      <c r="F11" s="6" t="inlineStr">
        <is>
          <t>text</t>
        </is>
      </c>
      <c r="G11" s="6" t="inlineStr"/>
      <c r="H11" s="6" t="inlineStr"/>
      <c r="I11" s="6" t="inlineStr">
        <is>
          <t>398, 212, 573, 279</t>
        </is>
      </c>
      <c r="J11" s="6" t="inlineStr">
        <is>
          <t>derived</t>
        </is>
      </c>
      <c r="K11" s="6" t="inlineStr">
        <is>
          <t>S1,S2</t>
        </is>
      </c>
      <c r="L11" s="6">
        <f> S1.countyName + "\n" + courthouse(S1,S2).streetAddress + ", " + courthouse(S1,S2).cityZip</f>
        <v/>
      </c>
      <c r="M11" s="6" t="inlineStr"/>
      <c r="N11" s="6" t="inlineStr"/>
      <c r="O11" s="6" t="inlineStr"/>
    </row>
    <row r="12">
      <c r="A12" s="5" t="n">
        <v>11</v>
      </c>
      <c r="B12" s="5" t="n">
        <v>1</v>
      </c>
      <c r="C12" s="5" t="inlineStr">
        <is>
          <t>Caption</t>
        </is>
      </c>
      <c r="D12" s="5" t="inlineStr">
        <is>
          <t>Case Number:</t>
        </is>
      </c>
      <c r="E12" s="5" t="inlineStr">
        <is>
          <t>DV-170[0].Page1[0].Caption_sf[0].TCCaseNumber_ft[0]</t>
        </is>
      </c>
      <c r="F12" s="5" t="inlineStr">
        <is>
          <t>text</t>
        </is>
      </c>
      <c r="G12" s="5" t="inlineStr"/>
      <c r="H12" s="5" t="inlineStr"/>
      <c r="I12" s="5" t="inlineStr">
        <is>
          <t>398, 314, 573, 331</t>
        </is>
      </c>
      <c r="J12" s="5" t="inlineStr">
        <is>
          <t>question</t>
        </is>
      </c>
      <c r="K12" s="5" t="inlineStr">
        <is>
          <t>X0</t>
        </is>
      </c>
      <c r="L12" s="5">
        <f> X0</f>
        <v/>
      </c>
      <c r="M12" s="5" t="inlineStr">
        <is>
          <t>stage 2</t>
        </is>
      </c>
      <c r="N12" s="5" t="inlineStr"/>
      <c r="O12" s="5" t="inlineStr"/>
    </row>
    <row r="13">
      <c r="A13" s="7" t="n">
        <v>12</v>
      </c>
      <c r="B13" s="7" t="n">
        <v>1</v>
      </c>
      <c r="C13" s="7" t="inlineStr">
        <is>
          <t>—</t>
        </is>
      </c>
      <c r="D13" s="7" t="inlineStr">
        <is>
          <t>Print this form</t>
        </is>
      </c>
      <c r="E13" s="7" t="inlineStr">
        <is>
          <t>DV-170[0].Page1[0].#area[6].Print_bt[0]</t>
        </is>
      </c>
      <c r="F13" s="7" t="inlineStr">
        <is>
          <t>button</t>
        </is>
      </c>
      <c r="G13" s="7" t="inlineStr"/>
      <c r="H13" s="7" t="inlineStr"/>
      <c r="I13" s="7" t="inlineStr">
        <is>
          <t>258, 764, 339, 781</t>
        </is>
      </c>
      <c r="J13" s="7" t="inlineStr">
        <is>
          <t>ignore (UI button)</t>
        </is>
      </c>
      <c r="K13" s="7" t="inlineStr"/>
      <c r="L13" s="7" t="inlineStr"/>
      <c r="M13" s="7" t="inlineStr"/>
      <c r="N13" s="7" t="inlineStr">
        <is>
          <t>Print/Save/Clear button. Do not fill.</t>
        </is>
      </c>
      <c r="O13" s="7" t="inlineStr"/>
    </row>
    <row r="14">
      <c r="A14" s="7" t="n">
        <v>13</v>
      </c>
      <c r="B14" s="7" t="n">
        <v>1</v>
      </c>
      <c r="C14" s="7" t="inlineStr">
        <is>
          <t>—</t>
        </is>
      </c>
      <c r="D14" s="7" t="inlineStr">
        <is>
          <t>Save this form</t>
        </is>
      </c>
      <c r="E14" s="7" t="inlineStr">
        <is>
          <t>DV-170[0].Page1[0].#area[6].Save_bt[0]</t>
        </is>
      </c>
      <c r="F14" s="7" t="inlineStr">
        <is>
          <t>button</t>
        </is>
      </c>
      <c r="G14" s="7" t="inlineStr"/>
      <c r="H14" s="7" t="inlineStr"/>
      <c r="I14" s="7" t="inlineStr">
        <is>
          <t>345, 764, 426, 781</t>
        </is>
      </c>
      <c r="J14" s="7" t="inlineStr">
        <is>
          <t>ignore (UI button)</t>
        </is>
      </c>
      <c r="K14" s="7" t="inlineStr"/>
      <c r="L14" s="7" t="inlineStr"/>
      <c r="M14" s="7" t="inlineStr"/>
      <c r="N14" s="7" t="inlineStr">
        <is>
          <t>Print/Save/Clear button. Do not fill.</t>
        </is>
      </c>
      <c r="O14" s="7" t="inlineStr"/>
    </row>
    <row r="15">
      <c r="A15" s="7" t="n">
        <v>14</v>
      </c>
      <c r="B15" s="7" t="n">
        <v>1</v>
      </c>
      <c r="C15" s="7" t="inlineStr">
        <is>
          <t>—</t>
        </is>
      </c>
      <c r="D15" s="7" t="inlineStr">
        <is>
          <t>Clear this form</t>
        </is>
      </c>
      <c r="E15" s="7" t="inlineStr">
        <is>
          <t>DV-170[0].Page1[0].#area[6].Reset_bt[0]</t>
        </is>
      </c>
      <c r="F15" s="7" t="inlineStr">
        <is>
          <t>button</t>
        </is>
      </c>
      <c r="G15" s="7" t="inlineStr"/>
      <c r="H15" s="7" t="inlineStr"/>
      <c r="I15" s="7" t="inlineStr">
        <is>
          <t>495, 764, 576, 781</t>
        </is>
      </c>
      <c r="J15" s="7" t="inlineStr">
        <is>
          <t>ignore (UI button)</t>
        </is>
      </c>
      <c r="K15" s="7" t="inlineStr"/>
      <c r="L15" s="7" t="inlineStr"/>
      <c r="M15" s="7" t="inlineStr"/>
      <c r="N15" s="7" t="inlineStr">
        <is>
          <t>Print/Save/Clear button. Do not fill.</t>
        </is>
      </c>
      <c r="O15" s="7" t="inlineStr"/>
    </row>
    <row r="16">
      <c r="A16" s="7" t="n">
        <v>15</v>
      </c>
      <c r="B16" s="7" t="n">
        <v>1</v>
      </c>
      <c r="C16" s="7" t="inlineStr">
        <is>
          <t>—</t>
        </is>
      </c>
      <c r="D16" s="7" t="inlineStr">
        <is>
          <t>For your protection and privacy, please press the Clear This Form button after you have printed the form.</t>
        </is>
      </c>
      <c r="E16" s="7" t="inlineStr">
        <is>
          <t>DV-170[0].Page1[0].#area[6].T23[0]</t>
        </is>
      </c>
      <c r="F16" s="7" t="inlineStr">
        <is>
          <t>button</t>
        </is>
      </c>
      <c r="G16" s="7" t="inlineStr"/>
      <c r="H16" s="7" t="inlineStr"/>
      <c r="I16" s="7" t="inlineStr">
        <is>
          <t>36, 758, 247, 781</t>
        </is>
      </c>
      <c r="J16" s="7" t="inlineStr">
        <is>
          <t>ignore (UI button)</t>
        </is>
      </c>
      <c r="K16" s="7" t="inlineStr"/>
      <c r="L16" s="7" t="inlineStr"/>
      <c r="M16" s="7" t="inlineStr"/>
      <c r="N16" s="7" t="inlineStr">
        <is>
          <t>Print/Save/Clear button. Do not fill.</t>
        </is>
      </c>
      <c r="O16" s="7" t="inlineStr"/>
    </row>
  </sheetData>
  <autoFilter ref="A1:O16"/>
  <dataValidations count="1">
    <dataValidation sqref="J2:J16" showDropDown="0" showInputMessage="0" showErrorMessage="0" allowBlank="1" type="list">
      <formula1>"question,derived,court/clerk,server,ignore (UI button)"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5" t="n">
        <v>1</v>
      </c>
      <c r="B2" s="5" t="n">
        <v>1</v>
      </c>
      <c r="C2" s="5" t="inlineStr">
        <is>
          <t>1</t>
        </is>
      </c>
      <c r="D2" s="5" t="inlineStr">
        <is>
          <t>Wireless service provider (name):</t>
        </is>
      </c>
      <c r="E2" s="5" t="inlineStr">
        <is>
          <t>topmostSubform[0].Page1[0].OtherSpecify_tf[0]</t>
        </is>
      </c>
      <c r="F2" s="5" t="inlineStr">
        <is>
          <t>text</t>
        </is>
      </c>
      <c r="G2" s="5" t="inlineStr"/>
      <c r="H2" s="5" t="inlineStr"/>
      <c r="I2" s="5" t="inlineStr">
        <is>
          <t>215, 137, 392, 148</t>
        </is>
      </c>
      <c r="J2" s="5" t="inlineStr">
        <is>
          <t>question</t>
        </is>
      </c>
      <c r="K2" s="5" t="inlineStr">
        <is>
          <t>W1</t>
        </is>
      </c>
      <c r="L2" s="5">
        <f> W1</f>
        <v/>
      </c>
      <c r="M2" s="5" t="inlineStr"/>
      <c r="N2" s="5" t="inlineStr"/>
      <c r="O2" s="5" t="inlineStr"/>
    </row>
    <row r="3">
      <c r="A3" s="6" t="n">
        <v>2</v>
      </c>
      <c r="B3" s="6" t="n">
        <v>1</v>
      </c>
      <c r="C3" s="6" t="inlineStr">
        <is>
          <t>Caption</t>
        </is>
      </c>
      <c r="D3" s="6" t="inlineStr">
        <is>
          <t>Superior Court of California, County of</t>
        </is>
      </c>
      <c r="E3" s="6" t="inlineStr">
        <is>
          <t>topmostSubform[0].Page1[0].Stamp_court_case[0].CourtInfo_ft[0]</t>
        </is>
      </c>
      <c r="F3" s="6" t="inlineStr">
        <is>
          <t>text</t>
        </is>
      </c>
      <c r="G3" s="6" t="inlineStr"/>
      <c r="H3" s="6" t="inlineStr"/>
      <c r="I3" s="6" t="inlineStr">
        <is>
          <t>400, 208, 574, 275</t>
        </is>
      </c>
      <c r="J3" s="6" t="inlineStr">
        <is>
          <t>derived</t>
        </is>
      </c>
      <c r="K3" s="6" t="inlineStr">
        <is>
          <t>S1,S2</t>
        </is>
      </c>
      <c r="L3" s="6">
        <f> S1.countyName + "\n" + courthouse(S1,S2).streetAddress + ", " + courthouse(S1,S2).cityZip</f>
        <v/>
      </c>
      <c r="M3" s="6" t="inlineStr"/>
      <c r="N3" s="6" t="inlineStr"/>
      <c r="O3" s="6" t="inlineStr"/>
    </row>
    <row r="4">
      <c r="A4" s="5" t="n">
        <v>3</v>
      </c>
      <c r="B4" s="5" t="n">
        <v>1</v>
      </c>
      <c r="C4" s="5" t="inlineStr">
        <is>
          <t>Caption</t>
        </is>
      </c>
      <c r="D4" s="5" t="inlineStr">
        <is>
          <t>Case Number:</t>
        </is>
      </c>
      <c r="E4" s="5" t="inlineStr">
        <is>
          <t>topmostSubform[0].Page1[0].Stamp_court_case[0].CaseNumber_ft[0]</t>
        </is>
      </c>
      <c r="F4" s="5" t="inlineStr">
        <is>
          <t>text</t>
        </is>
      </c>
      <c r="G4" s="5" t="inlineStr"/>
      <c r="H4" s="5" t="inlineStr"/>
      <c r="I4" s="5" t="inlineStr">
        <is>
          <t>400, 302, 574, 320</t>
        </is>
      </c>
      <c r="J4" s="5" t="inlineStr">
        <is>
          <t>question</t>
        </is>
      </c>
      <c r="K4" s="5" t="inlineStr">
        <is>
          <t>S3,S4</t>
        </is>
      </c>
      <c r="L4" s="5">
        <f> S4</f>
        <v/>
      </c>
      <c r="M4" s="5" t="inlineStr">
        <is>
          <t>S3 == "update"; otherwise blank for clerk</t>
        </is>
      </c>
      <c r="N4" s="5" t="inlineStr">
        <is>
          <t>Filed with DV-100 as a proposed order (stage 1).</t>
        </is>
      </c>
      <c r="O4" s="5" t="inlineStr"/>
    </row>
    <row r="5">
      <c r="A5" s="8" t="n">
        <v>4</v>
      </c>
      <c r="B5" s="8" t="n">
        <v>1</v>
      </c>
      <c r="C5" s="8" t="inlineStr">
        <is>
          <t>(court)</t>
        </is>
      </c>
      <c r="D5" s="8" t="inlineStr">
        <is>
          <t>Date:</t>
        </is>
      </c>
      <c r="E5" s="8" t="inlineStr">
        <is>
          <t>topmostSubform[0].Page1[0].T66[0]</t>
        </is>
      </c>
      <c r="F5" s="8" t="inlineStr">
        <is>
          <t>text</t>
        </is>
      </c>
      <c r="G5" s="8" t="inlineStr"/>
      <c r="H5" s="8" t="inlineStr"/>
      <c r="I5" s="8" t="inlineStr">
        <is>
          <t>92, 548, 211, 559</t>
        </is>
      </c>
      <c r="J5" s="8" t="inlineStr">
        <is>
          <t>court/clerk</t>
        </is>
      </c>
      <c r="K5" s="8" t="inlineStr"/>
      <c r="L5" s="8" t="inlineStr"/>
      <c r="M5" s="8" t="inlineStr"/>
      <c r="N5" s="8" t="inlineStr">
        <is>
          <t>Judge or clerk completes.</t>
        </is>
      </c>
      <c r="O5" s="8" t="inlineStr"/>
    </row>
    <row r="6">
      <c r="A6" s="8" t="n">
        <v>5</v>
      </c>
      <c r="B6" s="8" t="n">
        <v>1</v>
      </c>
      <c r="C6" s="8" t="inlineStr">
        <is>
          <t>(court)</t>
        </is>
      </c>
      <c r="D6" s="8" t="inlineStr">
        <is>
          <t>T188</t>
        </is>
      </c>
      <c r="E6" s="8" t="inlineStr">
        <is>
          <t>topmostSubform[0].Page1[0].T188[0]</t>
        </is>
      </c>
      <c r="F6" s="8" t="inlineStr">
        <is>
          <t>text</t>
        </is>
      </c>
      <c r="G6" s="8" t="inlineStr"/>
      <c r="H6" s="8" t="inlineStr"/>
      <c r="I6" s="8" t="inlineStr">
        <is>
          <t>362, 548, 575, 563</t>
        </is>
      </c>
      <c r="J6" s="8" t="inlineStr">
        <is>
          <t>court/clerk</t>
        </is>
      </c>
      <c r="K6" s="8" t="inlineStr"/>
      <c r="L6" s="8" t="inlineStr"/>
      <c r="M6" s="8" t="inlineStr"/>
      <c r="N6" s="8" t="inlineStr">
        <is>
          <t>Judge or clerk completes.</t>
        </is>
      </c>
      <c r="O6" s="8" t="inlineStr"/>
    </row>
    <row r="7">
      <c r="A7" s="5" t="n">
        <v>6</v>
      </c>
      <c r="B7" s="5" t="n">
        <v>1</v>
      </c>
      <c r="C7" s="5" t="inlineStr">
        <is>
          <t>4 line 1</t>
        </is>
      </c>
      <c r="D7" s="5" t="inlineStr">
        <is>
          <t>Telephone number (include area code):</t>
        </is>
      </c>
      <c r="E7" s="5" t="inlineStr">
        <is>
          <t>topmostSubform[0].Page1[0].T78[0]</t>
        </is>
      </c>
      <c r="F7" s="5" t="inlineStr">
        <is>
          <t>text</t>
        </is>
      </c>
      <c r="G7" s="5" t="inlineStr"/>
      <c r="H7" s="5" t="inlineStr"/>
      <c r="I7" s="5" t="inlineStr">
        <is>
          <t>240, 250, 392, 261</t>
        </is>
      </c>
      <c r="J7" s="5" t="inlineStr">
        <is>
          <t>question</t>
        </is>
      </c>
      <c r="K7" s="5" t="inlineStr">
        <is>
          <t>O28.numbers</t>
        </is>
      </c>
      <c r="L7" s="5">
        <f> O28.numbers[0].phone</f>
        <v/>
      </c>
      <c r="M7" s="5" t="inlineStr">
        <is>
          <t>O28.numbers.length &gt; 0</t>
        </is>
      </c>
      <c r="N7" s="5" t="inlineStr">
        <is>
          <t>Lines are numbered out of order in the PDF: T78, then T78[4], [3], [2], [1] from top to bottom.</t>
        </is>
      </c>
      <c r="O7" s="5" t="inlineStr"/>
    </row>
    <row r="8">
      <c r="A8" s="5" t="n">
        <v>7</v>
      </c>
      <c r="B8" s="5" t="n">
        <v>1</v>
      </c>
      <c r="C8" s="5" t="inlineStr">
        <is>
          <t>4 line 5</t>
        </is>
      </c>
      <c r="D8" s="5" t="inlineStr">
        <is>
          <t>Telephone number (include area code):</t>
        </is>
      </c>
      <c r="E8" s="5" t="inlineStr">
        <is>
          <t>topmostSubform[0].Page1[0].T78[1]</t>
        </is>
      </c>
      <c r="F8" s="5" t="inlineStr">
        <is>
          <t>text</t>
        </is>
      </c>
      <c r="G8" s="5" t="inlineStr"/>
      <c r="H8" s="5" t="inlineStr"/>
      <c r="I8" s="5" t="inlineStr">
        <is>
          <t>240, 306, 392, 317</t>
        </is>
      </c>
      <c r="J8" s="5" t="inlineStr">
        <is>
          <t>question</t>
        </is>
      </c>
      <c r="K8" s="5" t="inlineStr">
        <is>
          <t>O28.numbers</t>
        </is>
      </c>
      <c r="L8" s="5">
        <f> O28.numbers[4].phone</f>
        <v/>
      </c>
      <c r="M8" s="5" t="inlineStr">
        <is>
          <t>O28.numbers.length &gt; 4</t>
        </is>
      </c>
      <c r="N8" s="5" t="inlineStr">
        <is>
          <t>DV-100 item 28 holds only 4 numbers; line 5 gets the extra one.</t>
        </is>
      </c>
      <c r="O8" s="5" t="inlineStr"/>
    </row>
    <row r="9">
      <c r="A9" s="5" t="n">
        <v>8</v>
      </c>
      <c r="B9" s="5" t="n">
        <v>1</v>
      </c>
      <c r="C9" s="5" t="inlineStr">
        <is>
          <t>4 line 4</t>
        </is>
      </c>
      <c r="D9" s="5" t="inlineStr">
        <is>
          <t>Telephone number (include area code):</t>
        </is>
      </c>
      <c r="E9" s="5" t="inlineStr">
        <is>
          <t>topmostSubform[0].Page1[0].T78[2]</t>
        </is>
      </c>
      <c r="F9" s="5" t="inlineStr">
        <is>
          <t>text</t>
        </is>
      </c>
      <c r="G9" s="5" t="inlineStr"/>
      <c r="H9" s="5" t="inlineStr"/>
      <c r="I9" s="5" t="inlineStr">
        <is>
          <t>240, 292, 392, 303</t>
        </is>
      </c>
      <c r="J9" s="5" t="inlineStr">
        <is>
          <t>question</t>
        </is>
      </c>
      <c r="K9" s="5" t="inlineStr">
        <is>
          <t>O28.numbers</t>
        </is>
      </c>
      <c r="L9" s="5">
        <f> O28.numbers[3].phone</f>
        <v/>
      </c>
      <c r="M9" s="5" t="inlineStr">
        <is>
          <t>O28.numbers.length &gt; 3</t>
        </is>
      </c>
      <c r="N9" s="5" t="inlineStr"/>
      <c r="O9" s="5" t="inlineStr"/>
    </row>
    <row r="10">
      <c r="A10" s="5" t="n">
        <v>9</v>
      </c>
      <c r="B10" s="5" t="n">
        <v>1</v>
      </c>
      <c r="C10" s="5" t="inlineStr">
        <is>
          <t>4 line 3</t>
        </is>
      </c>
      <c r="D10" s="5" t="inlineStr">
        <is>
          <t>Telephone number (include area code):</t>
        </is>
      </c>
      <c r="E10" s="5" t="inlineStr">
        <is>
          <t>topmostSubform[0].Page1[0].T78[3]</t>
        </is>
      </c>
      <c r="F10" s="5" t="inlineStr">
        <is>
          <t>text</t>
        </is>
      </c>
      <c r="G10" s="5" t="inlineStr"/>
      <c r="H10" s="5" t="inlineStr"/>
      <c r="I10" s="5" t="inlineStr">
        <is>
          <t>240, 278, 392, 289</t>
        </is>
      </c>
      <c r="J10" s="5" t="inlineStr">
        <is>
          <t>question</t>
        </is>
      </c>
      <c r="K10" s="5" t="inlineStr">
        <is>
          <t>O28.numbers</t>
        </is>
      </c>
      <c r="L10" s="5">
        <f> O28.numbers[2].phone</f>
        <v/>
      </c>
      <c r="M10" s="5" t="inlineStr">
        <is>
          <t>O28.numbers.length &gt; 2</t>
        </is>
      </c>
      <c r="N10" s="5" t="inlineStr"/>
      <c r="O10" s="5" t="inlineStr"/>
    </row>
    <row r="11">
      <c r="A11" s="5" t="n">
        <v>10</v>
      </c>
      <c r="B11" s="5" t="n">
        <v>1</v>
      </c>
      <c r="C11" s="5" t="inlineStr">
        <is>
          <t>4 line 2</t>
        </is>
      </c>
      <c r="D11" s="5" t="inlineStr">
        <is>
          <t>Telephone number (include area code):</t>
        </is>
      </c>
      <c r="E11" s="5" t="inlineStr">
        <is>
          <t>topmostSubform[0].Page1[0].T78[4]</t>
        </is>
      </c>
      <c r="F11" s="5" t="inlineStr">
        <is>
          <t>text</t>
        </is>
      </c>
      <c r="G11" s="5" t="inlineStr"/>
      <c r="H11" s="5" t="inlineStr"/>
      <c r="I11" s="5" t="inlineStr">
        <is>
          <t>240, 264, 392, 275</t>
        </is>
      </c>
      <c r="J11" s="5" t="inlineStr">
        <is>
          <t>question</t>
        </is>
      </c>
      <c r="K11" s="5" t="inlineStr">
        <is>
          <t>O28.numbers</t>
        </is>
      </c>
      <c r="L11" s="5">
        <f> O28.numbers[1].phone</f>
        <v/>
      </c>
      <c r="M11" s="5" t="inlineStr">
        <is>
          <t>O28.numbers.length &gt; 1</t>
        </is>
      </c>
      <c r="N11" s="5" t="inlineStr"/>
      <c r="O11" s="5" t="inlineStr"/>
    </row>
    <row r="12">
      <c r="A12" s="6" t="n">
        <v>11</v>
      </c>
      <c r="B12" s="6" t="n">
        <v>1</v>
      </c>
      <c r="C12" s="6" t="inlineStr">
        <is>
          <t>4 more</t>
        </is>
      </c>
      <c r="D12" s="6" t="inlineStr">
        <is>
          <t>Check box to include attachment with additional telephone number(s).</t>
        </is>
      </c>
      <c r="E12" s="6" t="inlineStr">
        <is>
          <t>topmostSubform[0].Page1[0].item4attach_cb[0]</t>
        </is>
      </c>
      <c r="F12" s="6" t="inlineStr">
        <is>
          <t>checkbox</t>
        </is>
      </c>
      <c r="G12" s="6" t="inlineStr">
        <is>
          <t>1</t>
        </is>
      </c>
      <c r="H12" s="6" t="inlineStr"/>
      <c r="I12" s="6" t="inlineStr">
        <is>
          <t>63, 323, 72, 332</t>
        </is>
      </c>
      <c r="J12" s="6" t="inlineStr">
        <is>
          <t>derived</t>
        </is>
      </c>
      <c r="K12" s="6" t="inlineStr">
        <is>
          <t>O28.numbers</t>
        </is>
      </c>
      <c r="L12" s="6" t="inlineStr">
        <is>
          <t>check if O28.numbers.length &gt; 5</t>
        </is>
      </c>
      <c r="M12" s="6" t="inlineStr"/>
      <c r="N12" s="6" t="inlineStr">
        <is>
          <t>Attach a list of the extra numbers.</t>
        </is>
      </c>
      <c r="O12" s="6" t="inlineStr"/>
    </row>
    <row r="13">
      <c r="A13" s="8" t="n">
        <v>12</v>
      </c>
      <c r="B13" s="8" t="n">
        <v>1</v>
      </c>
      <c r="C13" s="8" t="inlineStr">
        <is>
          <t>(court)</t>
        </is>
      </c>
      <c r="D13" s="8" t="inlineStr">
        <is>
          <t>the date the account is transferred by the wireless service provider</t>
        </is>
      </c>
      <c r="E13" s="8" t="inlineStr">
        <is>
          <t>topmostSubform[0].Page1[0].CheckBox1[0]</t>
        </is>
      </c>
      <c r="F13" s="8" t="inlineStr">
        <is>
          <t>checkbox</t>
        </is>
      </c>
      <c r="G13" s="8" t="inlineStr">
        <is>
          <t>1</t>
        </is>
      </c>
      <c r="H13" s="8" t="inlineStr"/>
      <c r="I13" s="8" t="inlineStr">
        <is>
          <t>63, 423, 72, 432</t>
        </is>
      </c>
      <c r="J13" s="8" t="inlineStr">
        <is>
          <t>court/clerk</t>
        </is>
      </c>
      <c r="K13" s="8" t="inlineStr"/>
      <c r="L13" s="8" t="inlineStr"/>
      <c r="M13" s="8" t="inlineStr"/>
      <c r="N13" s="8" t="inlineStr">
        <is>
          <t>Judge or clerk completes.</t>
        </is>
      </c>
      <c r="O13" s="8" t="inlineStr"/>
    </row>
    <row r="14">
      <c r="A14" s="8" t="n">
        <v>13</v>
      </c>
      <c r="B14" s="8" t="n">
        <v>1</v>
      </c>
      <c r="C14" s="8" t="inlineStr">
        <is>
          <t>(court)</t>
        </is>
      </c>
      <c r="D14" s="8" t="inlineStr">
        <is>
          <t>(specify date)</t>
        </is>
      </c>
      <c r="E14" s="8" t="inlineStr">
        <is>
          <t>topmostSubform[0].Page1[0].CheckBox1[1]</t>
        </is>
      </c>
      <c r="F14" s="8" t="inlineStr">
        <is>
          <t>checkbox</t>
        </is>
      </c>
      <c r="G14" s="8" t="inlineStr">
        <is>
          <t>1</t>
        </is>
      </c>
      <c r="H14" s="8" t="inlineStr"/>
      <c r="I14" s="8" t="inlineStr">
        <is>
          <t>63, 438, 72, 447</t>
        </is>
      </c>
      <c r="J14" s="8" t="inlineStr">
        <is>
          <t>court/clerk</t>
        </is>
      </c>
      <c r="K14" s="8" t="inlineStr"/>
      <c r="L14" s="8" t="inlineStr"/>
      <c r="M14" s="8" t="inlineStr"/>
      <c r="N14" s="8" t="inlineStr">
        <is>
          <t>Judge or clerk completes.</t>
        </is>
      </c>
      <c r="O14" s="8" t="inlineStr"/>
    </row>
    <row r="15">
      <c r="A15" s="8" t="n">
        <v>14</v>
      </c>
      <c r="B15" s="8" t="n">
        <v>1</v>
      </c>
      <c r="C15" s="8" t="inlineStr">
        <is>
          <t>(court)</t>
        </is>
      </c>
      <c r="D15" s="8" t="inlineStr">
        <is>
          <t>T188</t>
        </is>
      </c>
      <c r="E15" s="8" t="inlineStr">
        <is>
          <t>topmostSubform[0].Page1[0].T188[1]</t>
        </is>
      </c>
      <c r="F15" s="8" t="inlineStr">
        <is>
          <t>text</t>
        </is>
      </c>
      <c r="G15" s="8" t="inlineStr"/>
      <c r="H15" s="8" t="inlineStr"/>
      <c r="I15" s="8" t="inlineStr">
        <is>
          <t>143, 436, 356, 449</t>
        </is>
      </c>
      <c r="J15" s="8" t="inlineStr">
        <is>
          <t>court/clerk</t>
        </is>
      </c>
      <c r="K15" s="8" t="inlineStr"/>
      <c r="L15" s="8" t="inlineStr"/>
      <c r="M15" s="8" t="inlineStr"/>
      <c r="N15" s="8" t="inlineStr">
        <is>
          <t>Judge or clerk completes.</t>
        </is>
      </c>
      <c r="O15" s="8" t="inlineStr"/>
    </row>
    <row r="16">
      <c r="A16" s="5" t="n">
        <v>15</v>
      </c>
      <c r="B16" s="5" t="n">
        <v>1</v>
      </c>
      <c r="C16" s="5" t="inlineStr">
        <is>
          <t>2</t>
        </is>
      </c>
      <c r="D16" s="5" t="inlineStr">
        <is>
          <t>Current account holder (name):</t>
        </is>
      </c>
      <c r="E16" s="5" t="inlineStr">
        <is>
          <t>topmostSubform[0].Page1[0].T78[5]</t>
        </is>
      </c>
      <c r="F16" s="5" t="inlineStr">
        <is>
          <t>text</t>
        </is>
      </c>
      <c r="G16" s="5" t="inlineStr"/>
      <c r="H16" s="5" t="inlineStr"/>
      <c r="I16" s="5" t="inlineStr">
        <is>
          <t>204, 162, 392, 173</t>
        </is>
      </c>
      <c r="J16" s="5" t="inlineStr">
        <is>
          <t>question</t>
        </is>
      </c>
      <c r="K16" s="5" t="inlineStr">
        <is>
          <t>W2</t>
        </is>
      </c>
      <c r="L16" s="5">
        <f> W2</f>
        <v/>
      </c>
      <c r="M16" s="5" t="inlineStr"/>
      <c r="N16" s="5" t="inlineStr">
        <is>
          <t>Defaults to R1.</t>
        </is>
      </c>
      <c r="O16" s="5" t="inlineStr"/>
    </row>
    <row r="17">
      <c r="A17" s="5" t="n">
        <v>16</v>
      </c>
      <c r="B17" s="5" t="n">
        <v>1</v>
      </c>
      <c r="C17" s="5" t="inlineStr">
        <is>
          <t>3</t>
        </is>
      </c>
      <c r="D17" s="5" t="inlineStr">
        <is>
          <t>New account holder (name):</t>
        </is>
      </c>
      <c r="E17" s="5" t="inlineStr">
        <is>
          <t>topmostSubform[0].Page1[0].T78[6]</t>
        </is>
      </c>
      <c r="F17" s="5" t="inlineStr">
        <is>
          <t>text</t>
        </is>
      </c>
      <c r="G17" s="5" t="inlineStr"/>
      <c r="H17" s="5" t="inlineStr"/>
      <c r="I17" s="5" t="inlineStr">
        <is>
          <t>190, 206, 392, 217</t>
        </is>
      </c>
      <c r="J17" s="5" t="inlineStr">
        <is>
          <t>question</t>
        </is>
      </c>
      <c r="K17" s="5" t="inlineStr">
        <is>
          <t>W4</t>
        </is>
      </c>
      <c r="L17" s="5">
        <f> W4</f>
        <v/>
      </c>
      <c r="M17" s="5" t="inlineStr"/>
      <c r="N17" s="5" t="inlineStr">
        <is>
          <t>Defaults to P1.</t>
        </is>
      </c>
      <c r="O17" s="5" t="inlineStr"/>
    </row>
    <row r="18">
      <c r="A18" s="5" t="n">
        <v>17</v>
      </c>
      <c r="B18" s="5" t="n">
        <v>1</v>
      </c>
      <c r="C18" s="5" t="inlineStr">
        <is>
          <t>2</t>
        </is>
      </c>
      <c r="D18" s="5" t="inlineStr">
        <is>
          <t>Billing telephone number:</t>
        </is>
      </c>
      <c r="E18" s="5" t="inlineStr">
        <is>
          <t>topmostSubform[0].Page1[0].T78[7]</t>
        </is>
      </c>
      <c r="F18" s="5" t="inlineStr">
        <is>
          <t>text</t>
        </is>
      </c>
      <c r="G18" s="5" t="inlineStr"/>
      <c r="H18" s="5" t="inlineStr"/>
      <c r="I18" s="5" t="inlineStr">
        <is>
          <t>180, 180, 382, 191</t>
        </is>
      </c>
      <c r="J18" s="5" t="inlineStr">
        <is>
          <t>question</t>
        </is>
      </c>
      <c r="K18" s="5" t="inlineStr">
        <is>
          <t>W3</t>
        </is>
      </c>
      <c r="L18" s="5">
        <f> W3</f>
        <v/>
      </c>
      <c r="M18" s="5" t="inlineStr"/>
      <c r="N18" s="5" t="inlineStr"/>
      <c r="O18" s="5" t="inlineStr"/>
    </row>
    <row r="19">
      <c r="A19" s="5" t="n">
        <v>18</v>
      </c>
      <c r="B19" s="5" t="n">
        <v>2</v>
      </c>
      <c r="C19" s="5" t="inlineStr">
        <is>
          <t>Caption</t>
        </is>
      </c>
      <c r="D19" s="5" t="inlineStr">
        <is>
          <t>Case Number:</t>
        </is>
      </c>
      <c r="E19" s="5" t="inlineStr">
        <is>
          <t>topmostSubform[0].#subform[1].CaseNumber_ft[0]</t>
        </is>
      </c>
      <c r="F19" s="5" t="inlineStr">
        <is>
          <t>text</t>
        </is>
      </c>
      <c r="G19" s="5" t="inlineStr"/>
      <c r="H19" s="5" t="inlineStr"/>
      <c r="I19" s="5" t="inlineStr">
        <is>
          <t>403, 47, 575, 65</t>
        </is>
      </c>
      <c r="J19" s="5" t="inlineStr">
        <is>
          <t>question</t>
        </is>
      </c>
      <c r="K19" s="5" t="inlineStr">
        <is>
          <t>S3,S4</t>
        </is>
      </c>
      <c r="L19" s="5">
        <f> S4</f>
        <v/>
      </c>
      <c r="M19" s="5" t="inlineStr">
        <is>
          <t>S3 == "update"; otherwise blank for clerk</t>
        </is>
      </c>
      <c r="N19" s="5" t="inlineStr"/>
      <c r="O19" s="5" t="inlineStr"/>
    </row>
    <row r="20">
      <c r="A20" s="8" t="n">
        <v>19</v>
      </c>
      <c r="B20" s="8" t="n">
        <v>2</v>
      </c>
      <c r="C20" s="8" t="inlineStr">
        <is>
          <t>(court)</t>
        </is>
      </c>
      <c r="D20" s="8" t="inlineStr">
        <is>
          <t>Clerk, by</t>
        </is>
      </c>
      <c r="E20" s="8" t="inlineStr">
        <is>
          <t>topmostSubform[0].#subform[1].T54[0]</t>
        </is>
      </c>
      <c r="F20" s="8" t="inlineStr">
        <is>
          <t>text</t>
        </is>
      </c>
      <c r="G20" s="8" t="inlineStr"/>
      <c r="H20" s="8" t="inlineStr"/>
      <c r="I20" s="8" t="inlineStr">
        <is>
          <t>359, 380, 511, 395</t>
        </is>
      </c>
      <c r="J20" s="8" t="inlineStr">
        <is>
          <t>court/clerk</t>
        </is>
      </c>
      <c r="K20" s="8" t="inlineStr"/>
      <c r="L20" s="8" t="inlineStr"/>
      <c r="M20" s="8" t="inlineStr"/>
      <c r="N20" s="8" t="inlineStr">
        <is>
          <t>Judge or clerk completes.</t>
        </is>
      </c>
      <c r="O20" s="8" t="inlineStr"/>
    </row>
    <row r="21">
      <c r="A21" s="8" t="n">
        <v>20</v>
      </c>
      <c r="B21" s="8" t="n">
        <v>2</v>
      </c>
      <c r="C21" s="8" t="inlineStr">
        <is>
          <t>(court)</t>
        </is>
      </c>
      <c r="D21" s="8" t="inlineStr">
        <is>
          <t>Date:</t>
        </is>
      </c>
      <c r="E21" s="8" t="inlineStr">
        <is>
          <t>topmostSubform[0].#subform[1].T57[0]</t>
        </is>
      </c>
      <c r="F21" s="8" t="inlineStr">
        <is>
          <t>text</t>
        </is>
      </c>
      <c r="G21" s="8" t="inlineStr"/>
      <c r="H21" s="8" t="inlineStr"/>
      <c r="I21" s="8" t="inlineStr">
        <is>
          <t>211, 380, 308, 395</t>
        </is>
      </c>
      <c r="J21" s="8" t="inlineStr">
        <is>
          <t>court/clerk</t>
        </is>
      </c>
      <c r="K21" s="8" t="inlineStr"/>
      <c r="L21" s="8" t="inlineStr"/>
      <c r="M21" s="8" t="inlineStr"/>
      <c r="N21" s="8" t="inlineStr">
        <is>
          <t>Judge or clerk completes.</t>
        </is>
      </c>
      <c r="O21" s="8" t="inlineStr"/>
    </row>
    <row r="22">
      <c r="A22" s="7" t="n">
        <v>21</v>
      </c>
      <c r="B22" s="7" t="n">
        <v>2</v>
      </c>
      <c r="C22" s="7" t="inlineStr">
        <is>
          <t>—</t>
        </is>
      </c>
      <c r="D22" s="7" t="inlineStr">
        <is>
          <t>Print this form</t>
        </is>
      </c>
      <c r="E22" s="7" t="inlineStr">
        <is>
          <t>topmostSubform[0].#subform[1].Print_bt[0]</t>
        </is>
      </c>
      <c r="F22" s="7" t="inlineStr">
        <is>
          <t>button</t>
        </is>
      </c>
      <c r="G22" s="7" t="inlineStr"/>
      <c r="H22" s="7" t="inlineStr"/>
      <c r="I22" s="7" t="inlineStr">
        <is>
          <t>258, 766, 339, 783</t>
        </is>
      </c>
      <c r="J22" s="7" t="inlineStr">
        <is>
          <t>ignore (UI button)</t>
        </is>
      </c>
      <c r="K22" s="7" t="inlineStr"/>
      <c r="L22" s="7" t="inlineStr"/>
      <c r="M22" s="7" t="inlineStr"/>
      <c r="N22" s="7" t="inlineStr">
        <is>
          <t>Print/Save/Clear button. Do not fill.</t>
        </is>
      </c>
      <c r="O22" s="7" t="inlineStr"/>
    </row>
    <row r="23">
      <c r="A23" s="7" t="n">
        <v>22</v>
      </c>
      <c r="B23" s="7" t="n">
        <v>2</v>
      </c>
      <c r="C23" s="7" t="inlineStr">
        <is>
          <t>—</t>
        </is>
      </c>
      <c r="D23" s="7" t="inlineStr">
        <is>
          <t>Save this form</t>
        </is>
      </c>
      <c r="E23" s="7" t="inlineStr">
        <is>
          <t>topmostSubform[0].#subform[1].Save_bt[0]</t>
        </is>
      </c>
      <c r="F23" s="7" t="inlineStr">
        <is>
          <t>button</t>
        </is>
      </c>
      <c r="G23" s="7" t="inlineStr"/>
      <c r="H23" s="7" t="inlineStr"/>
      <c r="I23" s="7" t="inlineStr">
        <is>
          <t>345, 766, 426, 783</t>
        </is>
      </c>
      <c r="J23" s="7" t="inlineStr">
        <is>
          <t>ignore (UI button)</t>
        </is>
      </c>
      <c r="K23" s="7" t="inlineStr"/>
      <c r="L23" s="7" t="inlineStr"/>
      <c r="M23" s="7" t="inlineStr"/>
      <c r="N23" s="7" t="inlineStr">
        <is>
          <t>Print/Save/Clear button. Do not fill.</t>
        </is>
      </c>
      <c r="O23" s="7" t="inlineStr"/>
    </row>
    <row r="24">
      <c r="A24" s="7" t="n">
        <v>23</v>
      </c>
      <c r="B24" s="7" t="n">
        <v>2</v>
      </c>
      <c r="C24" s="7" t="inlineStr">
        <is>
          <t>—</t>
        </is>
      </c>
      <c r="D24" s="7" t="inlineStr">
        <is>
          <t>Clear this form</t>
        </is>
      </c>
      <c r="E24" s="7" t="inlineStr">
        <is>
          <t>topmostSubform[0].#subform[1].Reset_bt[0]</t>
        </is>
      </c>
      <c r="F24" s="7" t="inlineStr">
        <is>
          <t>button</t>
        </is>
      </c>
      <c r="G24" s="7" t="inlineStr"/>
      <c r="H24" s="7" t="inlineStr"/>
      <c r="I24" s="7" t="inlineStr">
        <is>
          <t>495, 766, 576, 783</t>
        </is>
      </c>
      <c r="J24" s="7" t="inlineStr">
        <is>
          <t>ignore (UI button)</t>
        </is>
      </c>
      <c r="K24" s="7" t="inlineStr"/>
      <c r="L24" s="7" t="inlineStr"/>
      <c r="M24" s="7" t="inlineStr"/>
      <c r="N24" s="7" t="inlineStr">
        <is>
          <t>Print/Save/Clear button. Do not fill.</t>
        </is>
      </c>
      <c r="O24" s="7" t="inlineStr"/>
    </row>
    <row r="25">
      <c r="A25" s="7" t="n">
        <v>24</v>
      </c>
      <c r="B25" s="7" t="n">
        <v>2</v>
      </c>
      <c r="C25" s="7" t="inlineStr">
        <is>
          <t>—</t>
        </is>
      </c>
      <c r="D25" s="7" t="inlineStr">
        <is>
          <t>For your protection and privacy, please press the Clear This Form button after you have printed the form.</t>
        </is>
      </c>
      <c r="E25" s="7" t="inlineStr">
        <is>
          <t>topmostSubform[0].#subform[1].T23[0]</t>
        </is>
      </c>
      <c r="F25" s="7" t="inlineStr">
        <is>
          <t>button</t>
        </is>
      </c>
      <c r="G25" s="7" t="inlineStr"/>
      <c r="H25" s="7" t="inlineStr"/>
      <c r="I25" s="7" t="inlineStr">
        <is>
          <t>36, 760, 247, 783</t>
        </is>
      </c>
      <c r="J25" s="7" t="inlineStr">
        <is>
          <t>ignore (UI button)</t>
        </is>
      </c>
      <c r="K25" s="7" t="inlineStr"/>
      <c r="L25" s="7" t="inlineStr"/>
      <c r="M25" s="7" t="inlineStr"/>
      <c r="N25" s="7" t="inlineStr">
        <is>
          <t>Print/Save/Clear button. Do not fill.</t>
        </is>
      </c>
      <c r="O25" s="7" t="inlineStr"/>
    </row>
  </sheetData>
  <autoFilter ref="A1:O25"/>
  <dataValidations count="1">
    <dataValidation sqref="J2:J25" showDropDown="0" showInputMessage="0" showErrorMessage="0" allowBlank="1" type="list">
      <formula1>"question,derived,court/clerk,server,ignore (UI button)"</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14"/>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5" t="n">
        <v>1</v>
      </c>
      <c r="B2" s="5" t="n">
        <v>1</v>
      </c>
      <c r="C2" s="5" t="inlineStr">
        <is>
          <t>3d</t>
        </is>
      </c>
      <c r="D2" s="5" t="inlineStr">
        <is>
          <t>OtherSpecify_tf</t>
        </is>
      </c>
      <c r="E2" s="5" t="inlineStr">
        <is>
          <t>topmostSubform[0].Page1[0].OtherSpecify_tf[0]</t>
        </is>
      </c>
      <c r="F2" s="5" t="inlineStr">
        <is>
          <t>text</t>
        </is>
      </c>
      <c r="G2" s="5" t="inlineStr"/>
      <c r="H2" s="5" t="inlineStr"/>
      <c r="I2" s="5" t="inlineStr">
        <is>
          <t>76, 444, 576, 469</t>
        </is>
      </c>
      <c r="J2" s="5" t="inlineStr">
        <is>
          <t>question</t>
        </is>
      </c>
      <c r="K2" s="5" t="inlineStr">
        <is>
          <t>W8</t>
        </is>
      </c>
      <c r="L2" s="5">
        <f> oneLine(W8)</f>
        <v/>
      </c>
      <c r="M2" s="5" t="inlineStr"/>
      <c r="N2" s="5" t="inlineStr">
        <is>
          <t>Field name is a leftover ("OtherSpecify_tf"); it is the item 3d mailing address.</t>
        </is>
      </c>
      <c r="O2" s="5" t="inlineStr"/>
    </row>
    <row r="3">
      <c r="A3" s="5" t="n">
        <v>2</v>
      </c>
      <c r="B3" s="5" t="n">
        <v>1</v>
      </c>
      <c r="C3" s="5" t="inlineStr">
        <is>
          <t>3</t>
        </is>
      </c>
      <c r="D3" s="5" t="inlineStr">
        <is>
          <t>The new account holder (your name):</t>
        </is>
      </c>
      <c r="E3" s="5" t="inlineStr">
        <is>
          <t>topmostSubform[0].Page1[0].T242[0]</t>
        </is>
      </c>
      <c r="F3" s="5" t="inlineStr">
        <is>
          <t>text</t>
        </is>
      </c>
      <c r="G3" s="5" t="inlineStr"/>
      <c r="H3" s="5" t="inlineStr"/>
      <c r="I3" s="5" t="inlineStr">
        <is>
          <t>238, 321, 577, 335</t>
        </is>
      </c>
      <c r="J3" s="5" t="inlineStr">
        <is>
          <t>question</t>
        </is>
      </c>
      <c r="K3" s="5" t="inlineStr">
        <is>
          <t>W4</t>
        </is>
      </c>
      <c r="L3" s="5">
        <f> W4</f>
        <v/>
      </c>
      <c r="M3" s="5" t="inlineStr"/>
      <c r="N3" s="5" t="inlineStr"/>
      <c r="O3" s="5" t="inlineStr"/>
    </row>
    <row r="4">
      <c r="A4" s="5" t="n">
        <v>3</v>
      </c>
      <c r="B4" s="5" t="n">
        <v>1</v>
      </c>
      <c r="C4" s="5" t="inlineStr">
        <is>
          <t>Caption</t>
        </is>
      </c>
      <c r="D4" s="5" t="inlineStr">
        <is>
          <t>Case Number:</t>
        </is>
      </c>
      <c r="E4" s="5" t="inlineStr">
        <is>
          <t>topmostSubform[0].Page1[0].CaseNumber_ft[0]</t>
        </is>
      </c>
      <c r="F4" s="5" t="inlineStr">
        <is>
          <t>text</t>
        </is>
      </c>
      <c r="G4" s="5" t="inlineStr"/>
      <c r="H4" s="5" t="inlineStr"/>
      <c r="I4" s="5" t="inlineStr">
        <is>
          <t>402, 62, 576, 78</t>
        </is>
      </c>
      <c r="J4" s="5" t="inlineStr">
        <is>
          <t>question</t>
        </is>
      </c>
      <c r="K4" s="5" t="inlineStr">
        <is>
          <t>X0</t>
        </is>
      </c>
      <c r="L4" s="5">
        <f> X0</f>
        <v/>
      </c>
      <c r="M4" s="5" t="inlineStr"/>
      <c r="N4" s="5" t="inlineStr"/>
      <c r="O4" s="5" t="inlineStr"/>
    </row>
    <row r="5">
      <c r="A5" s="5" t="n">
        <v>4</v>
      </c>
      <c r="B5" s="5" t="n">
        <v>1</v>
      </c>
      <c r="C5" s="5" t="inlineStr">
        <is>
          <t>Caption</t>
        </is>
      </c>
      <c r="D5" s="5" t="inlineStr">
        <is>
          <t>Your name:</t>
        </is>
      </c>
      <c r="E5" s="5" t="inlineStr">
        <is>
          <t>topmostSubform[0].Page1[0].YourName[0]</t>
        </is>
      </c>
      <c r="F5" s="5" t="inlineStr">
        <is>
          <t>text</t>
        </is>
      </c>
      <c r="G5" s="5" t="inlineStr"/>
      <c r="H5" s="5" t="inlineStr"/>
      <c r="I5" s="5" t="inlineStr">
        <is>
          <t>98, 62, 394, 78</t>
        </is>
      </c>
      <c r="J5" s="5" t="inlineStr">
        <is>
          <t>question</t>
        </is>
      </c>
      <c r="K5" s="5" t="inlineStr">
        <is>
          <t>P1</t>
        </is>
      </c>
      <c r="L5" s="5">
        <f> P1</f>
        <v/>
      </c>
      <c r="M5" s="5" t="inlineStr"/>
      <c r="N5" s="5" t="inlineStr"/>
      <c r="O5" s="5" t="inlineStr"/>
    </row>
    <row r="6">
      <c r="A6" s="5" t="n">
        <v>5</v>
      </c>
      <c r="B6" s="5" t="n">
        <v>1</v>
      </c>
      <c r="C6" s="5" t="inlineStr">
        <is>
          <t>3a</t>
        </is>
      </c>
      <c r="D6" s="5" t="inlineStr">
        <is>
          <t>The best phone number to reach you at is (list a phone number that is not controlled by the restrained person):</t>
        </is>
      </c>
      <c r="E6" s="5" t="inlineStr">
        <is>
          <t>topmostSubform[0].Page1[0].ChildStreet[0]</t>
        </is>
      </c>
      <c r="F6" s="5" t="inlineStr">
        <is>
          <t>text</t>
        </is>
      </c>
      <c r="G6" s="5" t="inlineStr"/>
      <c r="H6" s="5" t="inlineStr"/>
      <c r="I6" s="5" t="inlineStr">
        <is>
          <t>75, 379, 575, 393</t>
        </is>
      </c>
      <c r="J6" s="5" t="inlineStr">
        <is>
          <t>question</t>
        </is>
      </c>
      <c r="K6" s="5" t="inlineStr">
        <is>
          <t>W5</t>
        </is>
      </c>
      <c r="L6" s="5">
        <f> W5</f>
        <v/>
      </c>
      <c r="M6" s="5" t="inlineStr"/>
      <c r="N6" s="5" t="inlineStr">
        <is>
          <t>Must not be a phone the respondent controls.</t>
        </is>
      </c>
      <c r="O6" s="5" t="inlineStr"/>
    </row>
    <row r="7">
      <c r="A7" s="5" t="n">
        <v>6</v>
      </c>
      <c r="B7" s="5" t="n">
        <v>1</v>
      </c>
      <c r="C7" s="5" t="inlineStr">
        <is>
          <t>3b</t>
        </is>
      </c>
      <c r="D7" s="5" t="inlineStr">
        <is>
          <t>Another phone number to reach you at is (list a phone number that is not controlled by the restrained person):</t>
        </is>
      </c>
      <c r="E7" s="5" t="inlineStr">
        <is>
          <t>topmostSubform[0].Page1[0].ChildStreet[1]</t>
        </is>
      </c>
      <c r="F7" s="5" t="inlineStr">
        <is>
          <t>text</t>
        </is>
      </c>
      <c r="G7" s="5" t="inlineStr"/>
      <c r="H7" s="5" t="inlineStr"/>
      <c r="I7" s="5" t="inlineStr">
        <is>
          <t>75, 409, 575, 421</t>
        </is>
      </c>
      <c r="J7" s="5" t="inlineStr">
        <is>
          <t>question</t>
        </is>
      </c>
      <c r="K7" s="5" t="inlineStr">
        <is>
          <t>W6</t>
        </is>
      </c>
      <c r="L7" s="5">
        <f> W6</f>
        <v/>
      </c>
      <c r="M7" s="5" t="inlineStr"/>
      <c r="N7" s="5" t="inlineStr"/>
      <c r="O7" s="5" t="inlineStr"/>
    </row>
    <row r="8">
      <c r="A8" s="5" t="n">
        <v>7</v>
      </c>
      <c r="B8" s="5" t="n">
        <v>1</v>
      </c>
      <c r="C8" s="5" t="inlineStr">
        <is>
          <t>3c</t>
        </is>
      </c>
      <c r="D8" s="5" t="inlineStr">
        <is>
          <t>E-mail address:</t>
        </is>
      </c>
      <c r="E8" s="5" t="inlineStr">
        <is>
          <t>topmostSubform[0].Page1[0].ChildStreet[2]</t>
        </is>
      </c>
      <c r="F8" s="5" t="inlineStr">
        <is>
          <t>text</t>
        </is>
      </c>
      <c r="G8" s="5" t="inlineStr"/>
      <c r="H8" s="5" t="inlineStr"/>
      <c r="I8" s="5" t="inlineStr">
        <is>
          <t>145, 426, 575, 438</t>
        </is>
      </c>
      <c r="J8" s="5" t="inlineStr">
        <is>
          <t>question</t>
        </is>
      </c>
      <c r="K8" s="5" t="inlineStr">
        <is>
          <t>W7</t>
        </is>
      </c>
      <c r="L8" s="5">
        <f> W7</f>
        <v/>
      </c>
      <c r="M8" s="5" t="inlineStr"/>
      <c r="N8" s="5" t="inlineStr"/>
      <c r="O8" s="5" t="inlineStr"/>
    </row>
    <row r="9">
      <c r="A9" s="5" t="n">
        <v>8</v>
      </c>
      <c r="B9" s="5" t="n">
        <v>1</v>
      </c>
      <c r="C9" s="5" t="inlineStr">
        <is>
          <t>1</t>
        </is>
      </c>
      <c r="D9" s="5" t="inlineStr">
        <is>
          <t>The service provider is (name of company):</t>
        </is>
      </c>
      <c r="E9" s="5" t="inlineStr">
        <is>
          <t>topmostSubform[0].Page1[0].T242[4]</t>
        </is>
      </c>
      <c r="F9" s="5" t="inlineStr">
        <is>
          <t>text</t>
        </is>
      </c>
      <c r="G9" s="5" t="inlineStr"/>
      <c r="H9" s="5" t="inlineStr"/>
      <c r="I9" s="5" t="inlineStr">
        <is>
          <t>255, 270, 577, 285</t>
        </is>
      </c>
      <c r="J9" s="5" t="inlineStr">
        <is>
          <t>question</t>
        </is>
      </c>
      <c r="K9" s="5" t="inlineStr">
        <is>
          <t>W1</t>
        </is>
      </c>
      <c r="L9" s="5">
        <f> W1</f>
        <v/>
      </c>
      <c r="M9" s="5" t="inlineStr"/>
      <c r="N9" s="5" t="inlineStr"/>
      <c r="O9" s="5" t="inlineStr"/>
    </row>
    <row r="10">
      <c r="A10" s="5" t="n">
        <v>9</v>
      </c>
      <c r="B10" s="5" t="n">
        <v>1</v>
      </c>
      <c r="C10" s="5" t="inlineStr">
        <is>
          <t>2</t>
        </is>
      </c>
      <c r="D10" s="5" t="inlineStr">
        <is>
          <t>The current account holder (name of restrained person):</t>
        </is>
      </c>
      <c r="E10" s="5" t="inlineStr">
        <is>
          <t>topmostSubform[0].Page1[0].ChildStreet[3]</t>
        </is>
      </c>
      <c r="F10" s="5" t="inlineStr">
        <is>
          <t>text</t>
        </is>
      </c>
      <c r="G10" s="5" t="inlineStr"/>
      <c r="H10" s="5" t="inlineStr"/>
      <c r="I10" s="5" t="inlineStr">
        <is>
          <t>319, 296, 577, 309</t>
        </is>
      </c>
      <c r="J10" s="5" t="inlineStr">
        <is>
          <t>question</t>
        </is>
      </c>
      <c r="K10" s="5" t="inlineStr">
        <is>
          <t>W2</t>
        </is>
      </c>
      <c r="L10" s="5">
        <f> W2</f>
        <v/>
      </c>
      <c r="M10" s="5" t="inlineStr"/>
      <c r="N10" s="5" t="inlineStr"/>
      <c r="O10" s="5" t="inlineStr"/>
    </row>
    <row r="11">
      <c r="A11" s="7" t="n">
        <v>10</v>
      </c>
      <c r="B11" s="7" t="n">
        <v>1</v>
      </c>
      <c r="C11" s="7" t="inlineStr">
        <is>
          <t>—</t>
        </is>
      </c>
      <c r="D11" s="7" t="inlineStr">
        <is>
          <t>Print this form</t>
        </is>
      </c>
      <c r="E11" s="7" t="inlineStr">
        <is>
          <t>topmostSubform[0].Page1[0].Print_bt[0]</t>
        </is>
      </c>
      <c r="F11" s="7" t="inlineStr">
        <is>
          <t>button</t>
        </is>
      </c>
      <c r="G11" s="7" t="inlineStr"/>
      <c r="H11" s="7" t="inlineStr"/>
      <c r="I11" s="7" t="inlineStr">
        <is>
          <t>258, 765, 339, 782</t>
        </is>
      </c>
      <c r="J11" s="7" t="inlineStr">
        <is>
          <t>ignore (UI button)</t>
        </is>
      </c>
      <c r="K11" s="7" t="inlineStr"/>
      <c r="L11" s="7" t="inlineStr"/>
      <c r="M11" s="7" t="inlineStr"/>
      <c r="N11" s="7" t="inlineStr">
        <is>
          <t>Print/Save/Clear button. Do not fill.</t>
        </is>
      </c>
      <c r="O11" s="7" t="inlineStr"/>
    </row>
    <row r="12">
      <c r="A12" s="7" t="n">
        <v>11</v>
      </c>
      <c r="B12" s="7" t="n">
        <v>1</v>
      </c>
      <c r="C12" s="7" t="inlineStr">
        <is>
          <t>—</t>
        </is>
      </c>
      <c r="D12" s="7" t="inlineStr">
        <is>
          <t>Save this form</t>
        </is>
      </c>
      <c r="E12" s="7" t="inlineStr">
        <is>
          <t>topmostSubform[0].Page1[0].Save_bt[0]</t>
        </is>
      </c>
      <c r="F12" s="7" t="inlineStr">
        <is>
          <t>button</t>
        </is>
      </c>
      <c r="G12" s="7" t="inlineStr"/>
      <c r="H12" s="7" t="inlineStr"/>
      <c r="I12" s="7" t="inlineStr">
        <is>
          <t>345, 765, 426, 782</t>
        </is>
      </c>
      <c r="J12" s="7" t="inlineStr">
        <is>
          <t>ignore (UI button)</t>
        </is>
      </c>
      <c r="K12" s="7" t="inlineStr"/>
      <c r="L12" s="7" t="inlineStr"/>
      <c r="M12" s="7" t="inlineStr"/>
      <c r="N12" s="7" t="inlineStr">
        <is>
          <t>Print/Save/Clear button. Do not fill.</t>
        </is>
      </c>
      <c r="O12" s="7" t="inlineStr"/>
    </row>
    <row r="13">
      <c r="A13" s="7" t="n">
        <v>12</v>
      </c>
      <c r="B13" s="7" t="n">
        <v>1</v>
      </c>
      <c r="C13" s="7" t="inlineStr">
        <is>
          <t>—</t>
        </is>
      </c>
      <c r="D13" s="7" t="inlineStr">
        <is>
          <t>Clear this form</t>
        </is>
      </c>
      <c r="E13" s="7" t="inlineStr">
        <is>
          <t>topmostSubform[0].Page1[0].Reset_bt[0]</t>
        </is>
      </c>
      <c r="F13" s="7" t="inlineStr">
        <is>
          <t>button</t>
        </is>
      </c>
      <c r="G13" s="7" t="inlineStr"/>
      <c r="H13" s="7" t="inlineStr"/>
      <c r="I13" s="7" t="inlineStr">
        <is>
          <t>495, 765, 576, 782</t>
        </is>
      </c>
      <c r="J13" s="7" t="inlineStr">
        <is>
          <t>ignore (UI button)</t>
        </is>
      </c>
      <c r="K13" s="7" t="inlineStr"/>
      <c r="L13" s="7" t="inlineStr"/>
      <c r="M13" s="7" t="inlineStr"/>
      <c r="N13" s="7" t="inlineStr">
        <is>
          <t>Print/Save/Clear button. Do not fill.</t>
        </is>
      </c>
      <c r="O13" s="7" t="inlineStr"/>
    </row>
    <row r="14">
      <c r="A14" s="7" t="n">
        <v>13</v>
      </c>
      <c r="B14" s="7" t="n">
        <v>1</v>
      </c>
      <c r="C14" s="7" t="inlineStr">
        <is>
          <t>—</t>
        </is>
      </c>
      <c r="D14" s="7" t="inlineStr">
        <is>
          <t>For your protection and privacy, please press the Clear This Form button after you have printed the form.</t>
        </is>
      </c>
      <c r="E14" s="7" t="inlineStr">
        <is>
          <t>topmostSubform[0].Page1[0].T23[0]</t>
        </is>
      </c>
      <c r="F14" s="7" t="inlineStr">
        <is>
          <t>button</t>
        </is>
      </c>
      <c r="G14" s="7" t="inlineStr"/>
      <c r="H14" s="7" t="inlineStr"/>
      <c r="I14" s="7" t="inlineStr">
        <is>
          <t>36, 759, 247, 782</t>
        </is>
      </c>
      <c r="J14" s="7" t="inlineStr">
        <is>
          <t>ignore (UI button)</t>
        </is>
      </c>
      <c r="K14" s="7" t="inlineStr"/>
      <c r="L14" s="7" t="inlineStr"/>
      <c r="M14" s="7" t="inlineStr"/>
      <c r="N14" s="7" t="inlineStr">
        <is>
          <t>Print/Save/Clear button. Do not fill.</t>
        </is>
      </c>
      <c r="O14" s="7" t="inlineStr"/>
    </row>
  </sheetData>
  <autoFilter ref="A1:O14"/>
  <dataValidations count="1">
    <dataValidation sqref="J2:J14" showDropDown="0" showInputMessage="0" showErrorMessage="0" allowBlank="1" type="list">
      <formula1>"question,derived,court/clerk,server,ignore (UI button)"</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67"/>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5" t="n">
        <v>1</v>
      </c>
      <c r="B2" s="5" t="n">
        <v>1</v>
      </c>
      <c r="C2" s="5" t="inlineStr">
        <is>
          <t>Caption</t>
        </is>
      </c>
      <c r="D2" s="5" t="inlineStr">
        <is>
          <t>STATE BAR NUMBER:</t>
        </is>
      </c>
      <c r="E2" s="5" t="inlineStr">
        <is>
          <t>FL-150[0].Page1[0].StdP1Header_sf[0].AttyInfo[0].BarNo_ft[0]</t>
        </is>
      </c>
      <c r="F2" s="5" t="inlineStr">
        <is>
          <t>text</t>
        </is>
      </c>
      <c r="G2" s="5" t="inlineStr"/>
      <c r="H2" s="5" t="inlineStr"/>
      <c r="I2" s="5" t="inlineStr">
        <is>
          <t>308, 48, 394, 57</t>
        </is>
      </c>
      <c r="J2" s="5" t="inlineStr">
        <is>
          <t>question</t>
        </is>
      </c>
      <c r="K2" s="5" t="inlineStr">
        <is>
          <t>L2</t>
        </is>
      </c>
      <c r="L2" s="5">
        <f> L2</f>
        <v/>
      </c>
      <c r="M2" s="5" t="inlineStr">
        <is>
          <t>S5 == "Y"</t>
        </is>
      </c>
      <c r="N2" s="5" t="inlineStr"/>
      <c r="O2" s="5" t="inlineStr"/>
    </row>
    <row r="3">
      <c r="A3" s="5" t="n">
        <v>2</v>
      </c>
      <c r="B3" s="5" t="n">
        <v>1</v>
      </c>
      <c r="C3" s="5" t="inlineStr">
        <is>
          <t>Caption</t>
        </is>
      </c>
      <c r="D3" s="5" t="inlineStr">
        <is>
          <t>NAME:</t>
        </is>
      </c>
      <c r="E3" s="5" t="inlineStr">
        <is>
          <t>FL-150[0].Page1[0].StdP1Header_sf[0].AttyInfo[0].AttyName_ft[0]</t>
        </is>
      </c>
      <c r="F3" s="5" t="inlineStr">
        <is>
          <t>text</t>
        </is>
      </c>
      <c r="G3" s="5" t="inlineStr"/>
      <c r="H3" s="5" t="inlineStr"/>
      <c r="I3" s="5" t="inlineStr">
        <is>
          <t>58, 59, 394, 68</t>
        </is>
      </c>
      <c r="J3" s="5" t="inlineStr">
        <is>
          <t>question</t>
        </is>
      </c>
      <c r="K3" s="5" t="inlineStr">
        <is>
          <t>S5,L1,P1</t>
        </is>
      </c>
      <c r="L3" s="5">
        <f> S5=="Y" ? L1 : P1</f>
        <v/>
      </c>
      <c r="M3" s="5" t="inlineStr"/>
      <c r="N3" s="5" t="inlineStr"/>
      <c r="O3" s="5" t="inlineStr"/>
    </row>
    <row r="4">
      <c r="A4" s="5" t="n">
        <v>3</v>
      </c>
      <c r="B4" s="5" t="n">
        <v>1</v>
      </c>
      <c r="C4" s="5" t="inlineStr">
        <is>
          <t>Caption</t>
        </is>
      </c>
      <c r="D4" s="5" t="inlineStr">
        <is>
          <t>FIRM NAME:</t>
        </is>
      </c>
      <c r="E4" s="5" t="inlineStr">
        <is>
          <t>FL-150[0].Page1[0].StdP1Header_sf[0].AttyInfo[0].AttyFirm_ft[0]</t>
        </is>
      </c>
      <c r="F4" s="5" t="inlineStr">
        <is>
          <t>text</t>
        </is>
      </c>
      <c r="G4" s="5" t="inlineStr"/>
      <c r="H4" s="5" t="inlineStr"/>
      <c r="I4" s="5" t="inlineStr">
        <is>
          <t>73, 71, 394, 80</t>
        </is>
      </c>
      <c r="J4" s="5" t="inlineStr">
        <is>
          <t>question</t>
        </is>
      </c>
      <c r="K4" s="5" t="inlineStr">
        <is>
          <t>L3</t>
        </is>
      </c>
      <c r="L4" s="5">
        <f> L3</f>
        <v/>
      </c>
      <c r="M4" s="5" t="inlineStr">
        <is>
          <t>S5 == "Y"</t>
        </is>
      </c>
      <c r="N4" s="5" t="inlineStr"/>
      <c r="O4" s="5" t="inlineStr"/>
    </row>
    <row r="5">
      <c r="A5" s="5" t="n">
        <v>4</v>
      </c>
      <c r="B5" s="5" t="n">
        <v>1</v>
      </c>
      <c r="C5" s="5" t="inlineStr">
        <is>
          <t>Caption</t>
        </is>
      </c>
      <c r="D5" s="5" t="inlineStr">
        <is>
          <t>STREET ADDRESS:</t>
        </is>
      </c>
      <c r="E5" s="5" t="inlineStr">
        <is>
          <t>FL-150[0].Page1[0].StdP1Header_sf[0].AttyInfo[0].AttyStreet_ft[0]</t>
        </is>
      </c>
      <c r="F5" s="5" t="inlineStr">
        <is>
          <t>text</t>
        </is>
      </c>
      <c r="G5" s="5" t="inlineStr"/>
      <c r="H5" s="5" t="inlineStr"/>
      <c r="I5" s="5" t="inlineStr">
        <is>
          <t>95, 83, 394, 92</t>
        </is>
      </c>
      <c r="J5" s="5" t="inlineStr">
        <is>
          <t>question</t>
        </is>
      </c>
      <c r="K5" s="5" t="inlineStr">
        <is>
          <t>S5,L4,P6</t>
        </is>
      </c>
      <c r="L5" s="5">
        <f> S5=="Y" ? L4.street : P6.street</f>
        <v/>
      </c>
      <c r="M5" s="5" t="inlineStr"/>
      <c r="N5" s="5" t="inlineStr"/>
      <c r="O5" s="5" t="inlineStr"/>
    </row>
    <row r="6">
      <c r="A6" s="5" t="n">
        <v>5</v>
      </c>
      <c r="B6" s="5" t="n">
        <v>1</v>
      </c>
      <c r="C6" s="5" t="inlineStr">
        <is>
          <t>Caption</t>
        </is>
      </c>
      <c r="D6" s="5" t="inlineStr">
        <is>
          <t>CITY:</t>
        </is>
      </c>
      <c r="E6" s="5" t="inlineStr">
        <is>
          <t>FL-150[0].Page1[0].StdP1Header_sf[0].AttyInfo[0].AttyCity_ft[0]</t>
        </is>
      </c>
      <c r="F6" s="5" t="inlineStr">
        <is>
          <t>text</t>
        </is>
      </c>
      <c r="G6" s="5" t="inlineStr"/>
      <c r="H6" s="5" t="inlineStr"/>
      <c r="I6" s="5" t="inlineStr">
        <is>
          <t>53, 94, 240, 103</t>
        </is>
      </c>
      <c r="J6" s="5" t="inlineStr">
        <is>
          <t>question</t>
        </is>
      </c>
      <c r="K6" s="5" t="inlineStr">
        <is>
          <t>S5,L4,P6</t>
        </is>
      </c>
      <c r="L6" s="5">
        <f> S5=="Y" ? L4.city : P6.city</f>
        <v/>
      </c>
      <c r="M6" s="5" t="inlineStr"/>
      <c r="N6" s="5" t="inlineStr"/>
      <c r="O6" s="5" t="inlineStr"/>
    </row>
    <row r="7">
      <c r="A7" s="5" t="n">
        <v>6</v>
      </c>
      <c r="B7" s="5" t="n">
        <v>1</v>
      </c>
      <c r="C7" s="5" t="inlineStr">
        <is>
          <t>Caption</t>
        </is>
      </c>
      <c r="D7" s="5" t="inlineStr">
        <is>
          <t>STATE:</t>
        </is>
      </c>
      <c r="E7" s="5" t="inlineStr">
        <is>
          <t>FL-150[0].Page1[0].StdP1Header_sf[0].AttyInfo[0].AttyState_ft[0]</t>
        </is>
      </c>
      <c r="F7" s="5" t="inlineStr">
        <is>
          <t>text</t>
        </is>
      </c>
      <c r="G7" s="5" t="inlineStr"/>
      <c r="H7" s="5" t="n">
        <v>2</v>
      </c>
      <c r="I7" s="5" t="inlineStr">
        <is>
          <t>263, 94, 293, 103</t>
        </is>
      </c>
      <c r="J7" s="5" t="inlineStr">
        <is>
          <t>question</t>
        </is>
      </c>
      <c r="K7" s="5" t="inlineStr">
        <is>
          <t>S5,L4,P6</t>
        </is>
      </c>
      <c r="L7" s="5">
        <f> S5=="Y" ? L4.state : P6.state</f>
        <v/>
      </c>
      <c r="M7" s="5" t="inlineStr"/>
      <c r="N7" s="5" t="inlineStr"/>
      <c r="O7" s="5" t="inlineStr"/>
    </row>
    <row r="8">
      <c r="A8" s="5" t="n">
        <v>7</v>
      </c>
      <c r="B8" s="5" t="n">
        <v>1</v>
      </c>
      <c r="C8" s="5" t="inlineStr">
        <is>
          <t>Caption</t>
        </is>
      </c>
      <c r="D8" s="5" t="inlineStr">
        <is>
          <t>ZIP CODE:</t>
        </is>
      </c>
      <c r="E8" s="5" t="inlineStr">
        <is>
          <t>FL-150[0].Page1[0].StdP1Header_sf[0].AttyInfo[0].AttyZip_ft[0]</t>
        </is>
      </c>
      <c r="F8" s="5" t="inlineStr">
        <is>
          <t>text</t>
        </is>
      </c>
      <c r="G8" s="5" t="inlineStr"/>
      <c r="H8" s="5" t="inlineStr"/>
      <c r="I8" s="5" t="inlineStr">
        <is>
          <t>327, 94, 394, 103</t>
        </is>
      </c>
      <c r="J8" s="5" t="inlineStr">
        <is>
          <t>question</t>
        </is>
      </c>
      <c r="K8" s="5" t="inlineStr">
        <is>
          <t>S5,L4,P6</t>
        </is>
      </c>
      <c r="L8" s="5">
        <f> S5=="Y" ? L4.zip : P6.zip</f>
        <v/>
      </c>
      <c r="M8" s="5" t="inlineStr"/>
      <c r="N8" s="5" t="inlineStr"/>
      <c r="O8" s="5" t="inlineStr"/>
    </row>
    <row r="9">
      <c r="A9" s="5" t="n">
        <v>8</v>
      </c>
      <c r="B9" s="5" t="n">
        <v>1</v>
      </c>
      <c r="C9" s="5" t="inlineStr">
        <is>
          <t>Caption</t>
        </is>
      </c>
      <c r="D9" s="5" t="inlineStr">
        <is>
          <t>TELEPHONE NO.:</t>
        </is>
      </c>
      <c r="E9" s="5" t="inlineStr">
        <is>
          <t>FL-150[0].Page1[0].StdP1Header_sf[0].AttyInfo[0].Phone_ft[0]</t>
        </is>
      </c>
      <c r="F9" s="5" t="inlineStr">
        <is>
          <t>text</t>
        </is>
      </c>
      <c r="G9" s="5" t="inlineStr"/>
      <c r="H9" s="5" t="inlineStr"/>
      <c r="I9" s="5" t="inlineStr">
        <is>
          <t>89, 106, 216, 115</t>
        </is>
      </c>
      <c r="J9" s="5" t="inlineStr">
        <is>
          <t>question</t>
        </is>
      </c>
      <c r="K9" s="5" t="inlineStr">
        <is>
          <t>S5,L5,P7</t>
        </is>
      </c>
      <c r="L9" s="5">
        <f> S5=="Y" ? L5.phone : P7</f>
        <v/>
      </c>
      <c r="M9" s="5" t="inlineStr"/>
      <c r="N9" s="5" t="inlineStr"/>
      <c r="O9" s="5" t="inlineStr"/>
    </row>
    <row r="10">
      <c r="A10" s="5" t="n">
        <v>9</v>
      </c>
      <c r="B10" s="5" t="n">
        <v>1</v>
      </c>
      <c r="C10" s="5" t="inlineStr">
        <is>
          <t>Caption</t>
        </is>
      </c>
      <c r="D10" s="5" t="inlineStr">
        <is>
          <t>FAX NO.:</t>
        </is>
      </c>
      <c r="E10" s="5" t="inlineStr">
        <is>
          <t>FL-150[0].Page1[0].StdP1Header_sf[0].AttyInfo[0].Fax_ft[0]</t>
        </is>
      </c>
      <c r="F10" s="5" t="inlineStr">
        <is>
          <t>text</t>
        </is>
      </c>
      <c r="G10" s="5" t="inlineStr"/>
      <c r="H10" s="5" t="inlineStr"/>
      <c r="I10" s="5" t="inlineStr">
        <is>
          <t>264, 106, 394, 115</t>
        </is>
      </c>
      <c r="J10" s="5" t="inlineStr">
        <is>
          <t>question</t>
        </is>
      </c>
      <c r="K10" s="5" t="inlineStr">
        <is>
          <t>S5,L5,P8</t>
        </is>
      </c>
      <c r="L10" s="5">
        <f> S5=="Y" ? L5.fax : P8.fax</f>
        <v/>
      </c>
      <c r="M10" s="5" t="inlineStr"/>
      <c r="N10" s="5" t="inlineStr"/>
      <c r="O10" s="5" t="inlineStr"/>
    </row>
    <row r="11">
      <c r="A11" s="5" t="n">
        <v>10</v>
      </c>
      <c r="B11" s="5" t="n">
        <v>1</v>
      </c>
      <c r="C11" s="5" t="inlineStr">
        <is>
          <t>Caption</t>
        </is>
      </c>
      <c r="D11" s="5" t="inlineStr">
        <is>
          <t>E-MAIL ADDRESS:</t>
        </is>
      </c>
      <c r="E11" s="5" t="inlineStr">
        <is>
          <t>FL-150[0].Page1[0].StdP1Header_sf[0].AttyInfo[0].Email_ft[0]</t>
        </is>
      </c>
      <c r="F11" s="5" t="inlineStr">
        <is>
          <t>text</t>
        </is>
      </c>
      <c r="G11" s="5" t="inlineStr"/>
      <c r="H11" s="5" t="inlineStr"/>
      <c r="I11" s="5" t="inlineStr">
        <is>
          <t>91, 117, 394, 126</t>
        </is>
      </c>
      <c r="J11" s="5" t="inlineStr">
        <is>
          <t>question</t>
        </is>
      </c>
      <c r="K11" s="5" t="inlineStr">
        <is>
          <t>S5,L5,P8</t>
        </is>
      </c>
      <c r="L11" s="5">
        <f> S5=="Y" ? L5.email : P8.email</f>
        <v/>
      </c>
      <c r="M11" s="5" t="inlineStr"/>
      <c r="N11" s="5" t="inlineStr"/>
      <c r="O11" s="5" t="inlineStr"/>
    </row>
    <row r="12">
      <c r="A12" s="5" t="n">
        <v>11</v>
      </c>
      <c r="B12" s="5" t="n">
        <v>1</v>
      </c>
      <c r="C12" s="5" t="inlineStr">
        <is>
          <t>Caption</t>
        </is>
      </c>
      <c r="D12" s="5" t="inlineStr">
        <is>
          <t>ATTORNEY FOR (name):</t>
        </is>
      </c>
      <c r="E12" s="5" t="inlineStr">
        <is>
          <t>FL-150[0].Page1[0].StdP1Header_sf[0].AttyInfo[0].AttyFor_ft[0]</t>
        </is>
      </c>
      <c r="F12" s="5" t="inlineStr">
        <is>
          <t>text</t>
        </is>
      </c>
      <c r="G12" s="5" t="inlineStr"/>
      <c r="H12" s="5" t="inlineStr"/>
      <c r="I12" s="5" t="inlineStr">
        <is>
          <t>107, 129, 394, 138</t>
        </is>
      </c>
      <c r="J12" s="5" t="inlineStr">
        <is>
          <t>question</t>
        </is>
      </c>
      <c r="K12" s="5" t="inlineStr">
        <is>
          <t>S5,P1</t>
        </is>
      </c>
      <c r="L12" s="5">
        <f> S5=="Y" ? P1 : "Self-represented"</f>
        <v/>
      </c>
      <c r="M12" s="5" t="inlineStr"/>
      <c r="N12" s="5" t="inlineStr"/>
      <c r="O12" s="5" t="inlineStr"/>
    </row>
    <row r="13">
      <c r="A13" s="6" t="n">
        <v>12</v>
      </c>
      <c r="B13" s="6" t="n">
        <v>1</v>
      </c>
      <c r="C13" s="6" t="inlineStr">
        <is>
          <t>Caption</t>
        </is>
      </c>
      <c r="D13" s="6" t="inlineStr">
        <is>
          <t>SUPERIOR COURT OF CALIFORNIA, COUNTY OF</t>
        </is>
      </c>
      <c r="E13" s="6" t="inlineStr">
        <is>
          <t>FL-150[0].Page1[0].StdP1Header_sf[0].CourtInfo[0].CrtCounty_ft[0]</t>
        </is>
      </c>
      <c r="F13" s="6" t="inlineStr">
        <is>
          <t>text</t>
        </is>
      </c>
      <c r="G13" s="6" t="inlineStr"/>
      <c r="H13" s="6" t="inlineStr"/>
      <c r="I13" s="6" t="inlineStr">
        <is>
          <t>227, 144, 394, 153</t>
        </is>
      </c>
      <c r="J13" s="6" t="inlineStr">
        <is>
          <t>derived</t>
        </is>
      </c>
      <c r="K13" s="6" t="inlineStr">
        <is>
          <t>S1</t>
        </is>
      </c>
      <c r="L13" s="6">
        <f> S1.countyName</f>
        <v/>
      </c>
      <c r="M13" s="6" t="inlineStr"/>
      <c r="N13" s="6" t="inlineStr"/>
      <c r="O13" s="6" t="inlineStr"/>
    </row>
    <row r="14">
      <c r="A14" s="6" t="n">
        <v>13</v>
      </c>
      <c r="B14" s="6" t="n">
        <v>1</v>
      </c>
      <c r="C14" s="6" t="inlineStr">
        <is>
          <t>Caption</t>
        </is>
      </c>
      <c r="D14" s="6" t="inlineStr">
        <is>
          <t>STREET ADDRESS:</t>
        </is>
      </c>
      <c r="E14" s="6" t="inlineStr">
        <is>
          <t>FL-150[0].Page1[0].StdP1Header_sf[0].CourtInfo[0].Street_ft[0]</t>
        </is>
      </c>
      <c r="F14" s="6" t="inlineStr">
        <is>
          <t>text</t>
        </is>
      </c>
      <c r="G14" s="6" t="inlineStr"/>
      <c r="H14" s="6" t="inlineStr"/>
      <c r="I14" s="6" t="inlineStr">
        <is>
          <t>97, 155, 394, 164</t>
        </is>
      </c>
      <c r="J14" s="6" t="inlineStr">
        <is>
          <t>derived</t>
        </is>
      </c>
      <c r="K14" s="6" t="inlineStr">
        <is>
          <t>S1,S2</t>
        </is>
      </c>
      <c r="L14" s="6">
        <f> courthouse(S1,S2).streetAddress</f>
        <v/>
      </c>
      <c r="M14" s="6" t="inlineStr"/>
      <c r="N14" s="6" t="inlineStr"/>
      <c r="O14" s="6" t="inlineStr"/>
    </row>
    <row r="15">
      <c r="A15" s="6" t="n">
        <v>14</v>
      </c>
      <c r="B15" s="6" t="n">
        <v>1</v>
      </c>
      <c r="C15" s="6" t="inlineStr">
        <is>
          <t>Caption</t>
        </is>
      </c>
      <c r="D15" s="6" t="inlineStr">
        <is>
          <t>MAILING ADDRESS:</t>
        </is>
      </c>
      <c r="E15" s="6" t="inlineStr">
        <is>
          <t>FL-150[0].Page1[0].StdP1Header_sf[0].CourtInfo[0].MailingAdd_ft[0]</t>
        </is>
      </c>
      <c r="F15" s="6" t="inlineStr">
        <is>
          <t>text</t>
        </is>
      </c>
      <c r="G15" s="6" t="inlineStr"/>
      <c r="H15" s="6" t="inlineStr"/>
      <c r="I15" s="6" t="inlineStr">
        <is>
          <t>97, 166, 394, 175</t>
        </is>
      </c>
      <c r="J15" s="6" t="inlineStr">
        <is>
          <t>derived</t>
        </is>
      </c>
      <c r="K15" s="6" t="inlineStr">
        <is>
          <t>S1,S2</t>
        </is>
      </c>
      <c r="L15" s="6">
        <f> courthouse(S1,S2).mailingAddress</f>
        <v/>
      </c>
      <c r="M15" s="6" t="inlineStr"/>
      <c r="N15" s="6" t="inlineStr"/>
      <c r="O15" s="6" t="inlineStr"/>
    </row>
    <row r="16">
      <c r="A16" s="6" t="n">
        <v>15</v>
      </c>
      <c r="B16" s="6" t="n">
        <v>1</v>
      </c>
      <c r="C16" s="6" t="inlineStr">
        <is>
          <t>Caption</t>
        </is>
      </c>
      <c r="D16" s="6" t="inlineStr">
        <is>
          <t>CITY AND ZIP CODE:</t>
        </is>
      </c>
      <c r="E16" s="6" t="inlineStr">
        <is>
          <t>FL-150[0].Page1[0].StdP1Header_sf[0].CourtInfo[0].CityZip_ft[0]</t>
        </is>
      </c>
      <c r="F16" s="6" t="inlineStr">
        <is>
          <t>text</t>
        </is>
      </c>
      <c r="G16" s="6" t="inlineStr"/>
      <c r="H16" s="6" t="inlineStr"/>
      <c r="I16" s="6" t="inlineStr">
        <is>
          <t>97, 177, 394, 186</t>
        </is>
      </c>
      <c r="J16" s="6" t="inlineStr">
        <is>
          <t>derived</t>
        </is>
      </c>
      <c r="K16" s="6" t="inlineStr">
        <is>
          <t>S1,S2</t>
        </is>
      </c>
      <c r="L16" s="6">
        <f> courthouse(S1,S2).cityZip</f>
        <v/>
      </c>
      <c r="M16" s="6" t="inlineStr"/>
      <c r="N16" s="6" t="inlineStr"/>
      <c r="O16" s="6" t="inlineStr"/>
    </row>
    <row r="17">
      <c r="A17" s="6" t="n">
        <v>16</v>
      </c>
      <c r="B17" s="6" t="n">
        <v>1</v>
      </c>
      <c r="C17" s="6" t="inlineStr">
        <is>
          <t>Caption</t>
        </is>
      </c>
      <c r="D17" s="6" t="inlineStr">
        <is>
          <t>BRANCH NAME:</t>
        </is>
      </c>
      <c r="E17" s="6" t="inlineStr">
        <is>
          <t>FL-150[0].Page1[0].StdP1Header_sf[0].CourtInfo[0].Branch_ft[0]</t>
        </is>
      </c>
      <c r="F17" s="6" t="inlineStr">
        <is>
          <t>text</t>
        </is>
      </c>
      <c r="G17" s="6" t="inlineStr"/>
      <c r="H17" s="6" t="inlineStr"/>
      <c r="I17" s="6" t="inlineStr">
        <is>
          <t>96, 188, 394, 197</t>
        </is>
      </c>
      <c r="J17" s="6" t="inlineStr">
        <is>
          <t>derived</t>
        </is>
      </c>
      <c r="K17" s="6" t="inlineStr">
        <is>
          <t>S1,S2</t>
        </is>
      </c>
      <c r="L17" s="6">
        <f> courthouse(S1,S2).branchName</f>
        <v/>
      </c>
      <c r="M17" s="6" t="inlineStr"/>
      <c r="N17" s="6" t="inlineStr"/>
      <c r="O17" s="6" t="inlineStr"/>
    </row>
    <row r="18">
      <c r="A18" s="5" t="n">
        <v>17</v>
      </c>
      <c r="B18" s="5" t="n">
        <v>1</v>
      </c>
      <c r="C18" s="5" t="inlineStr">
        <is>
          <t>Caption</t>
        </is>
      </c>
      <c r="D18" s="5" t="inlineStr">
        <is>
          <t>PETITIONER:</t>
        </is>
      </c>
      <c r="E18" s="5" t="inlineStr">
        <is>
          <t>FL-150[0].Page1[0].StdP1Header_sf[0].TitlePartyName[0].Party1_ft[0]</t>
        </is>
      </c>
      <c r="F18" s="5" t="inlineStr">
        <is>
          <t>text</t>
        </is>
      </c>
      <c r="G18" s="5" t="inlineStr"/>
      <c r="H18" s="5" t="inlineStr"/>
      <c r="I18" s="5" t="inlineStr">
        <is>
          <t>180, 203, 394, 212</t>
        </is>
      </c>
      <c r="J18" s="5" t="inlineStr">
        <is>
          <t>question</t>
        </is>
      </c>
      <c r="K18" s="5" t="inlineStr">
        <is>
          <t>P1</t>
        </is>
      </c>
      <c r="L18" s="5">
        <f> P1</f>
        <v/>
      </c>
      <c r="M18" s="5" t="inlineStr"/>
      <c r="N18" s="5" t="inlineStr"/>
      <c r="O18" s="5" t="inlineStr"/>
    </row>
    <row r="19">
      <c r="A19" s="5" t="n">
        <v>18</v>
      </c>
      <c r="B19" s="5" t="n">
        <v>1</v>
      </c>
      <c r="C19" s="5" t="inlineStr">
        <is>
          <t>Caption</t>
        </is>
      </c>
      <c r="D19" s="5" t="inlineStr">
        <is>
          <t>RESPONDENT:</t>
        </is>
      </c>
      <c r="E19" s="5" t="inlineStr">
        <is>
          <t>FL-150[0].Page1[0].StdP1Header_sf[0].TitlePartyName[0].Party2_ft[0]</t>
        </is>
      </c>
      <c r="F19" s="5" t="inlineStr">
        <is>
          <t>text</t>
        </is>
      </c>
      <c r="G19" s="5" t="inlineStr"/>
      <c r="H19" s="5" t="inlineStr"/>
      <c r="I19" s="5" t="inlineStr">
        <is>
          <t>180, 217, 394, 226</t>
        </is>
      </c>
      <c r="J19" s="5" t="inlineStr">
        <is>
          <t>question</t>
        </is>
      </c>
      <c r="K19" s="5" t="inlineStr">
        <is>
          <t>R1</t>
        </is>
      </c>
      <c r="L19" s="5">
        <f> R1</f>
        <v/>
      </c>
      <c r="M19" s="5" t="inlineStr"/>
      <c r="N19" s="5" t="inlineStr"/>
      <c r="O19" s="5" t="inlineStr"/>
    </row>
    <row r="20">
      <c r="A20" s="5" t="n">
        <v>19</v>
      </c>
      <c r="B20" s="5" t="n">
        <v>1</v>
      </c>
      <c r="C20" s="5" t="inlineStr">
        <is>
          <t>Caption</t>
        </is>
      </c>
      <c r="D20" s="5" t="inlineStr">
        <is>
          <t>OTHER PARTY/PARENT/CLAIMANT:</t>
        </is>
      </c>
      <c r="E20" s="5" t="inlineStr">
        <is>
          <t>FL-150[0].Page1[0].StdP1Header_sf[0].TitlePartyName[0].Party3_ft[0]</t>
        </is>
      </c>
      <c r="F20" s="5" t="inlineStr">
        <is>
          <t>text</t>
        </is>
      </c>
      <c r="G20" s="5" t="inlineStr"/>
      <c r="H20" s="5" t="inlineStr"/>
      <c r="I20" s="5" t="inlineStr">
        <is>
          <t>181, 230, 394, 239</t>
        </is>
      </c>
      <c r="J20" s="5" t="inlineStr">
        <is>
          <t>question</t>
        </is>
      </c>
      <c r="K20" s="5" t="inlineStr">
        <is>
          <t>PR13</t>
        </is>
      </c>
      <c r="L20" s="5">
        <f> PR13.name</f>
        <v/>
      </c>
      <c r="M20" s="5" t="inlineStr">
        <is>
          <t>PR13 given</t>
        </is>
      </c>
      <c r="N20" s="5" t="inlineStr"/>
      <c r="O20" s="5" t="inlineStr"/>
    </row>
    <row r="21">
      <c r="A21" s="5" t="n">
        <v>20</v>
      </c>
      <c r="B21" s="5" t="n">
        <v>1</v>
      </c>
      <c r="C21" s="5" t="inlineStr">
        <is>
          <t>Caption</t>
        </is>
      </c>
      <c r="D21" s="5" t="inlineStr">
        <is>
          <t>CASE NUMBER:</t>
        </is>
      </c>
      <c r="E21" s="5" t="inlineStr">
        <is>
          <t>FL-150[0].Page1[0].StdP1Header_sf[0].CaseNumber[0].CaseNumber_ft[0]</t>
        </is>
      </c>
      <c r="F21" s="5" t="inlineStr">
        <is>
          <t>text</t>
        </is>
      </c>
      <c r="G21" s="5" t="inlineStr"/>
      <c r="H21" s="5" t="inlineStr"/>
      <c r="I21" s="5" t="inlineStr">
        <is>
          <t>400, 252, 572, 268</t>
        </is>
      </c>
      <c r="J21" s="5" t="inlineStr">
        <is>
          <t>question</t>
        </is>
      </c>
      <c r="K21" s="5" t="inlineStr">
        <is>
          <t>S4,X0</t>
        </is>
      </c>
      <c r="L21" s="5">
        <f> X0 ?? S4</f>
        <v/>
      </c>
      <c r="M21" s="5" t="inlineStr">
        <is>
          <t>known; otherwise blank for clerk</t>
        </is>
      </c>
      <c r="N21" s="5" t="inlineStr"/>
      <c r="O21" s="5" t="inlineStr"/>
    </row>
    <row r="22">
      <c r="A22" s="5" t="n">
        <v>21</v>
      </c>
      <c r="B22" s="5" t="n">
        <v>1</v>
      </c>
      <c r="C22" s="5" t="inlineStr">
        <is>
          <t>1a</t>
        </is>
      </c>
      <c r="D22" s="5" t="inlineStr">
        <is>
          <t>Employer:</t>
        </is>
      </c>
      <c r="E22" s="5" t="inlineStr">
        <is>
          <t>FL-150[0].Page1[0].List1[0].Li1[0].Employer_tf[0]</t>
        </is>
      </c>
      <c r="F22" s="5" t="inlineStr">
        <is>
          <t>text</t>
        </is>
      </c>
      <c r="G22" s="5" t="inlineStr"/>
      <c r="H22" s="5" t="inlineStr"/>
      <c r="I22" s="5" t="inlineStr">
        <is>
          <t>160, 288, 574, 297</t>
        </is>
      </c>
      <c r="J22" s="5" t="inlineStr">
        <is>
          <t>question</t>
        </is>
      </c>
      <c r="K22" s="5" t="inlineStr">
        <is>
          <t>F4</t>
        </is>
      </c>
      <c r="L22" s="5">
        <f> F4.employer</f>
        <v/>
      </c>
      <c r="M22" s="5" t="inlineStr"/>
      <c r="N22" s="5" t="inlineStr"/>
      <c r="O22" s="5" t="inlineStr"/>
    </row>
    <row r="23">
      <c r="A23" s="5" t="n">
        <v>22</v>
      </c>
      <c r="B23" s="5" t="n">
        <v>1</v>
      </c>
      <c r="C23" s="5" t="inlineStr">
        <is>
          <t>1b</t>
        </is>
      </c>
      <c r="D23" s="5" t="inlineStr">
        <is>
          <t>Employer's address:</t>
        </is>
      </c>
      <c r="E23" s="5" t="inlineStr">
        <is>
          <t>FL-150[0].Page1[0].List1[0].Li2[0].Employer_address_tf[0]</t>
        </is>
      </c>
      <c r="F23" s="5" t="inlineStr">
        <is>
          <t>text</t>
        </is>
      </c>
      <c r="G23" s="5" t="inlineStr"/>
      <c r="H23" s="5" t="inlineStr"/>
      <c r="I23" s="5" t="inlineStr">
        <is>
          <t>199, 300, 574, 309</t>
        </is>
      </c>
      <c r="J23" s="5" t="inlineStr">
        <is>
          <t>question</t>
        </is>
      </c>
      <c r="K23" s="5" t="inlineStr">
        <is>
          <t>F4</t>
        </is>
      </c>
      <c r="L23" s="5">
        <f> F4.employerAddress</f>
        <v/>
      </c>
      <c r="M23" s="5" t="inlineStr"/>
      <c r="N23" s="5" t="inlineStr"/>
      <c r="O23" s="5" t="inlineStr"/>
    </row>
    <row r="24">
      <c r="A24" s="5" t="n">
        <v>23</v>
      </c>
      <c r="B24" s="5" t="n">
        <v>1</v>
      </c>
      <c r="C24" s="5" t="inlineStr">
        <is>
          <t>1c</t>
        </is>
      </c>
      <c r="D24" s="5" t="inlineStr">
        <is>
          <t>Employer's phone number:</t>
        </is>
      </c>
      <c r="E24" s="5" t="inlineStr">
        <is>
          <t>FL-150[0].Page1[0].List1[0].Li3[0].Employer_phone\.ft[0]</t>
        </is>
      </c>
      <c r="F24" s="5" t="inlineStr">
        <is>
          <t>text</t>
        </is>
      </c>
      <c r="G24" s="5" t="inlineStr"/>
      <c r="H24" s="5" t="inlineStr"/>
      <c r="I24" s="5" t="inlineStr">
        <is>
          <t>227, 312, 575, 322</t>
        </is>
      </c>
      <c r="J24" s="5" t="inlineStr">
        <is>
          <t>question</t>
        </is>
      </c>
      <c r="K24" s="5" t="inlineStr">
        <is>
          <t>F4</t>
        </is>
      </c>
      <c r="L24" s="5">
        <f> F4.employerPhone</f>
        <v/>
      </c>
      <c r="M24" s="5" t="inlineStr"/>
      <c r="N24" s="5" t="inlineStr"/>
      <c r="O24" s="5" t="inlineStr"/>
    </row>
    <row r="25">
      <c r="A25" s="5" t="n">
        <v>24</v>
      </c>
      <c r="B25" s="5" t="n">
        <v>1</v>
      </c>
      <c r="C25" s="5" t="inlineStr">
        <is>
          <t>1d</t>
        </is>
      </c>
      <c r="D25" s="5" t="inlineStr">
        <is>
          <t>Occupation:</t>
        </is>
      </c>
      <c r="E25" s="5" t="inlineStr">
        <is>
          <t>FL-150[0].Page1[0].List1[0].Li4[0].Party_occupation_tf[0]</t>
        </is>
      </c>
      <c r="F25" s="5" t="inlineStr">
        <is>
          <t>text</t>
        </is>
      </c>
      <c r="G25" s="5" t="inlineStr"/>
      <c r="H25" s="5" t="inlineStr"/>
      <c r="I25" s="5" t="inlineStr">
        <is>
          <t>167, 325, 574, 334</t>
        </is>
      </c>
      <c r="J25" s="5" t="inlineStr">
        <is>
          <t>question</t>
        </is>
      </c>
      <c r="K25" s="5" t="inlineStr">
        <is>
          <t>F4</t>
        </is>
      </c>
      <c r="L25" s="5">
        <f> F4.occupation</f>
        <v/>
      </c>
      <c r="M25" s="5" t="inlineStr"/>
      <c r="N25" s="5" t="inlineStr"/>
      <c r="O25" s="5" t="inlineStr"/>
    </row>
    <row r="26">
      <c r="A26" s="5" t="n">
        <v>25</v>
      </c>
      <c r="B26" s="5" t="n">
        <v>1</v>
      </c>
      <c r="C26" s="5" t="inlineStr">
        <is>
          <t>1e</t>
        </is>
      </c>
      <c r="D26" s="5" t="inlineStr">
        <is>
          <t>Date job started:</t>
        </is>
      </c>
      <c r="E26" s="5" t="inlineStr">
        <is>
          <t>FL-150[0].Page1[0].List1[0].Li5[0].Date_started_job_tf[0]</t>
        </is>
      </c>
      <c r="F26" s="5" t="inlineStr">
        <is>
          <t>text</t>
        </is>
      </c>
      <c r="G26" s="5" t="inlineStr"/>
      <c r="H26" s="5" t="inlineStr"/>
      <c r="I26" s="5" t="inlineStr">
        <is>
          <t>185, 337, 574, 346</t>
        </is>
      </c>
      <c r="J26" s="5" t="inlineStr">
        <is>
          <t>question</t>
        </is>
      </c>
      <c r="K26" s="5" t="inlineStr">
        <is>
          <t>F4</t>
        </is>
      </c>
      <c r="L26" s="5">
        <f> fmtDate(F4.startDate)</f>
        <v/>
      </c>
      <c r="M26" s="5" t="inlineStr"/>
      <c r="N26" s="5" t="inlineStr"/>
      <c r="O26" s="5" t="inlineStr"/>
    </row>
    <row r="27">
      <c r="A27" s="5" t="n">
        <v>26</v>
      </c>
      <c r="B27" s="5" t="n">
        <v>1</v>
      </c>
      <c r="C27" s="5" t="inlineStr">
        <is>
          <t>1f</t>
        </is>
      </c>
      <c r="D27" s="5" t="inlineStr">
        <is>
          <t>If unemployed, date job ended:</t>
        </is>
      </c>
      <c r="E27" s="5" t="inlineStr">
        <is>
          <t>FL-150[0].Page1[0].List1[0].Li6[0].FillText1[0]</t>
        </is>
      </c>
      <c r="F27" s="5" t="inlineStr">
        <is>
          <t>text</t>
        </is>
      </c>
      <c r="G27" s="5" t="inlineStr"/>
      <c r="H27" s="5" t="inlineStr"/>
      <c r="I27" s="5" t="inlineStr">
        <is>
          <t>243, 349, 575, 358</t>
        </is>
      </c>
      <c r="J27" s="5" t="inlineStr">
        <is>
          <t>question</t>
        </is>
      </c>
      <c r="K27" s="5" t="inlineStr">
        <is>
          <t>F4</t>
        </is>
      </c>
      <c r="L27" s="5">
        <f> fmtDate(F4.endDate)</f>
        <v/>
      </c>
      <c r="M27" s="5" t="inlineStr"/>
      <c r="N27" s="5" t="inlineStr"/>
      <c r="O27" s="5" t="inlineStr"/>
    </row>
    <row r="28">
      <c r="A28" s="5" t="n">
        <v>27</v>
      </c>
      <c r="B28" s="5" t="n">
        <v>1</v>
      </c>
      <c r="C28" s="5" t="inlineStr">
        <is>
          <t>1g</t>
        </is>
      </c>
      <c r="D28" s="5" t="inlineStr">
        <is>
          <t>Number of hours per week that I work</t>
        </is>
      </c>
      <c r="E28" s="5" t="inlineStr">
        <is>
          <t>FL-150[0].Page1[0].List1[0].Li7[0].hours_tf[0]</t>
        </is>
      </c>
      <c r="F28" s="5" t="inlineStr">
        <is>
          <t>text</t>
        </is>
      </c>
      <c r="G28" s="5" t="inlineStr"/>
      <c r="H28" s="5" t="inlineStr"/>
      <c r="I28" s="5" t="inlineStr">
        <is>
          <t>169, 361, 240, 370</t>
        </is>
      </c>
      <c r="J28" s="5" t="inlineStr">
        <is>
          <t>question</t>
        </is>
      </c>
      <c r="K28" s="5" t="inlineStr">
        <is>
          <t>F4</t>
        </is>
      </c>
      <c r="L28" s="5">
        <f> F4.hoursPerWeek</f>
        <v/>
      </c>
      <c r="M28" s="5" t="inlineStr"/>
      <c r="N28" s="5" t="inlineStr"/>
      <c r="O28" s="5" t="inlineStr"/>
    </row>
    <row r="29">
      <c r="A29" s="5" t="n">
        <v>28</v>
      </c>
      <c r="B29" s="5" t="n">
        <v>1</v>
      </c>
      <c r="C29" s="5" t="inlineStr">
        <is>
          <t>1h</t>
        </is>
      </c>
      <c r="D29" s="5" t="inlineStr">
        <is>
          <t>I get paid $</t>
        </is>
      </c>
      <c r="E29" s="5" t="inlineStr">
        <is>
          <t>FL-150[0].Page1[0].List1[0].Li8[0].gross_tf[0]</t>
        </is>
      </c>
      <c r="F29" s="5" t="inlineStr">
        <is>
          <t>text</t>
        </is>
      </c>
      <c r="G29" s="5" t="inlineStr"/>
      <c r="H29" s="5" t="inlineStr"/>
      <c r="I29" s="5" t="inlineStr">
        <is>
          <t>161, 373, 223, 382</t>
        </is>
      </c>
      <c r="J29" s="5" t="inlineStr">
        <is>
          <t>question</t>
        </is>
      </c>
      <c r="K29" s="5" t="inlineStr">
        <is>
          <t>F4</t>
        </is>
      </c>
      <c r="L29" s="5">
        <f> money(F4.pay)</f>
        <v/>
      </c>
      <c r="M29" s="5" t="inlineStr"/>
      <c r="N29" s="5" t="inlineStr"/>
      <c r="O29" s="5" t="inlineStr"/>
    </row>
    <row r="30">
      <c r="A30" s="5" t="n">
        <v>29</v>
      </c>
      <c r="B30" s="5" t="n">
        <v>1</v>
      </c>
      <c r="C30" s="5" t="inlineStr">
        <is>
          <t>1h</t>
        </is>
      </c>
      <c r="D30" s="5" t="inlineStr">
        <is>
          <t>per month</t>
        </is>
      </c>
      <c r="E30" s="5" t="inlineStr">
        <is>
          <t>FL-150[0].Page1[0].List1[0].Li8[0].Gross_cb[0]</t>
        </is>
      </c>
      <c r="F30" s="5" t="inlineStr">
        <is>
          <t>checkbox</t>
        </is>
      </c>
      <c r="G30" s="5" t="inlineStr">
        <is>
          <t>2</t>
        </is>
      </c>
      <c r="H30" s="5" t="inlineStr"/>
      <c r="I30" s="5" t="inlineStr">
        <is>
          <t>317, 373, 326, 382</t>
        </is>
      </c>
      <c r="J30" s="5" t="inlineStr">
        <is>
          <t>question</t>
        </is>
      </c>
      <c r="K30" s="5" t="inlineStr">
        <is>
          <t>F4</t>
        </is>
      </c>
      <c r="L30" s="5" t="inlineStr">
        <is>
          <t>check if F4.payPeriod == "month"</t>
        </is>
      </c>
      <c r="M30" s="5" t="inlineStr"/>
      <c r="N30" s="5" t="inlineStr">
        <is>
          <t>Exports 2 / 5 / 8.</t>
        </is>
      </c>
      <c r="O30" s="5" t="inlineStr"/>
    </row>
    <row r="31">
      <c r="A31" s="5" t="n">
        <v>30</v>
      </c>
      <c r="B31" s="5" t="n">
        <v>1</v>
      </c>
      <c r="C31" s="5" t="inlineStr">
        <is>
          <t>1h</t>
        </is>
      </c>
      <c r="D31" s="5" t="inlineStr">
        <is>
          <t>per week</t>
        </is>
      </c>
      <c r="E31" s="5" t="inlineStr">
        <is>
          <t>FL-150[0].Page1[0].List1[0].Li8[0].Gross_cb[1]</t>
        </is>
      </c>
      <c r="F31" s="5" t="inlineStr">
        <is>
          <t>checkbox</t>
        </is>
      </c>
      <c r="G31" s="5" t="inlineStr">
        <is>
          <t>5</t>
        </is>
      </c>
      <c r="H31" s="5" t="inlineStr"/>
      <c r="I31" s="5" t="inlineStr">
        <is>
          <t>397, 373, 406, 382</t>
        </is>
      </c>
      <c r="J31" s="5" t="inlineStr">
        <is>
          <t>question</t>
        </is>
      </c>
      <c r="K31" s="5" t="inlineStr">
        <is>
          <t>F4</t>
        </is>
      </c>
      <c r="L31" s="5" t="inlineStr">
        <is>
          <t>check if F4.payPeriod == "week"</t>
        </is>
      </c>
      <c r="M31" s="5" t="inlineStr"/>
      <c r="N31" s="5" t="inlineStr"/>
      <c r="O31" s="5" t="inlineStr"/>
    </row>
    <row r="32">
      <c r="A32" s="5" t="n">
        <v>31</v>
      </c>
      <c r="B32" s="5" t="n">
        <v>1</v>
      </c>
      <c r="C32" s="5" t="inlineStr">
        <is>
          <t>1h</t>
        </is>
      </c>
      <c r="D32" s="5" t="inlineStr">
        <is>
          <t>per hour.</t>
        </is>
      </c>
      <c r="E32" s="5" t="inlineStr">
        <is>
          <t>FL-150[0].Page1[0].List1[0].Li8[0].Gross_cb[2]</t>
        </is>
      </c>
      <c r="F32" s="5" t="inlineStr">
        <is>
          <t>checkbox</t>
        </is>
      </c>
      <c r="G32" s="5" t="inlineStr">
        <is>
          <t>8</t>
        </is>
      </c>
      <c r="H32" s="5" t="inlineStr"/>
      <c r="I32" s="5" t="inlineStr">
        <is>
          <t>473, 373, 482, 382</t>
        </is>
      </c>
      <c r="J32" s="5" t="inlineStr">
        <is>
          <t>question</t>
        </is>
      </c>
      <c r="K32" s="5" t="inlineStr">
        <is>
          <t>F4</t>
        </is>
      </c>
      <c r="L32" s="5" t="inlineStr">
        <is>
          <t>check if F4.payPeriod == "hour"</t>
        </is>
      </c>
      <c r="M32" s="5" t="inlineStr"/>
      <c r="N32" s="5" t="inlineStr"/>
      <c r="O32" s="5" t="inlineStr"/>
    </row>
    <row r="33">
      <c r="A33" s="6" t="n">
        <v>32</v>
      </c>
      <c r="B33" s="6" t="n">
        <v>1</v>
      </c>
      <c r="C33" s="6" t="inlineStr">
        <is>
          <t>2a</t>
        </is>
      </c>
      <c r="D33" s="6" t="inlineStr">
        <is>
          <t>My age is (specify):</t>
        </is>
      </c>
      <c r="E33" s="6" t="inlineStr">
        <is>
          <t>FL-150[0].Page1[0].List2[0].Li1[0].FillText1[0]</t>
        </is>
      </c>
      <c r="F33" s="6" t="inlineStr">
        <is>
          <t>text</t>
        </is>
      </c>
      <c r="G33" s="6" t="inlineStr"/>
      <c r="H33" s="6" t="inlineStr"/>
      <c r="I33" s="6" t="inlineStr">
        <is>
          <t>147, 431, 293, 440</t>
        </is>
      </c>
      <c r="J33" s="6" t="inlineStr">
        <is>
          <t>derived</t>
        </is>
      </c>
      <c r="K33" s="6" t="inlineStr">
        <is>
          <t>P2,P3</t>
        </is>
      </c>
      <c r="L33" s="6">
        <f> P2 ? age(P2, asOf) : P3</f>
        <v/>
      </c>
      <c r="M33" s="6" t="inlineStr"/>
      <c r="N33" s="6" t="inlineStr"/>
      <c r="O33" s="6" t="inlineStr"/>
    </row>
    <row r="34">
      <c r="A34" s="5" t="n">
        <v>33</v>
      </c>
      <c r="B34" s="5" t="n">
        <v>1</v>
      </c>
      <c r="C34" s="5" t="inlineStr">
        <is>
          <t>2b</t>
        </is>
      </c>
      <c r="D34" s="5" t="inlineStr">
        <is>
          <t>Yes</t>
        </is>
      </c>
      <c r="E34" s="5" t="inlineStr">
        <is>
          <t>FL-150[0].Page1[0].List2[0].Li2[0].HSchl_cb[0]</t>
        </is>
      </c>
      <c r="F34" s="5" t="inlineStr">
        <is>
          <t>checkbox</t>
        </is>
      </c>
      <c r="G34" s="5" t="inlineStr">
        <is>
          <t>2</t>
        </is>
      </c>
      <c r="H34" s="5" t="inlineStr"/>
      <c r="I34" s="5" t="inlineStr">
        <is>
          <t>271, 444, 280, 453</t>
        </is>
      </c>
      <c r="J34" s="5" t="inlineStr">
        <is>
          <t>question</t>
        </is>
      </c>
      <c r="K34" s="5" t="inlineStr">
        <is>
          <t>F5</t>
        </is>
      </c>
      <c r="L34" s="5" t="inlineStr">
        <is>
          <t>check if F5.highSchool == "Y"</t>
        </is>
      </c>
      <c r="M34" s="5" t="inlineStr"/>
      <c r="N34" s="5" t="inlineStr"/>
      <c r="O34" s="5" t="inlineStr"/>
    </row>
    <row r="35">
      <c r="A35" s="5" t="n">
        <v>34</v>
      </c>
      <c r="B35" s="5" t="n">
        <v>1</v>
      </c>
      <c r="C35" s="5" t="inlineStr">
        <is>
          <t>2b</t>
        </is>
      </c>
      <c r="D35" s="5" t="inlineStr">
        <is>
          <t>No</t>
        </is>
      </c>
      <c r="E35" s="5" t="inlineStr">
        <is>
          <t>FL-150[0].Page1[0].List2[0].Li2[0].HSchl_cb[1]</t>
        </is>
      </c>
      <c r="F35" s="5" t="inlineStr">
        <is>
          <t>checkbox</t>
        </is>
      </c>
      <c r="G35" s="5" t="inlineStr">
        <is>
          <t>5</t>
        </is>
      </c>
      <c r="H35" s="5" t="inlineStr"/>
      <c r="I35" s="5" t="inlineStr">
        <is>
          <t>327, 444, 336, 453</t>
        </is>
      </c>
      <c r="J35" s="5" t="inlineStr">
        <is>
          <t>question</t>
        </is>
      </c>
      <c r="K35" s="5" t="inlineStr">
        <is>
          <t>F5</t>
        </is>
      </c>
      <c r="L35" s="5" t="inlineStr">
        <is>
          <t>check if F5.highSchool == "N"</t>
        </is>
      </c>
      <c r="M35" s="5" t="inlineStr"/>
      <c r="N35" s="5" t="inlineStr"/>
      <c r="O35" s="5" t="inlineStr"/>
    </row>
    <row r="36">
      <c r="A36" s="5" t="n">
        <v>35</v>
      </c>
      <c r="B36" s="5" t="n">
        <v>1</v>
      </c>
      <c r="C36" s="5" t="inlineStr">
        <is>
          <t>2b</t>
        </is>
      </c>
      <c r="D36" s="5" t="inlineStr">
        <is>
          <t>If no, highest grade completed (specify):</t>
        </is>
      </c>
      <c r="E36" s="5" t="inlineStr">
        <is>
          <t>FL-150[0].Page1[0].List2[0].Li2[0].FillText1[0]</t>
        </is>
      </c>
      <c r="F36" s="5" t="inlineStr">
        <is>
          <t>text</t>
        </is>
      </c>
      <c r="G36" s="5" t="inlineStr"/>
      <c r="H36" s="5" t="inlineStr"/>
      <c r="I36" s="5" t="inlineStr">
        <is>
          <t>544, 444, 576, 453</t>
        </is>
      </c>
      <c r="J36" s="5" t="inlineStr">
        <is>
          <t>question</t>
        </is>
      </c>
      <c r="K36" s="5" t="inlineStr">
        <is>
          <t>F5</t>
        </is>
      </c>
      <c r="L36" s="5">
        <f> F5.highestGrade</f>
        <v/>
      </c>
      <c r="M36" s="5" t="inlineStr">
        <is>
          <t>F5.highSchool == "N"</t>
        </is>
      </c>
      <c r="N36" s="5" t="inlineStr"/>
      <c r="O36" s="5" t="inlineStr"/>
    </row>
    <row r="37">
      <c r="A37" s="5" t="n">
        <v>36</v>
      </c>
      <c r="B37" s="5" t="n">
        <v>1</v>
      </c>
      <c r="C37" s="5" t="inlineStr">
        <is>
          <t>2c</t>
        </is>
      </c>
      <c r="D37" s="5" t="inlineStr">
        <is>
          <t>Number of years of college completed (specify):</t>
        </is>
      </c>
      <c r="E37" s="5" t="inlineStr">
        <is>
          <t>FL-150[0].Page1[0].List2[0].Li3[0].FillText1[0]</t>
        </is>
      </c>
      <c r="F37" s="5" t="inlineStr">
        <is>
          <t>text</t>
        </is>
      </c>
      <c r="G37" s="5" t="inlineStr"/>
      <c r="H37" s="5" t="inlineStr"/>
      <c r="I37" s="5" t="inlineStr">
        <is>
          <t>260, 459, 292, 468</t>
        </is>
      </c>
      <c r="J37" s="5" t="inlineStr">
        <is>
          <t>question</t>
        </is>
      </c>
      <c r="K37" s="5" t="inlineStr">
        <is>
          <t>F5</t>
        </is>
      </c>
      <c r="L37" s="5">
        <f> F5.collegeYears</f>
        <v/>
      </c>
      <c r="M37" s="5" t="inlineStr"/>
      <c r="N37" s="5" t="inlineStr"/>
      <c r="O37" s="5" t="inlineStr"/>
    </row>
    <row r="38">
      <c r="A38" s="5" t="n">
        <v>37</v>
      </c>
      <c r="B38" s="5" t="n">
        <v>1</v>
      </c>
      <c r="C38" s="5" t="inlineStr">
        <is>
          <t>2c</t>
        </is>
      </c>
      <c r="D38" s="5" t="inlineStr">
        <is>
          <t>Degree(s) obtained</t>
        </is>
      </c>
      <c r="E38" s="5" t="inlineStr">
        <is>
          <t>FL-150[0].Page1[0].List2[0].Li3[0].RB2Choices[0]</t>
        </is>
      </c>
      <c r="F38" s="5" t="inlineStr">
        <is>
          <t>checkbox</t>
        </is>
      </c>
      <c r="G38" s="5" t="inlineStr">
        <is>
          <t>2</t>
        </is>
      </c>
      <c r="H38" s="5" t="inlineStr"/>
      <c r="I38" s="5" t="inlineStr">
        <is>
          <t>310, 459, 319, 468</t>
        </is>
      </c>
      <c r="J38" s="5" t="inlineStr">
        <is>
          <t>question</t>
        </is>
      </c>
      <c r="K38" s="5" t="inlineStr">
        <is>
          <t>F5</t>
        </is>
      </c>
      <c r="L38" s="5" t="inlineStr">
        <is>
          <t>check if F5.collegeDegrees given</t>
        </is>
      </c>
      <c r="M38" s="5" t="inlineStr"/>
      <c r="N38" s="5" t="inlineStr"/>
      <c r="O38" s="5" t="inlineStr"/>
    </row>
    <row r="39">
      <c r="A39" s="5" t="n">
        <v>38</v>
      </c>
      <c r="B39" s="5" t="n">
        <v>1</v>
      </c>
      <c r="C39" s="5" t="inlineStr">
        <is>
          <t>2c</t>
        </is>
      </c>
      <c r="D39" s="5" t="inlineStr">
        <is>
          <t>(specify):</t>
        </is>
      </c>
      <c r="E39" s="5" t="inlineStr">
        <is>
          <t>FL-150[0].Page1[0].List2[0].Li3[0].FillText109[0]</t>
        </is>
      </c>
      <c r="F39" s="5" t="inlineStr">
        <is>
          <t>text</t>
        </is>
      </c>
      <c r="G39" s="5" t="inlineStr"/>
      <c r="H39" s="5" t="inlineStr"/>
      <c r="I39" s="5" t="inlineStr">
        <is>
          <t>449, 459, 575, 468</t>
        </is>
      </c>
      <c r="J39" s="5" t="inlineStr">
        <is>
          <t>question</t>
        </is>
      </c>
      <c r="K39" s="5" t="inlineStr">
        <is>
          <t>F5</t>
        </is>
      </c>
      <c r="L39" s="5">
        <f> F5.collegeDegrees</f>
        <v/>
      </c>
      <c r="M39" s="5" t="inlineStr"/>
      <c r="N39" s="5" t="inlineStr"/>
      <c r="O39" s="5" t="inlineStr"/>
    </row>
    <row r="40">
      <c r="A40" s="5" t="n">
        <v>39</v>
      </c>
      <c r="B40" s="5" t="n">
        <v>1</v>
      </c>
      <c r="C40" s="5" t="inlineStr">
        <is>
          <t>2d</t>
        </is>
      </c>
      <c r="D40" s="5" t="inlineStr">
        <is>
          <t>Number of years of graduate school completed (specify):</t>
        </is>
      </c>
      <c r="E40" s="5" t="inlineStr">
        <is>
          <t>FL-150[0].Page1[0].List2[0].Li4[0].FillText1[0]</t>
        </is>
      </c>
      <c r="F40" s="5" t="inlineStr">
        <is>
          <t>text</t>
        </is>
      </c>
      <c r="G40" s="5" t="inlineStr"/>
      <c r="H40" s="5" t="inlineStr"/>
      <c r="I40" s="5" t="inlineStr">
        <is>
          <t>294, 472, 343, 481</t>
        </is>
      </c>
      <c r="J40" s="5" t="inlineStr">
        <is>
          <t>question</t>
        </is>
      </c>
      <c r="K40" s="5" t="inlineStr">
        <is>
          <t>F5</t>
        </is>
      </c>
      <c r="L40" s="5">
        <f> F5.gradYears</f>
        <v/>
      </c>
      <c r="M40" s="5" t="inlineStr"/>
      <c r="N40" s="5" t="inlineStr"/>
      <c r="O40" s="5" t="inlineStr"/>
    </row>
    <row r="41">
      <c r="A41" s="5" t="n">
        <v>40</v>
      </c>
      <c r="B41" s="5" t="n">
        <v>1</v>
      </c>
      <c r="C41" s="5" t="inlineStr">
        <is>
          <t>2d</t>
        </is>
      </c>
      <c r="D41" s="5" t="inlineStr">
        <is>
          <t>Degree(s) obtained</t>
        </is>
      </c>
      <c r="E41" s="5" t="inlineStr">
        <is>
          <t>FL-150[0].Page1[0].List2[0].Li4[0].RB2Choices[0]</t>
        </is>
      </c>
      <c r="F41" s="5" t="inlineStr">
        <is>
          <t>checkbox</t>
        </is>
      </c>
      <c r="G41" s="5" t="inlineStr">
        <is>
          <t>2</t>
        </is>
      </c>
      <c r="H41" s="5" t="inlineStr"/>
      <c r="I41" s="5" t="inlineStr">
        <is>
          <t>357, 472, 366, 481</t>
        </is>
      </c>
      <c r="J41" s="5" t="inlineStr">
        <is>
          <t>question</t>
        </is>
      </c>
      <c r="K41" s="5" t="inlineStr">
        <is>
          <t>F5</t>
        </is>
      </c>
      <c r="L41" s="5" t="inlineStr">
        <is>
          <t>check if F5.gradDegrees given</t>
        </is>
      </c>
      <c r="M41" s="5" t="inlineStr"/>
      <c r="N41" s="5" t="inlineStr"/>
      <c r="O41" s="5" t="inlineStr"/>
    </row>
    <row r="42">
      <c r="A42" s="5" t="n">
        <v>41</v>
      </c>
      <c r="B42" s="5" t="n">
        <v>1</v>
      </c>
      <c r="C42" s="5" t="inlineStr">
        <is>
          <t>2d</t>
        </is>
      </c>
      <c r="D42" s="5" t="inlineStr">
        <is>
          <t>(specify):</t>
        </is>
      </c>
      <c r="E42" s="5" t="inlineStr">
        <is>
          <t>FL-150[0].Page1[0].List2[0].Li4[0].FillText109[0]</t>
        </is>
      </c>
      <c r="F42" s="5" t="inlineStr">
        <is>
          <t>text</t>
        </is>
      </c>
      <c r="G42" s="5" t="inlineStr"/>
      <c r="H42" s="5" t="inlineStr"/>
      <c r="I42" s="5" t="inlineStr">
        <is>
          <t>496, 472, 575, 481</t>
        </is>
      </c>
      <c r="J42" s="5" t="inlineStr">
        <is>
          <t>question</t>
        </is>
      </c>
      <c r="K42" s="5" t="inlineStr">
        <is>
          <t>F5</t>
        </is>
      </c>
      <c r="L42" s="5">
        <f> F5.gradDegrees</f>
        <v/>
      </c>
      <c r="M42" s="5" t="inlineStr"/>
      <c r="N42" s="5" t="inlineStr"/>
      <c r="O42" s="5" t="inlineStr"/>
    </row>
    <row r="43">
      <c r="A43" s="5" t="n">
        <v>42</v>
      </c>
      <c r="B43" s="5" t="n">
        <v>1</v>
      </c>
      <c r="C43" s="5" t="inlineStr">
        <is>
          <t>2e</t>
        </is>
      </c>
      <c r="D43" s="5" t="inlineStr">
        <is>
          <t>professional/occupational license(s)</t>
        </is>
      </c>
      <c r="E43" s="5" t="inlineStr">
        <is>
          <t>FL-150[0].Page1[0].List2[0].Li5[0].RB2Choices[0]</t>
        </is>
      </c>
      <c r="F43" s="5" t="inlineStr">
        <is>
          <t>checkbox</t>
        </is>
      </c>
      <c r="G43" s="5" t="inlineStr">
        <is>
          <t>2</t>
        </is>
      </c>
      <c r="H43" s="5" t="inlineStr"/>
      <c r="I43" s="5" t="inlineStr">
        <is>
          <t>111, 486, 120, 495</t>
        </is>
      </c>
      <c r="J43" s="5" t="inlineStr">
        <is>
          <t>question</t>
        </is>
      </c>
      <c r="K43" s="5" t="inlineStr">
        <is>
          <t>F5</t>
        </is>
      </c>
      <c r="L43" s="5" t="inlineStr">
        <is>
          <t>check if F5.licenses given</t>
        </is>
      </c>
      <c r="M43" s="5" t="inlineStr"/>
      <c r="N43" s="5" t="inlineStr"/>
      <c r="O43" s="5" t="inlineStr"/>
    </row>
    <row r="44">
      <c r="A44" s="5" t="n">
        <v>43</v>
      </c>
      <c r="B44" s="5" t="n">
        <v>1</v>
      </c>
      <c r="C44" s="5" t="inlineStr">
        <is>
          <t>2e</t>
        </is>
      </c>
      <c r="D44" s="5" t="inlineStr">
        <is>
          <t>(specify):</t>
        </is>
      </c>
      <c r="E44" s="5" t="inlineStr">
        <is>
          <t>FL-150[0].Page1[0].List2[0].Li5[0].FillText10[0]</t>
        </is>
      </c>
      <c r="F44" s="5" t="inlineStr">
        <is>
          <t>text</t>
        </is>
      </c>
      <c r="G44" s="5" t="inlineStr"/>
      <c r="H44" s="5" t="inlineStr"/>
      <c r="I44" s="5" t="inlineStr">
        <is>
          <t>316, 486, 575, 495</t>
        </is>
      </c>
      <c r="J44" s="5" t="inlineStr">
        <is>
          <t>question</t>
        </is>
      </c>
      <c r="K44" s="5" t="inlineStr">
        <is>
          <t>F5</t>
        </is>
      </c>
      <c r="L44" s="5">
        <f> F5.licenses</f>
        <v/>
      </c>
      <c r="M44" s="5" t="inlineStr"/>
      <c r="N44" s="5" t="inlineStr"/>
      <c r="O44" s="5" t="inlineStr"/>
    </row>
    <row r="45">
      <c r="A45" s="5" t="n">
        <v>44</v>
      </c>
      <c r="B45" s="5" t="n">
        <v>1</v>
      </c>
      <c r="C45" s="5" t="inlineStr">
        <is>
          <t>2e</t>
        </is>
      </c>
      <c r="D45" s="5" t="inlineStr">
        <is>
          <t>vocational training</t>
        </is>
      </c>
      <c r="E45" s="5" t="inlineStr">
        <is>
          <t>FL-150[0].Page1[0].List2[0].Li5[0].RB2Choices[1]</t>
        </is>
      </c>
      <c r="F45" s="5" t="inlineStr">
        <is>
          <t>checkbox</t>
        </is>
      </c>
      <c r="G45" s="5" t="inlineStr">
        <is>
          <t>2</t>
        </is>
      </c>
      <c r="H45" s="5" t="inlineStr"/>
      <c r="I45" s="5" t="inlineStr">
        <is>
          <t>111, 499, 120, 508</t>
        </is>
      </c>
      <c r="J45" s="5" t="inlineStr">
        <is>
          <t>question</t>
        </is>
      </c>
      <c r="K45" s="5" t="inlineStr">
        <is>
          <t>F5</t>
        </is>
      </c>
      <c r="L45" s="5" t="inlineStr">
        <is>
          <t>check if F5.vocational given</t>
        </is>
      </c>
      <c r="M45" s="5" t="inlineStr"/>
      <c r="N45" s="5" t="inlineStr"/>
      <c r="O45" s="5" t="inlineStr"/>
    </row>
    <row r="46">
      <c r="A46" s="5" t="n">
        <v>45</v>
      </c>
      <c r="B46" s="5" t="n">
        <v>1</v>
      </c>
      <c r="C46" s="5" t="inlineStr">
        <is>
          <t>2e</t>
        </is>
      </c>
      <c r="D46" s="5" t="inlineStr">
        <is>
          <t>(specify):</t>
        </is>
      </c>
      <c r="E46" s="5" t="inlineStr">
        <is>
          <t>FL-150[0].Page1[0].List2[0].Li5[0].FillText109[0]</t>
        </is>
      </c>
      <c r="F46" s="5" t="inlineStr">
        <is>
          <t>text</t>
        </is>
      </c>
      <c r="G46" s="5" t="inlineStr"/>
      <c r="H46" s="5" t="inlineStr"/>
      <c r="I46" s="5" t="inlineStr">
        <is>
          <t>245, 499, 576, 508</t>
        </is>
      </c>
      <c r="J46" s="5" t="inlineStr">
        <is>
          <t>question</t>
        </is>
      </c>
      <c r="K46" s="5" t="inlineStr">
        <is>
          <t>F5</t>
        </is>
      </c>
      <c r="L46" s="5">
        <f> F5.vocational</f>
        <v/>
      </c>
      <c r="M46" s="5" t="inlineStr"/>
      <c r="N46" s="5" t="inlineStr"/>
      <c r="O46" s="5" t="inlineStr"/>
    </row>
    <row r="47">
      <c r="A47" s="5" t="n">
        <v>46</v>
      </c>
      <c r="B47" s="5" t="n">
        <v>1</v>
      </c>
      <c r="C47" s="5" t="inlineStr">
        <is>
          <t>3a</t>
        </is>
      </c>
      <c r="D47" s="5" t="inlineStr">
        <is>
          <t>I last filed taxes for tax year</t>
        </is>
      </c>
      <c r="E47" s="5" t="inlineStr">
        <is>
          <t>FL-150[0].Page1[0].List3[0].Li1[0].RB2Choices[0]</t>
        </is>
      </c>
      <c r="F47" s="5" t="inlineStr">
        <is>
          <t>checkbox</t>
        </is>
      </c>
      <c r="G47" s="5" t="inlineStr">
        <is>
          <t>2</t>
        </is>
      </c>
      <c r="H47" s="5" t="inlineStr"/>
      <c r="I47" s="5" t="inlineStr">
        <is>
          <t>71, 527, 80, 536</t>
        </is>
      </c>
      <c r="J47" s="5" t="inlineStr">
        <is>
          <t>question</t>
        </is>
      </c>
      <c r="K47" s="5" t="inlineStr">
        <is>
          <t>F6</t>
        </is>
      </c>
      <c r="L47" s="5" t="inlineStr">
        <is>
          <t>check if F6.lastYearFiled given</t>
        </is>
      </c>
      <c r="M47" s="5" t="inlineStr"/>
      <c r="N47" s="5" t="inlineStr"/>
      <c r="O47" s="5" t="inlineStr"/>
    </row>
    <row r="48">
      <c r="A48" s="5" t="n">
        <v>47</v>
      </c>
      <c r="B48" s="5" t="n">
        <v>1</v>
      </c>
      <c r="C48" s="5" t="inlineStr">
        <is>
          <t>3a</t>
        </is>
      </c>
      <c r="D48" s="5" t="inlineStr">
        <is>
          <t>(specify year):</t>
        </is>
      </c>
      <c r="E48" s="5" t="inlineStr">
        <is>
          <t>FL-150[0].Page1[0].List3[0].Li1[0].FillText109[0]</t>
        </is>
      </c>
      <c r="F48" s="5" t="inlineStr">
        <is>
          <t>text</t>
        </is>
      </c>
      <c r="G48" s="5" t="inlineStr"/>
      <c r="H48" s="5" t="inlineStr"/>
      <c r="I48" s="5" t="inlineStr">
        <is>
          <t>262, 527, 367, 536</t>
        </is>
      </c>
      <c r="J48" s="5" t="inlineStr">
        <is>
          <t>question</t>
        </is>
      </c>
      <c r="K48" s="5" t="inlineStr">
        <is>
          <t>F6</t>
        </is>
      </c>
      <c r="L48" s="5">
        <f> F6.lastYearFiled</f>
        <v/>
      </c>
      <c r="M48" s="5" t="inlineStr"/>
      <c r="N48" s="5" t="inlineStr"/>
      <c r="O48" s="5" t="inlineStr"/>
    </row>
    <row r="49">
      <c r="A49" s="5" t="n">
        <v>48</v>
      </c>
      <c r="B49" s="5" t="n">
        <v>1</v>
      </c>
      <c r="C49" s="5" t="inlineStr">
        <is>
          <t>3b</t>
        </is>
      </c>
      <c r="D49" s="5" t="inlineStr">
        <is>
          <t>single</t>
        </is>
      </c>
      <c r="E49" s="5" t="inlineStr">
        <is>
          <t>FL-150[0].Page1[0].List3[0].Li2[0].Tax_cb1[0]</t>
        </is>
      </c>
      <c r="F49" s="5" t="inlineStr">
        <is>
          <t>checkbox</t>
        </is>
      </c>
      <c r="G49" s="5" t="inlineStr">
        <is>
          <t>2</t>
        </is>
      </c>
      <c r="H49" s="5" t="inlineStr"/>
      <c r="I49" s="5" t="inlineStr">
        <is>
          <t>169, 540, 178, 549</t>
        </is>
      </c>
      <c r="J49" s="5" t="inlineStr">
        <is>
          <t>question</t>
        </is>
      </c>
      <c r="K49" s="5" t="inlineStr">
        <is>
          <t>F6</t>
        </is>
      </c>
      <c r="L49" s="5" t="inlineStr">
        <is>
          <t>check if F6.status == "single"</t>
        </is>
      </c>
      <c r="M49" s="5" t="inlineStr"/>
      <c r="N49" s="5" t="inlineStr"/>
      <c r="O49" s="5" t="inlineStr"/>
    </row>
    <row r="50">
      <c r="A50" s="5" t="n">
        <v>49</v>
      </c>
      <c r="B50" s="5" t="n">
        <v>1</v>
      </c>
      <c r="C50" s="5" t="inlineStr">
        <is>
          <t>3b</t>
        </is>
      </c>
      <c r="D50" s="5" t="inlineStr">
        <is>
          <t>head of household</t>
        </is>
      </c>
      <c r="E50" s="5" t="inlineStr">
        <is>
          <t>FL-150[0].Page1[0].List3[0].Li2[0].Tax_cb2[0]</t>
        </is>
      </c>
      <c r="F50" s="5" t="inlineStr">
        <is>
          <t>checkbox</t>
        </is>
      </c>
      <c r="G50" s="5" t="inlineStr">
        <is>
          <t>5</t>
        </is>
      </c>
      <c r="H50" s="5" t="inlineStr"/>
      <c r="I50" s="5" t="inlineStr">
        <is>
          <t>236, 540, 245, 549</t>
        </is>
      </c>
      <c r="J50" s="5" t="inlineStr">
        <is>
          <t>question</t>
        </is>
      </c>
      <c r="K50" s="5" t="inlineStr">
        <is>
          <t>F6</t>
        </is>
      </c>
      <c r="L50" s="5" t="inlineStr">
        <is>
          <t>check if F6.status == "head of household"</t>
        </is>
      </c>
      <c r="M50" s="5" t="inlineStr"/>
      <c r="N50" s="5" t="inlineStr"/>
      <c r="O50" s="5" t="inlineStr"/>
    </row>
    <row r="51">
      <c r="A51" s="5" t="n">
        <v>50</v>
      </c>
      <c r="B51" s="5" t="n">
        <v>1</v>
      </c>
      <c r="C51" s="5" t="inlineStr">
        <is>
          <t>3b</t>
        </is>
      </c>
      <c r="D51" s="5" t="inlineStr">
        <is>
          <t>married, filing separately</t>
        </is>
      </c>
      <c r="E51" s="5" t="inlineStr">
        <is>
          <t>FL-150[0].Page1[0].List3[0].Li2[0].Tax_cb3[0]</t>
        </is>
      </c>
      <c r="F51" s="5" t="inlineStr">
        <is>
          <t>checkbox</t>
        </is>
      </c>
      <c r="G51" s="5" t="inlineStr">
        <is>
          <t>7</t>
        </is>
      </c>
      <c r="H51" s="5" t="inlineStr"/>
      <c r="I51" s="5" t="inlineStr">
        <is>
          <t>351, 540, 360, 549</t>
        </is>
      </c>
      <c r="J51" s="5" t="inlineStr">
        <is>
          <t>question</t>
        </is>
      </c>
      <c r="K51" s="5" t="inlineStr">
        <is>
          <t>F6</t>
        </is>
      </c>
      <c r="L51" s="5" t="inlineStr">
        <is>
          <t>check if F6.status == "married filing separately"</t>
        </is>
      </c>
      <c r="M51" s="5" t="inlineStr"/>
      <c r="N51" s="5" t="inlineStr"/>
      <c r="O51" s="5" t="inlineStr"/>
    </row>
    <row r="52">
      <c r="A52" s="5" t="n">
        <v>51</v>
      </c>
      <c r="B52" s="5" t="n">
        <v>1</v>
      </c>
      <c r="C52" s="5" t="inlineStr">
        <is>
          <t>3b</t>
        </is>
      </c>
      <c r="D52" s="5" t="inlineStr">
        <is>
          <t>married, filing jointly with</t>
        </is>
      </c>
      <c r="E52" s="5" t="inlineStr">
        <is>
          <t>FL-150[0].Page1[0].List3[0].Li2[0].RB2Choices[0]</t>
        </is>
      </c>
      <c r="F52" s="5" t="inlineStr">
        <is>
          <t>checkbox</t>
        </is>
      </c>
      <c r="G52" s="5" t="inlineStr">
        <is>
          <t>2</t>
        </is>
      </c>
      <c r="H52" s="5" t="inlineStr"/>
      <c r="I52" s="5" t="inlineStr">
        <is>
          <t>71, 553, 80, 562</t>
        </is>
      </c>
      <c r="J52" s="5" t="inlineStr">
        <is>
          <t>question</t>
        </is>
      </c>
      <c r="K52" s="5" t="inlineStr">
        <is>
          <t>F6</t>
        </is>
      </c>
      <c r="L52" s="5" t="inlineStr">
        <is>
          <t>check if F6.status == "married filing jointly"</t>
        </is>
      </c>
      <c r="M52" s="5" t="inlineStr"/>
      <c r="N52" s="5" t="inlineStr"/>
      <c r="O52" s="5" t="inlineStr"/>
    </row>
    <row r="53">
      <c r="A53" s="5" t="n">
        <v>52</v>
      </c>
      <c r="B53" s="5" t="n">
        <v>1</v>
      </c>
      <c r="C53" s="5" t="inlineStr">
        <is>
          <t>3b</t>
        </is>
      </c>
      <c r="D53" s="5" t="inlineStr">
        <is>
          <t>(specify name):</t>
        </is>
      </c>
      <c r="E53" s="5" t="inlineStr">
        <is>
          <t>FL-150[0].Page1[0].List3[0].Li2[0].FillText109[0]</t>
        </is>
      </c>
      <c r="F53" s="5" t="inlineStr">
        <is>
          <t>text</t>
        </is>
      </c>
      <c r="G53" s="5" t="inlineStr"/>
      <c r="H53" s="5" t="inlineStr"/>
      <c r="I53" s="5" t="inlineStr">
        <is>
          <t>255, 553, 576, 562</t>
        </is>
      </c>
      <c r="J53" s="5" t="inlineStr">
        <is>
          <t>question</t>
        </is>
      </c>
      <c r="K53" s="5" t="inlineStr">
        <is>
          <t>F6</t>
        </is>
      </c>
      <c r="L53" s="5">
        <f> F6.jointFilerName</f>
        <v/>
      </c>
      <c r="M53" s="5" t="inlineStr">
        <is>
          <t>F6.status == "married filing jointly"</t>
        </is>
      </c>
      <c r="N53" s="5" t="inlineStr"/>
      <c r="O53" s="5" t="inlineStr"/>
    </row>
    <row r="54">
      <c r="A54" s="5" t="n">
        <v>53</v>
      </c>
      <c r="B54" s="5" t="n">
        <v>1</v>
      </c>
      <c r="C54" s="5" t="inlineStr">
        <is>
          <t>3c</t>
        </is>
      </c>
      <c r="D54" s="5" t="inlineStr">
        <is>
          <t>California</t>
        </is>
      </c>
      <c r="E54" s="5" t="inlineStr">
        <is>
          <t>FL-150[0].Page1[0].List3[0].Li3[0].TaxSt_cb[0]</t>
        </is>
      </c>
      <c r="F54" s="5" t="inlineStr">
        <is>
          <t>checkbox</t>
        </is>
      </c>
      <c r="G54" s="5" t="inlineStr">
        <is>
          <t>2</t>
        </is>
      </c>
      <c r="H54" s="5" t="inlineStr"/>
      <c r="I54" s="5" t="inlineStr">
        <is>
          <t>179, 567, 188, 576</t>
        </is>
      </c>
      <c r="J54" s="5" t="inlineStr">
        <is>
          <t>question</t>
        </is>
      </c>
      <c r="K54" s="5" t="inlineStr">
        <is>
          <t>F6</t>
        </is>
      </c>
      <c r="L54" s="5" t="inlineStr">
        <is>
          <t>check if F6.state == "California"</t>
        </is>
      </c>
      <c r="M54" s="5" t="inlineStr"/>
      <c r="N54" s="5" t="inlineStr"/>
      <c r="O54" s="5" t="inlineStr"/>
    </row>
    <row r="55">
      <c r="A55" s="5" t="n">
        <v>54</v>
      </c>
      <c r="B55" s="5" t="n">
        <v>1</v>
      </c>
      <c r="C55" s="5" t="inlineStr">
        <is>
          <t>3c</t>
        </is>
      </c>
      <c r="D55" s="5" t="inlineStr">
        <is>
          <t>other</t>
        </is>
      </c>
      <c r="E55" s="5" t="inlineStr">
        <is>
          <t>FL-150[0].Page1[0].List3[0].Li3[0].TaxSt_CB[0]</t>
        </is>
      </c>
      <c r="F55" s="5" t="inlineStr">
        <is>
          <t>checkbox</t>
        </is>
      </c>
      <c r="G55" s="5" t="inlineStr">
        <is>
          <t>5</t>
        </is>
      </c>
      <c r="H55" s="5" t="inlineStr"/>
      <c r="I55" s="5" t="inlineStr">
        <is>
          <t>261, 567, 270, 576</t>
        </is>
      </c>
      <c r="J55" s="5" t="inlineStr">
        <is>
          <t>question</t>
        </is>
      </c>
      <c r="K55" s="5" t="inlineStr">
        <is>
          <t>F6</t>
        </is>
      </c>
      <c r="L55" s="5" t="inlineStr">
        <is>
          <t>check if F6.state != "California"</t>
        </is>
      </c>
      <c r="M55" s="5" t="inlineStr"/>
      <c r="N55" s="5" t="inlineStr"/>
      <c r="O55" s="5" t="inlineStr"/>
    </row>
    <row r="56">
      <c r="A56" s="5" t="n">
        <v>55</v>
      </c>
      <c r="B56" s="5" t="n">
        <v>1</v>
      </c>
      <c r="C56" s="5" t="inlineStr">
        <is>
          <t>3c</t>
        </is>
      </c>
      <c r="D56" s="5" t="inlineStr">
        <is>
          <t>(specify state):</t>
        </is>
      </c>
      <c r="E56" s="5" t="inlineStr">
        <is>
          <t>FL-150[0].Page1[0].List3[0].Li3[0].FillText109[0]</t>
        </is>
      </c>
      <c r="F56" s="5" t="inlineStr">
        <is>
          <t>text</t>
        </is>
      </c>
      <c r="G56" s="5" t="inlineStr"/>
      <c r="H56" s="5" t="inlineStr"/>
      <c r="I56" s="5" t="inlineStr">
        <is>
          <t>368, 567, 571, 576</t>
        </is>
      </c>
      <c r="J56" s="5" t="inlineStr">
        <is>
          <t>question</t>
        </is>
      </c>
      <c r="K56" s="5" t="inlineStr">
        <is>
          <t>F6</t>
        </is>
      </c>
      <c r="L56" s="5">
        <f> F6.state</f>
        <v/>
      </c>
      <c r="M56" s="5" t="inlineStr">
        <is>
          <t>F6.state != "California"</t>
        </is>
      </c>
      <c r="N56" s="5" t="inlineStr"/>
      <c r="O56" s="5" t="inlineStr"/>
    </row>
    <row r="57">
      <c r="A57" s="5" t="n">
        <v>56</v>
      </c>
      <c r="B57" s="5" t="n">
        <v>1</v>
      </c>
      <c r="C57" s="5" t="inlineStr">
        <is>
          <t>3d</t>
        </is>
      </c>
      <c r="D57" s="5" t="inlineStr">
        <is>
          <t>I claim the following number of exemptions (including myself) on my taxes (specify):</t>
        </is>
      </c>
      <c r="E57" s="5" t="inlineStr">
        <is>
          <t>FL-150[0].Page1[0].List3[0].Li4[0].FillText1[0]</t>
        </is>
      </c>
      <c r="F57" s="5" t="inlineStr">
        <is>
          <t>text</t>
        </is>
      </c>
      <c r="G57" s="5" t="inlineStr"/>
      <c r="H57" s="5" t="inlineStr"/>
      <c r="I57" s="5" t="inlineStr">
        <is>
          <t>400, 581, 575, 590</t>
        </is>
      </c>
      <c r="J57" s="5" t="inlineStr">
        <is>
          <t>question</t>
        </is>
      </c>
      <c r="K57" s="5" t="inlineStr">
        <is>
          <t>F6</t>
        </is>
      </c>
      <c r="L57" s="5">
        <f> F6.exemptions</f>
        <v/>
      </c>
      <c r="M57" s="5" t="inlineStr"/>
      <c r="N57" s="5" t="inlineStr"/>
      <c r="O57" s="5" t="inlineStr"/>
    </row>
    <row r="58">
      <c r="A58" s="5" t="n">
        <v>57</v>
      </c>
      <c r="B58" s="5" t="n">
        <v>1</v>
      </c>
      <c r="C58" s="5" t="inlineStr">
        <is>
          <t>4</t>
        </is>
      </c>
      <c r="D58" s="5" t="inlineStr">
        <is>
          <t>Other party's income. I estimate the gross monthly income (before taxes) of the other party in this case at (specify): $</t>
        </is>
      </c>
      <c r="E58" s="5" t="inlineStr">
        <is>
          <t>FL-150[0].Page1[0].List4[0].Li1[0].FillTextincm[0]</t>
        </is>
      </c>
      <c r="F58" s="5" t="inlineStr">
        <is>
          <t>text</t>
        </is>
      </c>
      <c r="G58" s="5" t="inlineStr"/>
      <c r="H58" s="5" t="inlineStr"/>
      <c r="I58" s="5" t="inlineStr">
        <is>
          <t>523, 598, 575, 607</t>
        </is>
      </c>
      <c r="J58" s="5" t="inlineStr">
        <is>
          <t>question</t>
        </is>
      </c>
      <c r="K58" s="5" t="inlineStr">
        <is>
          <t>F14</t>
        </is>
      </c>
      <c r="L58" s="5">
        <f> money(F14.amount)</f>
        <v/>
      </c>
      <c r="M58" s="5" t="inlineStr"/>
      <c r="N58" s="5" t="inlineStr"/>
      <c r="O58" s="5" t="inlineStr"/>
    </row>
    <row r="59">
      <c r="A59" s="5" t="n">
        <v>58</v>
      </c>
      <c r="B59" s="5" t="n">
        <v>1</v>
      </c>
      <c r="C59" s="5" t="inlineStr">
        <is>
          <t>4</t>
        </is>
      </c>
      <c r="D59" s="5" t="inlineStr">
        <is>
          <t>This estimate is based on (explain):</t>
        </is>
      </c>
      <c r="E59" s="5" t="inlineStr">
        <is>
          <t>FL-150[0].Page1[0].List4[0].Li1[0].FillText1[0]</t>
        </is>
      </c>
      <c r="F59" s="5" t="inlineStr">
        <is>
          <t>text</t>
        </is>
      </c>
      <c r="G59" s="5" t="inlineStr"/>
      <c r="H59" s="5" t="inlineStr"/>
      <c r="I59" s="5" t="inlineStr">
        <is>
          <t>196, 611, 575, 620</t>
        </is>
      </c>
      <c r="J59" s="5" t="inlineStr">
        <is>
          <t>question</t>
        </is>
      </c>
      <c r="K59" s="5" t="inlineStr">
        <is>
          <t>F14</t>
        </is>
      </c>
      <c r="L59" s="5">
        <f> F14.basis</f>
        <v/>
      </c>
      <c r="M59" s="5" t="inlineStr"/>
      <c r="N59" s="5" t="inlineStr"/>
      <c r="O59" s="5" t="inlineStr"/>
    </row>
    <row r="60">
      <c r="A60" s="6" t="n">
        <v>59</v>
      </c>
      <c r="B60" s="6" t="n">
        <v>1</v>
      </c>
      <c r="C60" s="6" t="inlineStr">
        <is>
          <t>Signature</t>
        </is>
      </c>
      <c r="D60" s="6" t="inlineStr">
        <is>
          <t>Number of pages attached:</t>
        </is>
      </c>
      <c r="E60" s="6" t="inlineStr">
        <is>
          <t>FL-150[0].Page1[0].FillTextpage[0]</t>
        </is>
      </c>
      <c r="F60" s="6" t="inlineStr">
        <is>
          <t>text</t>
        </is>
      </c>
      <c r="G60" s="6" t="inlineStr"/>
      <c r="H60" s="6" t="inlineStr"/>
      <c r="I60" s="6" t="inlineStr">
        <is>
          <t>320, 638, 400, 649</t>
        </is>
      </c>
      <c r="J60" s="6" t="inlineStr">
        <is>
          <t>derived</t>
        </is>
      </c>
      <c r="K60" s="6" t="inlineStr">
        <is>
          <t>(packet)</t>
        </is>
      </c>
      <c r="L60" s="6">
        <f> number of pages attached to FL-150</f>
        <v/>
      </c>
      <c r="M60" s="6" t="inlineStr"/>
      <c r="N60" s="6" t="inlineStr"/>
      <c r="O60" s="6" t="inlineStr"/>
    </row>
    <row r="61">
      <c r="A61" s="5" t="n">
        <v>60</v>
      </c>
      <c r="B61" s="5" t="n">
        <v>1</v>
      </c>
      <c r="C61" s="5" t="inlineStr">
        <is>
          <t>Signature</t>
        </is>
      </c>
      <c r="D61" s="5" t="inlineStr">
        <is>
          <t>Date:</t>
        </is>
      </c>
      <c r="E61" s="5" t="inlineStr">
        <is>
          <t>FL-150[0].Page1[0].Signdate[0]</t>
        </is>
      </c>
      <c r="F61" s="5" t="inlineStr">
        <is>
          <t>text</t>
        </is>
      </c>
      <c r="G61" s="5" t="inlineStr"/>
      <c r="H61" s="5" t="inlineStr"/>
      <c r="I61" s="5" t="inlineStr">
        <is>
          <t>61, 682, 169, 692</t>
        </is>
      </c>
      <c r="J61" s="5" t="inlineStr">
        <is>
          <t>question</t>
        </is>
      </c>
      <c r="K61" s="5" t="inlineStr">
        <is>
          <t>G1,G2</t>
        </is>
      </c>
      <c r="L61" s="5">
        <f> fmtDate(stage == 3 ? G2 : G1)</f>
        <v/>
      </c>
      <c r="M61" s="5" t="inlineStr"/>
      <c r="N61" s="5" t="inlineStr"/>
      <c r="O61" s="5" t="inlineStr"/>
    </row>
    <row r="62">
      <c r="A62" s="5" t="n">
        <v>61</v>
      </c>
      <c r="B62" s="5" t="n">
        <v>1</v>
      </c>
      <c r="C62" s="5" t="inlineStr">
        <is>
          <t>Signature</t>
        </is>
      </c>
      <c r="D62" s="5" t="inlineStr">
        <is>
          <t>(TYPE OR PRINT NAME)</t>
        </is>
      </c>
      <c r="E62" s="5" t="inlineStr">
        <is>
          <t>FL-150[0].Page1[0].FillText56[0]</t>
        </is>
      </c>
      <c r="F62" s="5" t="inlineStr">
        <is>
          <t>text</t>
        </is>
      </c>
      <c r="G62" s="5" t="inlineStr"/>
      <c r="H62" s="5" t="inlineStr"/>
      <c r="I62" s="5" t="inlineStr">
        <is>
          <t>36, 695, 275, 709</t>
        </is>
      </c>
      <c r="J62" s="5" t="inlineStr">
        <is>
          <t>question</t>
        </is>
      </c>
      <c r="K62" s="5" t="inlineStr">
        <is>
          <t>P1</t>
        </is>
      </c>
      <c r="L62" s="5">
        <f> P1</f>
        <v/>
      </c>
      <c r="M62" s="5" t="inlineStr"/>
      <c r="N62" s="5" t="inlineStr"/>
      <c r="O62" s="5" t="inlineStr"/>
    </row>
    <row r="63">
      <c r="A63" s="5" t="n">
        <v>62</v>
      </c>
      <c r="B63" s="5" t="n">
        <v>2</v>
      </c>
      <c r="C63" s="5" t="inlineStr">
        <is>
          <t>Caption</t>
        </is>
      </c>
      <c r="D63" s="5" t="inlineStr">
        <is>
          <t>PETITIONER:</t>
        </is>
      </c>
      <c r="E63" s="5" t="inlineStr">
        <is>
          <t>FL-150[0].Page2[0].PxCaption_sf[0].TitlePartyName[0].Party1_ft[0]</t>
        </is>
      </c>
      <c r="F63" s="5" t="inlineStr">
        <is>
          <t>text</t>
        </is>
      </c>
      <c r="G63" s="5" t="inlineStr"/>
      <c r="H63" s="5" t="inlineStr"/>
      <c r="I63" s="5" t="inlineStr">
        <is>
          <t>177, 49, 394, 60</t>
        </is>
      </c>
      <c r="J63" s="5" t="inlineStr">
        <is>
          <t>question</t>
        </is>
      </c>
      <c r="K63" s="5" t="inlineStr">
        <is>
          <t>P1</t>
        </is>
      </c>
      <c r="L63" s="5">
        <f> P1</f>
        <v/>
      </c>
      <c r="M63" s="5" t="inlineStr"/>
      <c r="N63" s="5" t="inlineStr"/>
      <c r="O63" s="5" t="inlineStr"/>
    </row>
    <row r="64">
      <c r="A64" s="5" t="n">
        <v>63</v>
      </c>
      <c r="B64" s="5" t="n">
        <v>2</v>
      </c>
      <c r="C64" s="5" t="inlineStr">
        <is>
          <t>Caption</t>
        </is>
      </c>
      <c r="D64" s="5" t="inlineStr">
        <is>
          <t>RESPONDENT:</t>
        </is>
      </c>
      <c r="E64" s="5" t="inlineStr">
        <is>
          <t>FL-150[0].Page2[0].PxCaption_sf[0].TitlePartyName[0].Party2_ft[0]</t>
        </is>
      </c>
      <c r="F64" s="5" t="inlineStr">
        <is>
          <t>text</t>
        </is>
      </c>
      <c r="G64" s="5" t="inlineStr"/>
      <c r="H64" s="5" t="inlineStr"/>
      <c r="I64" s="5" t="inlineStr">
        <is>
          <t>177, 62, 394, 74</t>
        </is>
      </c>
      <c r="J64" s="5" t="inlineStr">
        <is>
          <t>question</t>
        </is>
      </c>
      <c r="K64" s="5" t="inlineStr">
        <is>
          <t>R1</t>
        </is>
      </c>
      <c r="L64" s="5">
        <f> R1</f>
        <v/>
      </c>
      <c r="M64" s="5" t="inlineStr"/>
      <c r="N64" s="5" t="inlineStr"/>
      <c r="O64" s="5" t="inlineStr"/>
    </row>
    <row r="65">
      <c r="A65" s="5" t="n">
        <v>64</v>
      </c>
      <c r="B65" s="5" t="n">
        <v>2</v>
      </c>
      <c r="C65" s="5" t="inlineStr">
        <is>
          <t>Caption</t>
        </is>
      </c>
      <c r="D65" s="5" t="inlineStr">
        <is>
          <t>OTHER PARTY/PARENT/CLAIMANT:</t>
        </is>
      </c>
      <c r="E65" s="5" t="inlineStr">
        <is>
          <t>FL-150[0].Page2[0].PxCaption_sf[0].TitlePartyName[0].Party3_ft[0]</t>
        </is>
      </c>
      <c r="F65" s="5" t="inlineStr">
        <is>
          <t>text</t>
        </is>
      </c>
      <c r="G65" s="5" t="inlineStr"/>
      <c r="H65" s="5" t="inlineStr"/>
      <c r="I65" s="5" t="inlineStr">
        <is>
          <t>178, 76, 394, 87</t>
        </is>
      </c>
      <c r="J65" s="5" t="inlineStr">
        <is>
          <t>question</t>
        </is>
      </c>
      <c r="K65" s="5" t="inlineStr">
        <is>
          <t>PR13</t>
        </is>
      </c>
      <c r="L65" s="5">
        <f> PR13.name</f>
        <v/>
      </c>
      <c r="M65" s="5" t="inlineStr">
        <is>
          <t>PR13 given</t>
        </is>
      </c>
      <c r="N65" s="5" t="inlineStr"/>
      <c r="O65" s="5" t="inlineStr"/>
    </row>
    <row r="66">
      <c r="A66" s="5" t="n">
        <v>65</v>
      </c>
      <c r="B66" s="5" t="n">
        <v>2</v>
      </c>
      <c r="C66" s="5" t="inlineStr">
        <is>
          <t>Caption</t>
        </is>
      </c>
      <c r="D66" s="5" t="inlineStr">
        <is>
          <t>CASE NUMBER:</t>
        </is>
      </c>
      <c r="E66" s="5" t="inlineStr">
        <is>
          <t>FL-150[0].Page2[0].PxCaption_sf[0].CaseNumber[0].CaseNumber_ft[0]</t>
        </is>
      </c>
      <c r="F66" s="5" t="inlineStr">
        <is>
          <t>text</t>
        </is>
      </c>
      <c r="G66" s="5" t="inlineStr"/>
      <c r="H66" s="5" t="inlineStr"/>
      <c r="I66" s="5" t="inlineStr">
        <is>
          <t>400, 57, 572, 71</t>
        </is>
      </c>
      <c r="J66" s="5" t="inlineStr">
        <is>
          <t>question</t>
        </is>
      </c>
      <c r="K66" s="5" t="inlineStr">
        <is>
          <t>S4,X0</t>
        </is>
      </c>
      <c r="L66" s="5">
        <f> X0 ?? S4</f>
        <v/>
      </c>
      <c r="M66" s="5" t="inlineStr">
        <is>
          <t>known; otherwise blank for clerk</t>
        </is>
      </c>
      <c r="N66" s="5" t="inlineStr"/>
      <c r="O66" s="5" t="inlineStr"/>
    </row>
    <row r="67">
      <c r="A67" s="5" t="n">
        <v>66</v>
      </c>
      <c r="B67" s="5" t="n">
        <v>2</v>
      </c>
      <c r="C67" s="5" t="inlineStr">
        <is>
          <t>5a</t>
        </is>
      </c>
      <c r="D67" s="5" t="inlineStr">
        <is>
          <t>Last month</t>
        </is>
      </c>
      <c r="E67" s="5" t="inlineStr">
        <is>
          <t>FL-150[0].Page2[0].List5[0].Li1[0].FillText1[0]</t>
        </is>
      </c>
      <c r="F67" s="5" t="inlineStr">
        <is>
          <t>text</t>
        </is>
      </c>
      <c r="G67" s="5" t="inlineStr"/>
      <c r="H67" s="5" t="inlineStr"/>
      <c r="I67" s="5" t="inlineStr">
        <is>
          <t>481, 156, 527, 166</t>
        </is>
      </c>
      <c r="J67" s="5" t="inlineStr">
        <is>
          <t>question</t>
        </is>
      </c>
      <c r="K67" s="5" t="inlineStr">
        <is>
          <t>F3</t>
        </is>
      </c>
      <c r="L67" s="5">
        <f> money(F3["wages"].lastMonth)</f>
        <v/>
      </c>
      <c r="M67" s="5" t="inlineStr">
        <is>
          <t>F2 has "wages"</t>
        </is>
      </c>
      <c r="N67" s="5" t="inlineStr"/>
      <c r="O67" s="5" t="inlineStr"/>
    </row>
    <row r="68">
      <c r="A68" s="5" t="n">
        <v>67</v>
      </c>
      <c r="B68" s="5" t="n">
        <v>2</v>
      </c>
      <c r="C68" s="5" t="inlineStr">
        <is>
          <t>5a</t>
        </is>
      </c>
      <c r="D68" s="5" t="inlineStr">
        <is>
          <t>Average monthly</t>
        </is>
      </c>
      <c r="E68" s="5" t="inlineStr">
        <is>
          <t>FL-150[0].Page2[0].List5[0].Li1[0].TextField7[0]</t>
        </is>
      </c>
      <c r="F68" s="5" t="inlineStr">
        <is>
          <t>text</t>
        </is>
      </c>
      <c r="G68" s="5" t="inlineStr"/>
      <c r="H68" s="5" t="inlineStr"/>
      <c r="I68" s="5" t="inlineStr">
        <is>
          <t>530, 156, 575, 166</t>
        </is>
      </c>
      <c r="J68" s="5" t="inlineStr">
        <is>
          <t>question</t>
        </is>
      </c>
      <c r="K68" s="5" t="inlineStr">
        <is>
          <t>F3</t>
        </is>
      </c>
      <c r="L68" s="5">
        <f> money(F3["wages"].average)</f>
        <v/>
      </c>
      <c r="M68" s="5" t="inlineStr">
        <is>
          <t>F2 has "wages"</t>
        </is>
      </c>
      <c r="N68" s="5" t="inlineStr"/>
      <c r="O68" s="5" t="inlineStr"/>
    </row>
    <row r="69">
      <c r="A69" s="5" t="n">
        <v>68</v>
      </c>
      <c r="B69" s="5" t="n">
        <v>2</v>
      </c>
      <c r="C69" s="5" t="inlineStr">
        <is>
          <t>5b</t>
        </is>
      </c>
      <c r="D69" s="5" t="inlineStr">
        <is>
          <t>Last month</t>
        </is>
      </c>
      <c r="E69" s="5" t="inlineStr">
        <is>
          <t>FL-150[0].Page2[0].List5[0].Li2[0].FillText1[0]</t>
        </is>
      </c>
      <c r="F69" s="5" t="inlineStr">
        <is>
          <t>text</t>
        </is>
      </c>
      <c r="G69" s="5" t="inlineStr"/>
      <c r="H69" s="5" t="inlineStr"/>
      <c r="I69" s="5" t="inlineStr">
        <is>
          <t>481, 168, 527, 178</t>
        </is>
      </c>
      <c r="J69" s="5" t="inlineStr">
        <is>
          <t>question</t>
        </is>
      </c>
      <c r="K69" s="5" t="inlineStr">
        <is>
          <t>F3</t>
        </is>
      </c>
      <c r="L69" s="5">
        <f> money(F3["overtime"].lastMonth)</f>
        <v/>
      </c>
      <c r="M69" s="5" t="inlineStr">
        <is>
          <t>F2 has "overtime"</t>
        </is>
      </c>
      <c r="N69" s="5" t="inlineStr"/>
      <c r="O69" s="5" t="inlineStr"/>
    </row>
    <row r="70">
      <c r="A70" s="5" t="n">
        <v>69</v>
      </c>
      <c r="B70" s="5" t="n">
        <v>2</v>
      </c>
      <c r="C70" s="5" t="inlineStr">
        <is>
          <t>5b</t>
        </is>
      </c>
      <c r="D70" s="5" t="inlineStr">
        <is>
          <t>Average monthly</t>
        </is>
      </c>
      <c r="E70" s="5" t="inlineStr">
        <is>
          <t>FL-150[0].Page2[0].List5[0].Li2[0].TextField8[0]</t>
        </is>
      </c>
      <c r="F70" s="5" t="inlineStr">
        <is>
          <t>text</t>
        </is>
      </c>
      <c r="G70" s="5" t="inlineStr"/>
      <c r="H70" s="5" t="inlineStr"/>
      <c r="I70" s="5" t="inlineStr">
        <is>
          <t>530, 168, 575, 178</t>
        </is>
      </c>
      <c r="J70" s="5" t="inlineStr">
        <is>
          <t>question</t>
        </is>
      </c>
      <c r="K70" s="5" t="inlineStr">
        <is>
          <t>F3</t>
        </is>
      </c>
      <c r="L70" s="5">
        <f> money(F3["overtime"].average)</f>
        <v/>
      </c>
      <c r="M70" s="5" t="inlineStr">
        <is>
          <t>F2 has "overtime"</t>
        </is>
      </c>
      <c r="N70" s="5" t="inlineStr"/>
      <c r="O70" s="5" t="inlineStr"/>
    </row>
    <row r="71">
      <c r="A71" s="5" t="n">
        <v>70</v>
      </c>
      <c r="B71" s="5" t="n">
        <v>2</v>
      </c>
      <c r="C71" s="5" t="inlineStr">
        <is>
          <t>5c</t>
        </is>
      </c>
      <c r="D71" s="5" t="inlineStr">
        <is>
          <t>Last month</t>
        </is>
      </c>
      <c r="E71" s="5" t="inlineStr">
        <is>
          <t>FL-150[0].Page2[0].List5[0].Li3[0].FillText1[0]</t>
        </is>
      </c>
      <c r="F71" s="5" t="inlineStr">
        <is>
          <t>text</t>
        </is>
      </c>
      <c r="G71" s="5" t="inlineStr"/>
      <c r="H71" s="5" t="inlineStr"/>
      <c r="I71" s="5" t="inlineStr">
        <is>
          <t>481, 180, 527, 190</t>
        </is>
      </c>
      <c r="J71" s="5" t="inlineStr">
        <is>
          <t>question</t>
        </is>
      </c>
      <c r="K71" s="5" t="inlineStr">
        <is>
          <t>F3</t>
        </is>
      </c>
      <c r="L71" s="5">
        <f> money(F3["commissions or bonuses"].lastMonth)</f>
        <v/>
      </c>
      <c r="M71" s="5" t="inlineStr">
        <is>
          <t>F2 has "commissions or bonuses"</t>
        </is>
      </c>
      <c r="N71" s="5" t="inlineStr"/>
      <c r="O71" s="5" t="inlineStr"/>
    </row>
    <row r="72">
      <c r="A72" s="5" t="n">
        <v>71</v>
      </c>
      <c r="B72" s="5" t="n">
        <v>2</v>
      </c>
      <c r="C72" s="5" t="inlineStr">
        <is>
          <t>5c</t>
        </is>
      </c>
      <c r="D72" s="5" t="inlineStr">
        <is>
          <t>Average monthly</t>
        </is>
      </c>
      <c r="E72" s="5" t="inlineStr">
        <is>
          <t>FL-150[0].Page2[0].List5[0].Li3[0].TextField9[0]</t>
        </is>
      </c>
      <c r="F72" s="5" t="inlineStr">
        <is>
          <t>text</t>
        </is>
      </c>
      <c r="G72" s="5" t="inlineStr"/>
      <c r="H72" s="5" t="inlineStr"/>
      <c r="I72" s="5" t="inlineStr">
        <is>
          <t>530, 180, 575, 190</t>
        </is>
      </c>
      <c r="J72" s="5" t="inlineStr">
        <is>
          <t>question</t>
        </is>
      </c>
      <c r="K72" s="5" t="inlineStr">
        <is>
          <t>F3</t>
        </is>
      </c>
      <c r="L72" s="5">
        <f> money(F3["commissions or bonuses"].average)</f>
        <v/>
      </c>
      <c r="M72" s="5" t="inlineStr">
        <is>
          <t>F2 has "commissions or bonuses"</t>
        </is>
      </c>
      <c r="N72" s="5" t="inlineStr"/>
      <c r="O72" s="5" t="inlineStr"/>
    </row>
    <row r="73">
      <c r="A73" s="5" t="n">
        <v>72</v>
      </c>
      <c r="B73" s="5" t="n">
        <v>2</v>
      </c>
      <c r="C73" s="5" t="inlineStr">
        <is>
          <t>5d</t>
        </is>
      </c>
      <c r="D73" s="5" t="inlineStr">
        <is>
          <t>currently receiving</t>
        </is>
      </c>
      <c r="E73" s="5" t="inlineStr">
        <is>
          <t>FL-150[0].Page2[0].List5[0].Li4[0].CBChoice1_cb[0]</t>
        </is>
      </c>
      <c r="F73" s="5" t="inlineStr">
        <is>
          <t>checkbox</t>
        </is>
      </c>
      <c r="G73" s="5" t="inlineStr">
        <is>
          <t>1</t>
        </is>
      </c>
      <c r="H73" s="5" t="inlineStr"/>
      <c r="I73" s="5" t="inlineStr">
        <is>
          <t>287, 193, 296, 202</t>
        </is>
      </c>
      <c r="J73" s="5" t="inlineStr">
        <is>
          <t>question</t>
        </is>
      </c>
      <c r="K73" s="5" t="inlineStr">
        <is>
          <t>F2,O24</t>
        </is>
      </c>
      <c r="L73" s="5" t="inlineStr">
        <is>
          <t>check if F2 has "public assistance" or O24.status has "TANF/CalWORKs"</t>
        </is>
      </c>
      <c r="M73" s="5" t="inlineStr"/>
      <c r="N73" s="5" t="inlineStr">
        <is>
          <t>"Currently receiving." Map: the O24 TANF answer also fills 5d.</t>
        </is>
      </c>
      <c r="O73" s="5" t="inlineStr"/>
    </row>
    <row r="74">
      <c r="A74" s="5" t="n">
        <v>73</v>
      </c>
      <c r="B74" s="5" t="n">
        <v>2</v>
      </c>
      <c r="C74" s="5" t="inlineStr">
        <is>
          <t>5d</t>
        </is>
      </c>
      <c r="D74" s="5" t="inlineStr">
        <is>
          <t>Last month</t>
        </is>
      </c>
      <c r="E74" s="5" t="inlineStr">
        <is>
          <t>FL-150[0].Page2[0].List5[0].Li4[0].FillText1[0]</t>
        </is>
      </c>
      <c r="F74" s="5" t="inlineStr">
        <is>
          <t>text</t>
        </is>
      </c>
      <c r="G74" s="5" t="inlineStr"/>
      <c r="H74" s="5" t="inlineStr"/>
      <c r="I74" s="5" t="inlineStr">
        <is>
          <t>481, 193, 527, 203</t>
        </is>
      </c>
      <c r="J74" s="5" t="inlineStr">
        <is>
          <t>question</t>
        </is>
      </c>
      <c r="K74" s="5" t="inlineStr">
        <is>
          <t>F3</t>
        </is>
      </c>
      <c r="L74" s="5">
        <f> money(F3["public assistance"].lastMonth)</f>
        <v/>
      </c>
      <c r="M74" s="5" t="inlineStr">
        <is>
          <t>F2 has "public assistance"</t>
        </is>
      </c>
      <c r="N74" s="5" t="inlineStr"/>
      <c r="O74" s="5" t="inlineStr"/>
    </row>
    <row r="75">
      <c r="A75" s="5" t="n">
        <v>74</v>
      </c>
      <c r="B75" s="5" t="n">
        <v>2</v>
      </c>
      <c r="C75" s="5" t="inlineStr">
        <is>
          <t>5d</t>
        </is>
      </c>
      <c r="D75" s="5" t="inlineStr">
        <is>
          <t>Average monthly</t>
        </is>
      </c>
      <c r="E75" s="5" t="inlineStr">
        <is>
          <t>FL-150[0].Page2[0].List5[0].Li4[0].TextField10[0]</t>
        </is>
      </c>
      <c r="F75" s="5" t="inlineStr">
        <is>
          <t>text</t>
        </is>
      </c>
      <c r="G75" s="5" t="inlineStr"/>
      <c r="H75" s="5" t="inlineStr"/>
      <c r="I75" s="5" t="inlineStr">
        <is>
          <t>530, 193, 575, 203</t>
        </is>
      </c>
      <c r="J75" s="5" t="inlineStr">
        <is>
          <t>question</t>
        </is>
      </c>
      <c r="K75" s="5" t="inlineStr">
        <is>
          <t>F3</t>
        </is>
      </c>
      <c r="L75" s="5">
        <f> money(F3["public assistance"].average)</f>
        <v/>
      </c>
      <c r="M75" s="5" t="inlineStr">
        <is>
          <t>F2 has "public assistance"</t>
        </is>
      </c>
      <c r="N75" s="5" t="inlineStr"/>
      <c r="O75" s="5" t="inlineStr"/>
    </row>
    <row r="76">
      <c r="A76" s="5" t="n">
        <v>75</v>
      </c>
      <c r="B76" s="5" t="n">
        <v>2</v>
      </c>
      <c r="C76" s="5" t="inlineStr">
        <is>
          <t>5e</t>
        </is>
      </c>
      <c r="D76" s="5" t="inlineStr">
        <is>
          <t>from this marriage</t>
        </is>
      </c>
      <c r="E76" s="5" t="inlineStr">
        <is>
          <t>FL-150[0].Page2[0].List5[0].Li5[0].CBChoice1_cb[0]</t>
        </is>
      </c>
      <c r="F76" s="5" t="inlineStr">
        <is>
          <t>checkbox</t>
        </is>
      </c>
      <c r="G76" s="5" t="inlineStr">
        <is>
          <t>1</t>
        </is>
      </c>
      <c r="H76" s="5" t="inlineStr"/>
      <c r="I76" s="5" t="inlineStr">
        <is>
          <t>141, 206, 150, 215</t>
        </is>
      </c>
      <c r="J76" s="5" t="inlineStr">
        <is>
          <t>question</t>
        </is>
      </c>
      <c r="K76" s="5" t="inlineStr">
        <is>
          <t>F3</t>
        </is>
      </c>
      <c r="L76" s="5" t="inlineStr">
        <is>
          <t>check if F3["spousal support"].from == "this marriage"</t>
        </is>
      </c>
      <c r="M76" s="5" t="inlineStr">
        <is>
          <t>F2 has "spousal support"</t>
        </is>
      </c>
      <c r="N76" s="5" t="inlineStr">
        <is>
          <t>F2 combines spousal and partner support; the F3 row needs a "from" sub-question (gap).</t>
        </is>
      </c>
      <c r="O76" s="5" t="inlineStr"/>
    </row>
    <row r="77">
      <c r="A77" s="5" t="n">
        <v>76</v>
      </c>
      <c r="B77" s="5" t="n">
        <v>2</v>
      </c>
      <c r="C77" s="5" t="inlineStr">
        <is>
          <t>5e</t>
        </is>
      </c>
      <c r="D77" s="5" t="inlineStr">
        <is>
          <t>from a different marriage</t>
        </is>
      </c>
      <c r="E77" s="5" t="inlineStr">
        <is>
          <t>FL-150[0].Page2[0].List5[0].Li5[0].CBChoice1_cb2[0]</t>
        </is>
      </c>
      <c r="F77" s="5" t="inlineStr">
        <is>
          <t>checkbox</t>
        </is>
      </c>
      <c r="G77" s="5" t="inlineStr">
        <is>
          <t>1</t>
        </is>
      </c>
      <c r="H77" s="5" t="inlineStr"/>
      <c r="I77" s="5" t="inlineStr">
        <is>
          <t>243, 206, 252, 215</t>
        </is>
      </c>
      <c r="J77" s="5" t="inlineStr">
        <is>
          <t>question</t>
        </is>
      </c>
      <c r="K77" s="5" t="inlineStr">
        <is>
          <t>F3</t>
        </is>
      </c>
      <c r="L77" s="5" t="inlineStr">
        <is>
          <t>check if F3["spousal support"].from == "different marriage"</t>
        </is>
      </c>
      <c r="M77" s="5" t="inlineStr">
        <is>
          <t>F2 has "spousal support"</t>
        </is>
      </c>
      <c r="N77" s="5" t="inlineStr"/>
      <c r="O77" s="5" t="inlineStr"/>
    </row>
    <row r="78">
      <c r="A78" s="5" t="n">
        <v>77</v>
      </c>
      <c r="B78" s="5" t="n">
        <v>2</v>
      </c>
      <c r="C78" s="5" t="inlineStr">
        <is>
          <t>5e</t>
        </is>
      </c>
      <c r="D78" s="5" t="inlineStr">
        <is>
          <t>federally taxable*</t>
        </is>
      </c>
      <c r="E78" s="5" t="inlineStr">
        <is>
          <t>FL-150[0].Page2[0].List5[0].Li5[0].CBChoice1_cb3[0]</t>
        </is>
      </c>
      <c r="F78" s="5" t="inlineStr">
        <is>
          <t>checkbox</t>
        </is>
      </c>
      <c r="G78" s="5" t="inlineStr">
        <is>
          <t>1</t>
        </is>
      </c>
      <c r="H78" s="5" t="inlineStr"/>
      <c r="I78" s="5" t="inlineStr">
        <is>
          <t>372, 206, 381, 215</t>
        </is>
      </c>
      <c r="J78" s="5" t="inlineStr">
        <is>
          <t>question</t>
        </is>
      </c>
      <c r="K78" s="5" t="inlineStr">
        <is>
          <t>F3</t>
        </is>
      </c>
      <c r="L78" s="5" t="inlineStr">
        <is>
          <t>check if F3["spousal support"].taxable</t>
        </is>
      </c>
      <c r="M78" s="5" t="inlineStr">
        <is>
          <t>F2 has "spousal support"</t>
        </is>
      </c>
      <c r="N78" s="5" t="inlineStr"/>
      <c r="O78" s="5" t="inlineStr"/>
    </row>
    <row r="79">
      <c r="A79" s="5" t="n">
        <v>78</v>
      </c>
      <c r="B79" s="5" t="n">
        <v>2</v>
      </c>
      <c r="C79" s="5" t="inlineStr">
        <is>
          <t>5e</t>
        </is>
      </c>
      <c r="D79" s="5" t="inlineStr">
        <is>
          <t>Last month</t>
        </is>
      </c>
      <c r="E79" s="5" t="inlineStr">
        <is>
          <t>FL-150[0].Page2[0].List5[0].Li5[0].FillText1[0]</t>
        </is>
      </c>
      <c r="F79" s="5" t="inlineStr">
        <is>
          <t>text</t>
        </is>
      </c>
      <c r="G79" s="5" t="inlineStr"/>
      <c r="H79" s="5" t="inlineStr"/>
      <c r="I79" s="5" t="inlineStr">
        <is>
          <t>481, 205, 527, 215</t>
        </is>
      </c>
      <c r="J79" s="5" t="inlineStr">
        <is>
          <t>question</t>
        </is>
      </c>
      <c r="K79" s="5" t="inlineStr">
        <is>
          <t>F3</t>
        </is>
      </c>
      <c r="L79" s="5">
        <f> money(F3["spousal support"].lastMonth)</f>
        <v/>
      </c>
      <c r="M79" s="5" t="inlineStr">
        <is>
          <t>F2 has "spousal support"</t>
        </is>
      </c>
      <c r="N79" s="5" t="inlineStr"/>
      <c r="O79" s="5" t="inlineStr"/>
    </row>
    <row r="80">
      <c r="A80" s="5" t="n">
        <v>79</v>
      </c>
      <c r="B80" s="5" t="n">
        <v>2</v>
      </c>
      <c r="C80" s="5" t="inlineStr">
        <is>
          <t>5e</t>
        </is>
      </c>
      <c r="D80" s="5" t="inlineStr">
        <is>
          <t>Average monthly</t>
        </is>
      </c>
      <c r="E80" s="5" t="inlineStr">
        <is>
          <t>FL-150[0].Page2[0].List5[0].Li5[0].TextField11[0]</t>
        </is>
      </c>
      <c r="F80" s="5" t="inlineStr">
        <is>
          <t>text</t>
        </is>
      </c>
      <c r="G80" s="5" t="inlineStr"/>
      <c r="H80" s="5" t="inlineStr"/>
      <c r="I80" s="5" t="inlineStr">
        <is>
          <t>530, 205, 575, 215</t>
        </is>
      </c>
      <c r="J80" s="5" t="inlineStr">
        <is>
          <t>question</t>
        </is>
      </c>
      <c r="K80" s="5" t="inlineStr">
        <is>
          <t>F3</t>
        </is>
      </c>
      <c r="L80" s="5">
        <f> money(F3["spousal support"].average)</f>
        <v/>
      </c>
      <c r="M80" s="5" t="inlineStr">
        <is>
          <t>F2 has "spousal support"</t>
        </is>
      </c>
      <c r="N80" s="5" t="inlineStr"/>
      <c r="O80" s="5" t="inlineStr"/>
    </row>
    <row r="81">
      <c r="A81" s="5" t="n">
        <v>80</v>
      </c>
      <c r="B81" s="5" t="n">
        <v>2</v>
      </c>
      <c r="C81" s="5" t="inlineStr">
        <is>
          <t>5f</t>
        </is>
      </c>
      <c r="D81" s="5" t="inlineStr">
        <is>
          <t>from this domestic partnership</t>
        </is>
      </c>
      <c r="E81" s="5" t="inlineStr">
        <is>
          <t>FL-150[0].Page2[0].List5[0].Li6[0].CBChoice1_cb[0]</t>
        </is>
      </c>
      <c r="F81" s="5" t="inlineStr">
        <is>
          <t>checkbox</t>
        </is>
      </c>
      <c r="G81" s="5" t="inlineStr">
        <is>
          <t>1</t>
        </is>
      </c>
      <c r="H81" s="5" t="inlineStr"/>
      <c r="I81" s="5" t="inlineStr">
        <is>
          <t>141, 218, 150, 227</t>
        </is>
      </c>
      <c r="J81" s="5" t="inlineStr">
        <is>
          <t>question</t>
        </is>
      </c>
      <c r="K81" s="5" t="inlineStr">
        <is>
          <t>F3</t>
        </is>
      </c>
      <c r="L81" s="5" t="inlineStr">
        <is>
          <t>check if F3["partner support"].from == "this partnership"</t>
        </is>
      </c>
      <c r="M81" s="5" t="inlineStr">
        <is>
          <t>F2 has "partner support"</t>
        </is>
      </c>
      <c r="N81" s="5" t="inlineStr"/>
      <c r="O81" s="5" t="inlineStr"/>
    </row>
    <row r="82">
      <c r="A82" s="5" t="n">
        <v>81</v>
      </c>
      <c r="B82" s="5" t="n">
        <v>2</v>
      </c>
      <c r="C82" s="5" t="inlineStr">
        <is>
          <t>5f</t>
        </is>
      </c>
      <c r="D82" s="5" t="inlineStr">
        <is>
          <t>from a different domestic partnership</t>
        </is>
      </c>
      <c r="E82" s="5" t="inlineStr">
        <is>
          <t>FL-150[0].Page2[0].List5[0].Li6[0].CBChoice1_cb2[0]</t>
        </is>
      </c>
      <c r="F82" s="5" t="inlineStr">
        <is>
          <t>checkbox</t>
        </is>
      </c>
      <c r="G82" s="5" t="inlineStr">
        <is>
          <t>1</t>
        </is>
      </c>
      <c r="H82" s="5" t="inlineStr"/>
      <c r="I82" s="5" t="inlineStr">
        <is>
          <t>301, 218, 310, 227</t>
        </is>
      </c>
      <c r="J82" s="5" t="inlineStr">
        <is>
          <t>question</t>
        </is>
      </c>
      <c r="K82" s="5" t="inlineStr">
        <is>
          <t>F3</t>
        </is>
      </c>
      <c r="L82" s="5" t="inlineStr">
        <is>
          <t>check if F3["partner support"].from == "different partnership"</t>
        </is>
      </c>
      <c r="M82" s="5" t="inlineStr">
        <is>
          <t>F2 has "partner support"</t>
        </is>
      </c>
      <c r="N82" s="5" t="inlineStr"/>
      <c r="O82" s="5" t="inlineStr"/>
    </row>
    <row r="83">
      <c r="A83" s="5" t="n">
        <v>82</v>
      </c>
      <c r="B83" s="5" t="n">
        <v>2</v>
      </c>
      <c r="C83" s="5" t="inlineStr">
        <is>
          <t>5f</t>
        </is>
      </c>
      <c r="D83" s="5" t="inlineStr">
        <is>
          <t>Last month</t>
        </is>
      </c>
      <c r="E83" s="5" t="inlineStr">
        <is>
          <t>FL-150[0].Page2[0].List5[0].Li6[0].FillText1[0]</t>
        </is>
      </c>
      <c r="F83" s="5" t="inlineStr">
        <is>
          <t>text</t>
        </is>
      </c>
      <c r="G83" s="5" t="inlineStr"/>
      <c r="H83" s="5" t="inlineStr"/>
      <c r="I83" s="5" t="inlineStr">
        <is>
          <t>481, 217, 527, 227</t>
        </is>
      </c>
      <c r="J83" s="5" t="inlineStr">
        <is>
          <t>question</t>
        </is>
      </c>
      <c r="K83" s="5" t="inlineStr">
        <is>
          <t>F3</t>
        </is>
      </c>
      <c r="L83" s="5">
        <f> money(F3["partner support"].lastMonth)</f>
        <v/>
      </c>
      <c r="M83" s="5" t="inlineStr">
        <is>
          <t>F2 has "partner support"</t>
        </is>
      </c>
      <c r="N83" s="5" t="inlineStr"/>
      <c r="O83" s="5" t="inlineStr"/>
    </row>
    <row r="84">
      <c r="A84" s="5" t="n">
        <v>83</v>
      </c>
      <c r="B84" s="5" t="n">
        <v>2</v>
      </c>
      <c r="C84" s="5" t="inlineStr">
        <is>
          <t>5f</t>
        </is>
      </c>
      <c r="D84" s="5" t="inlineStr">
        <is>
          <t>Average monthly</t>
        </is>
      </c>
      <c r="E84" s="5" t="inlineStr">
        <is>
          <t>FL-150[0].Page2[0].List5[0].Li6[0].TextField12[0]</t>
        </is>
      </c>
      <c r="F84" s="5" t="inlineStr">
        <is>
          <t>text</t>
        </is>
      </c>
      <c r="G84" s="5" t="inlineStr"/>
      <c r="H84" s="5" t="inlineStr"/>
      <c r="I84" s="5" t="inlineStr">
        <is>
          <t>530, 217, 575, 227</t>
        </is>
      </c>
      <c r="J84" s="5" t="inlineStr">
        <is>
          <t>question</t>
        </is>
      </c>
      <c r="K84" s="5" t="inlineStr">
        <is>
          <t>F3</t>
        </is>
      </c>
      <c r="L84" s="5">
        <f> money(F3["partner support"].average)</f>
        <v/>
      </c>
      <c r="M84" s="5" t="inlineStr">
        <is>
          <t>F2 has "partner support"</t>
        </is>
      </c>
      <c r="N84" s="5" t="inlineStr"/>
      <c r="O84" s="5" t="inlineStr"/>
    </row>
    <row r="85">
      <c r="A85" s="5" t="n">
        <v>84</v>
      </c>
      <c r="B85" s="5" t="n">
        <v>2</v>
      </c>
      <c r="C85" s="5" t="inlineStr">
        <is>
          <t>5g</t>
        </is>
      </c>
      <c r="D85" s="5" t="inlineStr">
        <is>
          <t>Last month</t>
        </is>
      </c>
      <c r="E85" s="5" t="inlineStr">
        <is>
          <t>FL-150[0].Page2[0].List5[0].Li7[0].FillText1[0]</t>
        </is>
      </c>
      <c r="F85" s="5" t="inlineStr">
        <is>
          <t>text</t>
        </is>
      </c>
      <c r="G85" s="5" t="inlineStr"/>
      <c r="H85" s="5" t="inlineStr"/>
      <c r="I85" s="5" t="inlineStr">
        <is>
          <t>481, 230, 527, 240</t>
        </is>
      </c>
      <c r="J85" s="5" t="inlineStr">
        <is>
          <t>question</t>
        </is>
      </c>
      <c r="K85" s="5" t="inlineStr">
        <is>
          <t>F3</t>
        </is>
      </c>
      <c r="L85" s="5">
        <f> money(F3["pension"].lastMonth)</f>
        <v/>
      </c>
      <c r="M85" s="5" t="inlineStr">
        <is>
          <t>F2 has "pension"</t>
        </is>
      </c>
      <c r="N85" s="5" t="inlineStr"/>
      <c r="O85" s="5" t="inlineStr"/>
    </row>
    <row r="86">
      <c r="A86" s="5" t="n">
        <v>85</v>
      </c>
      <c r="B86" s="5" t="n">
        <v>2</v>
      </c>
      <c r="C86" s="5" t="inlineStr">
        <is>
          <t>5g</t>
        </is>
      </c>
      <c r="D86" s="5" t="inlineStr">
        <is>
          <t>Average monthly</t>
        </is>
      </c>
      <c r="E86" s="5" t="inlineStr">
        <is>
          <t>FL-150[0].Page2[0].List5[0].Li7[0].TextField13[0]</t>
        </is>
      </c>
      <c r="F86" s="5" t="inlineStr">
        <is>
          <t>text</t>
        </is>
      </c>
      <c r="G86" s="5" t="inlineStr"/>
      <c r="H86" s="5" t="inlineStr"/>
      <c r="I86" s="5" t="inlineStr">
        <is>
          <t>530, 230, 575, 240</t>
        </is>
      </c>
      <c r="J86" s="5" t="inlineStr">
        <is>
          <t>question</t>
        </is>
      </c>
      <c r="K86" s="5" t="inlineStr">
        <is>
          <t>F3</t>
        </is>
      </c>
      <c r="L86" s="5">
        <f> money(F3["pension"].average)</f>
        <v/>
      </c>
      <c r="M86" s="5" t="inlineStr">
        <is>
          <t>F2 has "pension"</t>
        </is>
      </c>
      <c r="N86" s="5" t="inlineStr"/>
      <c r="O86" s="5" t="inlineStr"/>
    </row>
    <row r="87">
      <c r="A87" s="5" t="n">
        <v>86</v>
      </c>
      <c r="B87" s="5" t="n">
        <v>2</v>
      </c>
      <c r="C87" s="5" t="inlineStr">
        <is>
          <t>5h</t>
        </is>
      </c>
      <c r="D87" s="5" t="inlineStr">
        <is>
          <t>Last month</t>
        </is>
      </c>
      <c r="E87" s="5" t="inlineStr">
        <is>
          <t>FL-150[0].Page2[0].List5[0].Li8[0].FillText1[0]</t>
        </is>
      </c>
      <c r="F87" s="5" t="inlineStr">
        <is>
          <t>text</t>
        </is>
      </c>
      <c r="G87" s="5" t="inlineStr"/>
      <c r="H87" s="5" t="inlineStr"/>
      <c r="I87" s="5" t="inlineStr">
        <is>
          <t>481, 242, 527, 252</t>
        </is>
      </c>
      <c r="J87" s="5" t="inlineStr">
        <is>
          <t>question</t>
        </is>
      </c>
      <c r="K87" s="5" t="inlineStr">
        <is>
          <t>F3</t>
        </is>
      </c>
      <c r="L87" s="5">
        <f> money(F3["Social Security"].lastMonth)</f>
        <v/>
      </c>
      <c r="M87" s="5" t="inlineStr">
        <is>
          <t>F2 has "Social Security"</t>
        </is>
      </c>
      <c r="N87" s="5" t="inlineStr"/>
      <c r="O87" s="5" t="inlineStr"/>
    </row>
    <row r="88">
      <c r="A88" s="5" t="n">
        <v>87</v>
      </c>
      <c r="B88" s="5" t="n">
        <v>2</v>
      </c>
      <c r="C88" s="5" t="inlineStr">
        <is>
          <t>5h</t>
        </is>
      </c>
      <c r="D88" s="5" t="inlineStr">
        <is>
          <t>Average monthly</t>
        </is>
      </c>
      <c r="E88" s="5" t="inlineStr">
        <is>
          <t>FL-150[0].Page2[0].List5[0].Li8[0].TextField14[0]</t>
        </is>
      </c>
      <c r="F88" s="5" t="inlineStr">
        <is>
          <t>text</t>
        </is>
      </c>
      <c r="G88" s="5" t="inlineStr"/>
      <c r="H88" s="5" t="inlineStr"/>
      <c r="I88" s="5" t="inlineStr">
        <is>
          <t>530, 242, 575, 252</t>
        </is>
      </c>
      <c r="J88" s="5" t="inlineStr">
        <is>
          <t>question</t>
        </is>
      </c>
      <c r="K88" s="5" t="inlineStr">
        <is>
          <t>F3</t>
        </is>
      </c>
      <c r="L88" s="5">
        <f> money(F3["Social Security"].average)</f>
        <v/>
      </c>
      <c r="M88" s="5" t="inlineStr">
        <is>
          <t>F2 has "Social Security"</t>
        </is>
      </c>
      <c r="N88" s="5" t="inlineStr"/>
      <c r="O88" s="5" t="inlineStr"/>
    </row>
    <row r="89">
      <c r="A89" s="5" t="n">
        <v>88</v>
      </c>
      <c r="B89" s="5" t="n">
        <v>2</v>
      </c>
      <c r="C89" s="5" t="inlineStr">
        <is>
          <t>5i</t>
        </is>
      </c>
      <c r="D89" s="5" t="inlineStr">
        <is>
          <t>Social Security (not SSI)</t>
        </is>
      </c>
      <c r="E89" s="5" t="inlineStr">
        <is>
          <t>FL-150[0].Page2[0].List5[0].Li9[0].CBChoice1_cb[0]</t>
        </is>
      </c>
      <c r="F89" s="5" t="inlineStr">
        <is>
          <t>checkbox</t>
        </is>
      </c>
      <c r="G89" s="5" t="inlineStr">
        <is>
          <t>1</t>
        </is>
      </c>
      <c r="H89" s="5" t="inlineStr"/>
      <c r="I89" s="5" t="inlineStr">
        <is>
          <t>115, 255, 124, 264</t>
        </is>
      </c>
      <c r="J89" s="5" t="inlineStr">
        <is>
          <t>question</t>
        </is>
      </c>
      <c r="K89" s="5" t="inlineStr">
        <is>
          <t>F3</t>
        </is>
      </c>
      <c r="L89" s="5" t="inlineStr">
        <is>
          <t>check if F3["disability"].kind has "Social Security"</t>
        </is>
      </c>
      <c r="M89" s="5" t="inlineStr">
        <is>
          <t>F2 has "disability"</t>
        </is>
      </c>
      <c r="N89" s="5" t="inlineStr"/>
      <c r="O89" s="5" t="inlineStr"/>
    </row>
    <row r="90">
      <c r="A90" s="5" t="n">
        <v>89</v>
      </c>
      <c r="B90" s="5" t="n">
        <v>2</v>
      </c>
      <c r="C90" s="5" t="inlineStr">
        <is>
          <t>5i</t>
        </is>
      </c>
      <c r="D90" s="5" t="inlineStr">
        <is>
          <t>State disability (SDI)</t>
        </is>
      </c>
      <c r="E90" s="5" t="inlineStr">
        <is>
          <t>FL-150[0].Page2[0].List5[0].Li9[0].CBChoice1_cb1[0]</t>
        </is>
      </c>
      <c r="F90" s="5" t="inlineStr">
        <is>
          <t>checkbox</t>
        </is>
      </c>
      <c r="G90" s="5" t="inlineStr">
        <is>
          <t>1</t>
        </is>
      </c>
      <c r="H90" s="5" t="inlineStr"/>
      <c r="I90" s="5" t="inlineStr">
        <is>
          <t>251, 255, 260, 264</t>
        </is>
      </c>
      <c r="J90" s="5" t="inlineStr">
        <is>
          <t>question</t>
        </is>
      </c>
      <c r="K90" s="5" t="inlineStr">
        <is>
          <t>F3</t>
        </is>
      </c>
      <c r="L90" s="5" t="inlineStr">
        <is>
          <t>check if F3["disability"].kind has "SDI"</t>
        </is>
      </c>
      <c r="M90" s="5" t="inlineStr">
        <is>
          <t>F2 has "disability"</t>
        </is>
      </c>
      <c r="N90" s="5" t="inlineStr"/>
      <c r="O90" s="5" t="inlineStr"/>
    </row>
    <row r="91">
      <c r="A91" s="5" t="n">
        <v>90</v>
      </c>
      <c r="B91" s="5" t="n">
        <v>2</v>
      </c>
      <c r="C91" s="5" t="inlineStr">
        <is>
          <t>5i</t>
        </is>
      </c>
      <c r="D91" s="5" t="inlineStr">
        <is>
          <t>Private insurance</t>
        </is>
      </c>
      <c r="E91" s="5" t="inlineStr">
        <is>
          <t>FL-150[0].Page2[0].List5[0].Li9[0].CBChoice1_cb2[0]</t>
        </is>
      </c>
      <c r="F91" s="5" t="inlineStr">
        <is>
          <t>checkbox</t>
        </is>
      </c>
      <c r="G91" s="5" t="inlineStr">
        <is>
          <t>1</t>
        </is>
      </c>
      <c r="H91" s="5" t="inlineStr"/>
      <c r="I91" s="5" t="inlineStr">
        <is>
          <t>374, 255, 383, 264</t>
        </is>
      </c>
      <c r="J91" s="5" t="inlineStr">
        <is>
          <t>question</t>
        </is>
      </c>
      <c r="K91" s="5" t="inlineStr">
        <is>
          <t>F3</t>
        </is>
      </c>
      <c r="L91" s="5" t="inlineStr">
        <is>
          <t>check if F3["disability"].kind has "private insurance"</t>
        </is>
      </c>
      <c r="M91" s="5" t="inlineStr">
        <is>
          <t>F2 has "disability"</t>
        </is>
      </c>
      <c r="N91" s="5" t="inlineStr"/>
      <c r="O91" s="5" t="inlineStr"/>
    </row>
    <row r="92">
      <c r="A92" s="5" t="n">
        <v>91</v>
      </c>
      <c r="B92" s="5" t="n">
        <v>2</v>
      </c>
      <c r="C92" s="5" t="inlineStr">
        <is>
          <t>5i</t>
        </is>
      </c>
      <c r="D92" s="5" t="inlineStr">
        <is>
          <t>Last month</t>
        </is>
      </c>
      <c r="E92" s="5" t="inlineStr">
        <is>
          <t>FL-150[0].Page2[0].List5[0].Li9[0].FillText1[0]</t>
        </is>
      </c>
      <c r="F92" s="5" t="inlineStr">
        <is>
          <t>text</t>
        </is>
      </c>
      <c r="G92" s="5" t="inlineStr"/>
      <c r="H92" s="5" t="inlineStr"/>
      <c r="I92" s="5" t="inlineStr">
        <is>
          <t>481, 254, 527, 264</t>
        </is>
      </c>
      <c r="J92" s="5" t="inlineStr">
        <is>
          <t>question</t>
        </is>
      </c>
      <c r="K92" s="5" t="inlineStr">
        <is>
          <t>F3</t>
        </is>
      </c>
      <c r="L92" s="5">
        <f> money(F3["disability"].lastMonth)</f>
        <v/>
      </c>
      <c r="M92" s="5" t="inlineStr">
        <is>
          <t>F2 has "disability"</t>
        </is>
      </c>
      <c r="N92" s="5" t="inlineStr"/>
      <c r="O92" s="5" t="inlineStr"/>
    </row>
    <row r="93">
      <c r="A93" s="5" t="n">
        <v>92</v>
      </c>
      <c r="B93" s="5" t="n">
        <v>2</v>
      </c>
      <c r="C93" s="5" t="inlineStr">
        <is>
          <t>5i</t>
        </is>
      </c>
      <c r="D93" s="5" t="inlineStr">
        <is>
          <t>Average monthly</t>
        </is>
      </c>
      <c r="E93" s="5" t="inlineStr">
        <is>
          <t>FL-150[0].Page2[0].List5[0].Li9[0].TextField15[0]</t>
        </is>
      </c>
      <c r="F93" s="5" t="inlineStr">
        <is>
          <t>text</t>
        </is>
      </c>
      <c r="G93" s="5" t="inlineStr"/>
      <c r="H93" s="5" t="inlineStr"/>
      <c r="I93" s="5" t="inlineStr">
        <is>
          <t>530, 254, 575, 264</t>
        </is>
      </c>
      <c r="J93" s="5" t="inlineStr">
        <is>
          <t>question</t>
        </is>
      </c>
      <c r="K93" s="5" t="inlineStr">
        <is>
          <t>F3</t>
        </is>
      </c>
      <c r="L93" s="5">
        <f> money(F3["disability"].average)</f>
        <v/>
      </c>
      <c r="M93" s="5" t="inlineStr">
        <is>
          <t>F2 has "disability"</t>
        </is>
      </c>
      <c r="N93" s="5" t="inlineStr"/>
      <c r="O93" s="5" t="inlineStr"/>
    </row>
    <row r="94">
      <c r="A94" s="5" t="n">
        <v>93</v>
      </c>
      <c r="B94" s="5" t="n">
        <v>2</v>
      </c>
      <c r="C94" s="5" t="inlineStr">
        <is>
          <t>5j</t>
        </is>
      </c>
      <c r="D94" s="5" t="inlineStr">
        <is>
          <t>Last month</t>
        </is>
      </c>
      <c r="E94" s="5" t="inlineStr">
        <is>
          <t>FL-150[0].Page2[0].List5[0].Li10[0].FillText1[0]</t>
        </is>
      </c>
      <c r="F94" s="5" t="inlineStr">
        <is>
          <t>text</t>
        </is>
      </c>
      <c r="G94" s="5" t="inlineStr"/>
      <c r="H94" s="5" t="inlineStr"/>
      <c r="I94" s="5" t="inlineStr">
        <is>
          <t>481, 267, 527, 277</t>
        </is>
      </c>
      <c r="J94" s="5" t="inlineStr">
        <is>
          <t>question</t>
        </is>
      </c>
      <c r="K94" s="5" t="inlineStr">
        <is>
          <t>F3</t>
        </is>
      </c>
      <c r="L94" s="5">
        <f> money(F3["unemployment"].lastMonth)</f>
        <v/>
      </c>
      <c r="M94" s="5" t="inlineStr">
        <is>
          <t>F2 has "unemployment"</t>
        </is>
      </c>
      <c r="N94" s="5" t="inlineStr"/>
      <c r="O94" s="5" t="inlineStr"/>
    </row>
    <row r="95">
      <c r="A95" s="5" t="n">
        <v>94</v>
      </c>
      <c r="B95" s="5" t="n">
        <v>2</v>
      </c>
      <c r="C95" s="5" t="inlineStr">
        <is>
          <t>5j</t>
        </is>
      </c>
      <c r="D95" s="5" t="inlineStr">
        <is>
          <t>Average monthly</t>
        </is>
      </c>
      <c r="E95" s="5" t="inlineStr">
        <is>
          <t>FL-150[0].Page2[0].List5[0].Li10[0].TextField16[0]</t>
        </is>
      </c>
      <c r="F95" s="5" t="inlineStr">
        <is>
          <t>text</t>
        </is>
      </c>
      <c r="G95" s="5" t="inlineStr"/>
      <c r="H95" s="5" t="inlineStr"/>
      <c r="I95" s="5" t="inlineStr">
        <is>
          <t>530, 267, 575, 277</t>
        </is>
      </c>
      <c r="J95" s="5" t="inlineStr">
        <is>
          <t>question</t>
        </is>
      </c>
      <c r="K95" s="5" t="inlineStr">
        <is>
          <t>F3</t>
        </is>
      </c>
      <c r="L95" s="5">
        <f> money(F3["unemployment"].average)</f>
        <v/>
      </c>
      <c r="M95" s="5" t="inlineStr">
        <is>
          <t>F2 has "unemployment"</t>
        </is>
      </c>
      <c r="N95" s="5" t="inlineStr"/>
      <c r="O95" s="5" t="inlineStr"/>
    </row>
    <row r="96">
      <c r="A96" s="5" t="n">
        <v>95</v>
      </c>
      <c r="B96" s="5" t="n">
        <v>2</v>
      </c>
      <c r="C96" s="5" t="inlineStr">
        <is>
          <t>5k</t>
        </is>
      </c>
      <c r="D96" s="5" t="inlineStr">
        <is>
          <t>Last month</t>
        </is>
      </c>
      <c r="E96" s="5" t="inlineStr">
        <is>
          <t>FL-150[0].Page2[0].List5[0].Li11[0].FillText1[0]</t>
        </is>
      </c>
      <c r="F96" s="5" t="inlineStr">
        <is>
          <t>text</t>
        </is>
      </c>
      <c r="G96" s="5" t="inlineStr"/>
      <c r="H96" s="5" t="inlineStr"/>
      <c r="I96" s="5" t="inlineStr">
        <is>
          <t>481, 279, 527, 289</t>
        </is>
      </c>
      <c r="J96" s="5" t="inlineStr">
        <is>
          <t>question</t>
        </is>
      </c>
      <c r="K96" s="5" t="inlineStr">
        <is>
          <t>F3</t>
        </is>
      </c>
      <c r="L96" s="5">
        <f> money(F3["workers' comp"].lastMonth)</f>
        <v/>
      </c>
      <c r="M96" s="5" t="inlineStr">
        <is>
          <t>F2 has "workers' comp"</t>
        </is>
      </c>
      <c r="N96" s="5" t="inlineStr"/>
      <c r="O96" s="5" t="inlineStr"/>
    </row>
    <row r="97">
      <c r="A97" s="5" t="n">
        <v>96</v>
      </c>
      <c r="B97" s="5" t="n">
        <v>2</v>
      </c>
      <c r="C97" s="5" t="inlineStr">
        <is>
          <t>5k</t>
        </is>
      </c>
      <c r="D97" s="5" t="inlineStr">
        <is>
          <t>Average monthly</t>
        </is>
      </c>
      <c r="E97" s="5" t="inlineStr">
        <is>
          <t>FL-150[0].Page2[0].List5[0].Li11[0].TextField17[0]</t>
        </is>
      </c>
      <c r="F97" s="5" t="inlineStr">
        <is>
          <t>text</t>
        </is>
      </c>
      <c r="G97" s="5" t="inlineStr"/>
      <c r="H97" s="5" t="inlineStr"/>
      <c r="I97" s="5" t="inlineStr">
        <is>
          <t>530, 279, 575, 289</t>
        </is>
      </c>
      <c r="J97" s="5" t="inlineStr">
        <is>
          <t>question</t>
        </is>
      </c>
      <c r="K97" s="5" t="inlineStr">
        <is>
          <t>F3</t>
        </is>
      </c>
      <c r="L97" s="5">
        <f> money(F3["workers' comp"].average)</f>
        <v/>
      </c>
      <c r="M97" s="5" t="inlineStr">
        <is>
          <t>F2 has "workers' comp"</t>
        </is>
      </c>
      <c r="N97" s="5" t="inlineStr"/>
      <c r="O97" s="5" t="inlineStr"/>
    </row>
    <row r="98">
      <c r="A98" s="5" t="n">
        <v>97</v>
      </c>
      <c r="B98" s="5" t="n">
        <v>2</v>
      </c>
      <c r="C98" s="5" t="inlineStr">
        <is>
          <t>5l</t>
        </is>
      </c>
      <c r="D98" s="5" t="inlineStr">
        <is>
          <t>Other (military allowances, royalty payments) (specify):</t>
        </is>
      </c>
      <c r="E98" s="5" t="inlineStr">
        <is>
          <t>FL-150[0].Page2[0].List5[0].Li12[0].FillText1[0]</t>
        </is>
      </c>
      <c r="F98" s="5" t="inlineStr">
        <is>
          <t>text</t>
        </is>
      </c>
      <c r="G98" s="5" t="inlineStr"/>
      <c r="H98" s="5" t="inlineStr"/>
      <c r="I98" s="5" t="inlineStr">
        <is>
          <t>286, 292, 469, 301</t>
        </is>
      </c>
      <c r="J98" s="5" t="inlineStr">
        <is>
          <t>question</t>
        </is>
      </c>
      <c r="K98" s="5" t="inlineStr">
        <is>
          <t>F3</t>
        </is>
      </c>
      <c r="L98" s="5">
        <f> F3["other"].describe</f>
        <v/>
      </c>
      <c r="M98" s="5" t="inlineStr">
        <is>
          <t>F2 has "other"</t>
        </is>
      </c>
      <c r="N98" s="5" t="inlineStr"/>
      <c r="O98" s="5" t="inlineStr"/>
    </row>
    <row r="99">
      <c r="A99" s="5" t="n">
        <v>98</v>
      </c>
      <c r="B99" s="5" t="n">
        <v>2</v>
      </c>
      <c r="C99" s="5" t="inlineStr">
        <is>
          <t>5l</t>
        </is>
      </c>
      <c r="D99" s="5" t="inlineStr">
        <is>
          <t>Last month</t>
        </is>
      </c>
      <c r="E99" s="5" t="inlineStr">
        <is>
          <t>FL-150[0].Page2[0].List5[0].Li12[0].FillText2[0]</t>
        </is>
      </c>
      <c r="F99" s="5" t="inlineStr">
        <is>
          <t>text</t>
        </is>
      </c>
      <c r="G99" s="5" t="inlineStr"/>
      <c r="H99" s="5" t="inlineStr"/>
      <c r="I99" s="5" t="inlineStr">
        <is>
          <t>481, 291, 527, 301</t>
        </is>
      </c>
      <c r="J99" s="5" t="inlineStr">
        <is>
          <t>question</t>
        </is>
      </c>
      <c r="K99" s="5" t="inlineStr">
        <is>
          <t>F3</t>
        </is>
      </c>
      <c r="L99" s="5">
        <f> money(F3["other"].lastMonth)</f>
        <v/>
      </c>
      <c r="M99" s="5" t="inlineStr">
        <is>
          <t>F2 has "other"</t>
        </is>
      </c>
      <c r="N99" s="5" t="inlineStr"/>
      <c r="O99" s="5" t="inlineStr"/>
    </row>
    <row r="100">
      <c r="A100" s="5" t="n">
        <v>99</v>
      </c>
      <c r="B100" s="5" t="n">
        <v>2</v>
      </c>
      <c r="C100" s="5" t="inlineStr">
        <is>
          <t>5l</t>
        </is>
      </c>
      <c r="D100" s="5" t="inlineStr">
        <is>
          <t>Average monthly</t>
        </is>
      </c>
      <c r="E100" s="5" t="inlineStr">
        <is>
          <t>FL-150[0].Page2[0].List5[0].Li12[0].TextField18[0]</t>
        </is>
      </c>
      <c r="F100" s="5" t="inlineStr">
        <is>
          <t>text</t>
        </is>
      </c>
      <c r="G100" s="5" t="inlineStr"/>
      <c r="H100" s="5" t="inlineStr"/>
      <c r="I100" s="5" t="inlineStr">
        <is>
          <t>530, 291, 575, 301</t>
        </is>
      </c>
      <c r="J100" s="5" t="inlineStr">
        <is>
          <t>question</t>
        </is>
      </c>
      <c r="K100" s="5" t="inlineStr">
        <is>
          <t>F3</t>
        </is>
      </c>
      <c r="L100" s="5">
        <f> money(F3["other"].average)</f>
        <v/>
      </c>
      <c r="M100" s="5" t="inlineStr">
        <is>
          <t>F2 has "other"</t>
        </is>
      </c>
      <c r="N100" s="5" t="inlineStr"/>
      <c r="O100" s="5" t="inlineStr"/>
    </row>
    <row r="101">
      <c r="A101" s="5" t="n">
        <v>100</v>
      </c>
      <c r="B101" s="5" t="n">
        <v>2</v>
      </c>
      <c r="C101" s="5" t="inlineStr">
        <is>
          <t>6a</t>
        </is>
      </c>
      <c r="D101" s="5" t="inlineStr">
        <is>
          <t>Last month</t>
        </is>
      </c>
      <c r="E101" s="5" t="inlineStr">
        <is>
          <t>FL-150[0].Page2[0].List6[0].Li1[0].FillText1[0]</t>
        </is>
      </c>
      <c r="F101" s="5" t="inlineStr">
        <is>
          <t>text</t>
        </is>
      </c>
      <c r="G101" s="5" t="inlineStr"/>
      <c r="H101" s="5" t="inlineStr"/>
      <c r="I101" s="5" t="inlineStr">
        <is>
          <t>482, 326, 528, 336</t>
        </is>
      </c>
      <c r="J101" s="5" t="inlineStr">
        <is>
          <t>question</t>
        </is>
      </c>
      <c r="K101" s="5" t="inlineStr">
        <is>
          <t>F3</t>
        </is>
      </c>
      <c r="L101" s="5">
        <f> money(F3["interest or dividends"].lastMonth)</f>
        <v/>
      </c>
      <c r="M101" s="5" t="inlineStr">
        <is>
          <t>F2 has "interest or dividends"</t>
        </is>
      </c>
      <c r="N101" s="5" t="inlineStr"/>
      <c r="O101" s="5" t="inlineStr"/>
    </row>
    <row r="102">
      <c r="A102" s="5" t="n">
        <v>101</v>
      </c>
      <c r="B102" s="5" t="n">
        <v>2</v>
      </c>
      <c r="C102" s="5" t="inlineStr">
        <is>
          <t>6a</t>
        </is>
      </c>
      <c r="D102" s="5" t="inlineStr">
        <is>
          <t>Average monthly</t>
        </is>
      </c>
      <c r="E102" s="5" t="inlineStr">
        <is>
          <t>FL-150[0].Page2[0].List6[0].Li1[0].TextField23[0]</t>
        </is>
      </c>
      <c r="F102" s="5" t="inlineStr">
        <is>
          <t>text</t>
        </is>
      </c>
      <c r="G102" s="5" t="inlineStr"/>
      <c r="H102" s="5" t="inlineStr"/>
      <c r="I102" s="5" t="inlineStr">
        <is>
          <t>530, 326, 576, 336</t>
        </is>
      </c>
      <c r="J102" s="5" t="inlineStr">
        <is>
          <t>question</t>
        </is>
      </c>
      <c r="K102" s="5" t="inlineStr">
        <is>
          <t>F3</t>
        </is>
      </c>
      <c r="L102" s="5">
        <f> money(F3["interest or dividends"].average)</f>
        <v/>
      </c>
      <c r="M102" s="5" t="inlineStr">
        <is>
          <t>F2 has "interest or dividends"</t>
        </is>
      </c>
      <c r="N102" s="5" t="inlineStr"/>
      <c r="O102" s="5" t="inlineStr"/>
    </row>
    <row r="103">
      <c r="A103" s="5" t="n">
        <v>102</v>
      </c>
      <c r="B103" s="5" t="n">
        <v>2</v>
      </c>
      <c r="C103" s="5" t="inlineStr">
        <is>
          <t>6b</t>
        </is>
      </c>
      <c r="D103" s="5" t="inlineStr">
        <is>
          <t>Last month</t>
        </is>
      </c>
      <c r="E103" s="5" t="inlineStr">
        <is>
          <t>FL-150[0].Page2[0].List6[0].L2[0].FillText1[0]</t>
        </is>
      </c>
      <c r="F103" s="5" t="inlineStr">
        <is>
          <t>text</t>
        </is>
      </c>
      <c r="G103" s="5" t="inlineStr"/>
      <c r="H103" s="5" t="inlineStr"/>
      <c r="I103" s="5" t="inlineStr">
        <is>
          <t>482, 338, 528, 348</t>
        </is>
      </c>
      <c r="J103" s="5" t="inlineStr">
        <is>
          <t>question</t>
        </is>
      </c>
      <c r="K103" s="5" t="inlineStr">
        <is>
          <t>F3</t>
        </is>
      </c>
      <c r="L103" s="5">
        <f> money(F3["rental"].lastMonth)</f>
        <v/>
      </c>
      <c r="M103" s="5" t="inlineStr">
        <is>
          <t>F2 has "rental"</t>
        </is>
      </c>
      <c r="N103" s="5" t="inlineStr"/>
      <c r="O103" s="5" t="inlineStr"/>
    </row>
    <row r="104">
      <c r="A104" s="5" t="n">
        <v>103</v>
      </c>
      <c r="B104" s="5" t="n">
        <v>2</v>
      </c>
      <c r="C104" s="5" t="inlineStr">
        <is>
          <t>6b</t>
        </is>
      </c>
      <c r="D104" s="5" t="inlineStr">
        <is>
          <t>Average monthly</t>
        </is>
      </c>
      <c r="E104" s="5" t="inlineStr">
        <is>
          <t>FL-150[0].Page2[0].List6[0].L2[0].TextField22[0]</t>
        </is>
      </c>
      <c r="F104" s="5" t="inlineStr">
        <is>
          <t>text</t>
        </is>
      </c>
      <c r="G104" s="5" t="inlineStr"/>
      <c r="H104" s="5" t="inlineStr"/>
      <c r="I104" s="5" t="inlineStr">
        <is>
          <t>530, 338, 576, 348</t>
        </is>
      </c>
      <c r="J104" s="5" t="inlineStr">
        <is>
          <t>question</t>
        </is>
      </c>
      <c r="K104" s="5" t="inlineStr">
        <is>
          <t>F3</t>
        </is>
      </c>
      <c r="L104" s="5">
        <f> money(F3["rental"].average)</f>
        <v/>
      </c>
      <c r="M104" s="5" t="inlineStr">
        <is>
          <t>F2 has "rental"</t>
        </is>
      </c>
      <c r="N104" s="5" t="inlineStr"/>
      <c r="O104" s="5" t="inlineStr"/>
    </row>
    <row r="105">
      <c r="A105" s="5" t="n">
        <v>104</v>
      </c>
      <c r="B105" s="5" t="n">
        <v>2</v>
      </c>
      <c r="C105" s="5" t="inlineStr">
        <is>
          <t>6c</t>
        </is>
      </c>
      <c r="D105" s="5" t="inlineStr">
        <is>
          <t>Last month</t>
        </is>
      </c>
      <c r="E105" s="5" t="inlineStr">
        <is>
          <t>FL-150[0].Page2[0].List6[0].L3[0].FillText1[0]</t>
        </is>
      </c>
      <c r="F105" s="5" t="inlineStr">
        <is>
          <t>text</t>
        </is>
      </c>
      <c r="G105" s="5" t="inlineStr"/>
      <c r="H105" s="5" t="inlineStr"/>
      <c r="I105" s="5" t="inlineStr">
        <is>
          <t>482, 351, 528, 361</t>
        </is>
      </c>
      <c r="J105" s="5" t="inlineStr">
        <is>
          <t>question</t>
        </is>
      </c>
      <c r="K105" s="5" t="inlineStr">
        <is>
          <t>F3</t>
        </is>
      </c>
      <c r="L105" s="5">
        <f> money(F3["trust"].lastMonth)</f>
        <v/>
      </c>
      <c r="M105" s="5" t="inlineStr">
        <is>
          <t>F2 has "trust"</t>
        </is>
      </c>
      <c r="N105" s="5" t="inlineStr"/>
      <c r="O105" s="5" t="inlineStr"/>
    </row>
    <row r="106">
      <c r="A106" s="5" t="n">
        <v>105</v>
      </c>
      <c r="B106" s="5" t="n">
        <v>2</v>
      </c>
      <c r="C106" s="5" t="inlineStr">
        <is>
          <t>6c</t>
        </is>
      </c>
      <c r="D106" s="5" t="inlineStr">
        <is>
          <t>Average monthly</t>
        </is>
      </c>
      <c r="E106" s="5" t="inlineStr">
        <is>
          <t>FL-150[0].Page2[0].List6[0].L3[0].TextField21[0]</t>
        </is>
      </c>
      <c r="F106" s="5" t="inlineStr">
        <is>
          <t>text</t>
        </is>
      </c>
      <c r="G106" s="5" t="inlineStr"/>
      <c r="H106" s="5" t="inlineStr"/>
      <c r="I106" s="5" t="inlineStr">
        <is>
          <t>530, 351, 576, 361</t>
        </is>
      </c>
      <c r="J106" s="5" t="inlineStr">
        <is>
          <t>question</t>
        </is>
      </c>
      <c r="K106" s="5" t="inlineStr">
        <is>
          <t>F3</t>
        </is>
      </c>
      <c r="L106" s="5">
        <f> money(F3["trust"].average)</f>
        <v/>
      </c>
      <c r="M106" s="5" t="inlineStr">
        <is>
          <t>F2 has "trust"</t>
        </is>
      </c>
      <c r="N106" s="5" t="inlineStr"/>
      <c r="O106" s="5" t="inlineStr"/>
    </row>
    <row r="107">
      <c r="A107" s="5" t="n">
        <v>106</v>
      </c>
      <c r="B107" s="5" t="n">
        <v>2</v>
      </c>
      <c r="C107" s="5" t="inlineStr">
        <is>
          <t>6d</t>
        </is>
      </c>
      <c r="D107" s="5" t="inlineStr">
        <is>
          <t>Other (specify):</t>
        </is>
      </c>
      <c r="E107" s="5" t="inlineStr">
        <is>
          <t>FL-150[0].Page2[0].List6[0].L4[0].FillText1[0]</t>
        </is>
      </c>
      <c r="F107" s="5" t="inlineStr">
        <is>
          <t>text</t>
        </is>
      </c>
      <c r="G107" s="5" t="inlineStr"/>
      <c r="H107" s="5" t="inlineStr"/>
      <c r="I107" s="5" t="inlineStr">
        <is>
          <t>130, 363, 469, 372</t>
        </is>
      </c>
      <c r="J107" s="5" t="inlineStr">
        <is>
          <t>question</t>
        </is>
      </c>
      <c r="K107" s="5" t="inlineStr">
        <is>
          <t>F3</t>
        </is>
      </c>
      <c r="L107" s="5">
        <f> F3["other investment"].describe</f>
        <v/>
      </c>
      <c r="M107" s="5" t="inlineStr">
        <is>
          <t>F2 has "other investment"</t>
        </is>
      </c>
      <c r="N107" s="5" t="inlineStr">
        <is>
          <t>F2 has no "other investment income" option (gap).</t>
        </is>
      </c>
      <c r="O107" s="5" t="inlineStr"/>
    </row>
    <row r="108">
      <c r="A108" s="5" t="n">
        <v>107</v>
      </c>
      <c r="B108" s="5" t="n">
        <v>2</v>
      </c>
      <c r="C108" s="5" t="inlineStr">
        <is>
          <t>6d</t>
        </is>
      </c>
      <c r="D108" s="5" t="inlineStr">
        <is>
          <t>Last month</t>
        </is>
      </c>
      <c r="E108" s="5" t="inlineStr">
        <is>
          <t>FL-150[0].Page2[0].List6[0].L4[0].FillText2[0]</t>
        </is>
      </c>
      <c r="F108" s="5" t="inlineStr">
        <is>
          <t>text</t>
        </is>
      </c>
      <c r="G108" s="5" t="inlineStr"/>
      <c r="H108" s="5" t="inlineStr"/>
      <c r="I108" s="5" t="inlineStr">
        <is>
          <t>482, 362, 528, 372</t>
        </is>
      </c>
      <c r="J108" s="5" t="inlineStr">
        <is>
          <t>question</t>
        </is>
      </c>
      <c r="K108" s="5" t="inlineStr">
        <is>
          <t>F3</t>
        </is>
      </c>
      <c r="L108" s="5">
        <f> money(F3["other investment"].lastMonth)</f>
        <v/>
      </c>
      <c r="M108" s="5" t="inlineStr">
        <is>
          <t>F2 has "other investment"</t>
        </is>
      </c>
      <c r="N108" s="5" t="inlineStr"/>
      <c r="O108" s="5" t="inlineStr"/>
    </row>
    <row r="109">
      <c r="A109" s="5" t="n">
        <v>108</v>
      </c>
      <c r="B109" s="5" t="n">
        <v>2</v>
      </c>
      <c r="C109" s="5" t="inlineStr">
        <is>
          <t>6d</t>
        </is>
      </c>
      <c r="D109" s="5" t="inlineStr">
        <is>
          <t>Average monthly</t>
        </is>
      </c>
      <c r="E109" s="5" t="inlineStr">
        <is>
          <t>FL-150[0].Page2[0].List6[0].L4[0].TextField20[0]</t>
        </is>
      </c>
      <c r="F109" s="5" t="inlineStr">
        <is>
          <t>text</t>
        </is>
      </c>
      <c r="G109" s="5" t="inlineStr"/>
      <c r="H109" s="5" t="inlineStr"/>
      <c r="I109" s="5" t="inlineStr">
        <is>
          <t>530, 362, 576, 372</t>
        </is>
      </c>
      <c r="J109" s="5" t="inlineStr">
        <is>
          <t>question</t>
        </is>
      </c>
      <c r="K109" s="5" t="inlineStr">
        <is>
          <t>F3</t>
        </is>
      </c>
      <c r="L109" s="5">
        <f> money(F3["other investment"].average)</f>
        <v/>
      </c>
      <c r="M109" s="5" t="inlineStr">
        <is>
          <t>F2 has "other investment"</t>
        </is>
      </c>
      <c r="N109" s="5" t="inlineStr"/>
      <c r="O109" s="5" t="inlineStr"/>
    </row>
    <row r="110">
      <c r="A110" s="5" t="n">
        <v>109</v>
      </c>
      <c r="B110" s="5" t="n">
        <v>2</v>
      </c>
      <c r="C110" s="5" t="inlineStr">
        <is>
          <t>7</t>
        </is>
      </c>
      <c r="D110" s="5" t="inlineStr">
        <is>
          <t>Last month</t>
        </is>
      </c>
      <c r="E110" s="5" t="inlineStr">
        <is>
          <t>FL-150[0].Page2[0].List7[0].L1[0].FillTxt1[0]</t>
        </is>
      </c>
      <c r="F110" s="5" t="inlineStr">
        <is>
          <t>text</t>
        </is>
      </c>
      <c r="G110" s="5" t="inlineStr"/>
      <c r="H110" s="5" t="inlineStr"/>
      <c r="I110" s="5" t="inlineStr">
        <is>
          <t>482, 384, 528, 394</t>
        </is>
      </c>
      <c r="J110" s="5" t="inlineStr">
        <is>
          <t>question</t>
        </is>
      </c>
      <c r="K110" s="5" t="inlineStr">
        <is>
          <t>F7</t>
        </is>
      </c>
      <c r="L110" s="5">
        <f> money(F7.lastMonth)</f>
        <v/>
      </c>
      <c r="M110" s="5" t="inlineStr">
        <is>
          <t>F1 == "Y"</t>
        </is>
      </c>
      <c r="N110" s="5" t="inlineStr"/>
      <c r="O110" s="5" t="inlineStr"/>
    </row>
    <row r="111">
      <c r="A111" s="5" t="n">
        <v>110</v>
      </c>
      <c r="B111" s="5" t="n">
        <v>2</v>
      </c>
      <c r="C111" s="5" t="inlineStr">
        <is>
          <t>7</t>
        </is>
      </c>
      <c r="D111" s="5" t="inlineStr">
        <is>
          <t>Average monthly</t>
        </is>
      </c>
      <c r="E111" s="5" t="inlineStr">
        <is>
          <t>FL-150[0].Page2[0].List7[0].L1[0].TextField[0]</t>
        </is>
      </c>
      <c r="F111" s="5" t="inlineStr">
        <is>
          <t>text</t>
        </is>
      </c>
      <c r="G111" s="5" t="inlineStr"/>
      <c r="H111" s="5" t="inlineStr"/>
      <c r="I111" s="5" t="inlineStr">
        <is>
          <t>530, 384, 576, 394</t>
        </is>
      </c>
      <c r="J111" s="5" t="inlineStr">
        <is>
          <t>question</t>
        </is>
      </c>
      <c r="K111" s="5" t="inlineStr">
        <is>
          <t>F7</t>
        </is>
      </c>
      <c r="L111" s="5">
        <f> money(F7.average)</f>
        <v/>
      </c>
      <c r="M111" s="5" t="inlineStr">
        <is>
          <t>F1 == "Y"</t>
        </is>
      </c>
      <c r="N111" s="5" t="inlineStr"/>
      <c r="O111" s="5" t="inlineStr"/>
    </row>
    <row r="112">
      <c r="A112" s="5" t="n">
        <v>111</v>
      </c>
      <c r="B112" s="5" t="n">
        <v>2</v>
      </c>
      <c r="C112" s="5" t="inlineStr">
        <is>
          <t>7</t>
        </is>
      </c>
      <c r="D112" s="5" t="inlineStr">
        <is>
          <t>owner/sole proprietor</t>
        </is>
      </c>
      <c r="E112" s="5" t="inlineStr">
        <is>
          <t>FL-150[0].Page2[0].List7[0].L1[0].CBChoice1_cb[0]</t>
        </is>
      </c>
      <c r="F112" s="5" t="inlineStr">
        <is>
          <t>checkbox</t>
        </is>
      </c>
      <c r="G112" s="5" t="inlineStr">
        <is>
          <t>1</t>
        </is>
      </c>
      <c r="H112" s="5" t="inlineStr"/>
      <c r="I112" s="5" t="inlineStr">
        <is>
          <t>102, 397, 111, 406</t>
        </is>
      </c>
      <c r="J112" s="5" t="inlineStr">
        <is>
          <t>question</t>
        </is>
      </c>
      <c r="K112" s="5" t="inlineStr">
        <is>
          <t>F7</t>
        </is>
      </c>
      <c r="L112" s="5" t="inlineStr">
        <is>
          <t>check if F7.role == "owner"</t>
        </is>
      </c>
      <c r="M112" s="5" t="inlineStr">
        <is>
          <t>F1 == "Y"</t>
        </is>
      </c>
      <c r="N112" s="5" t="inlineStr"/>
      <c r="O112" s="5" t="inlineStr"/>
    </row>
    <row r="113">
      <c r="A113" s="5" t="n">
        <v>112</v>
      </c>
      <c r="B113" s="5" t="n">
        <v>2</v>
      </c>
      <c r="C113" s="5" t="inlineStr">
        <is>
          <t>7</t>
        </is>
      </c>
      <c r="D113" s="5" t="inlineStr">
        <is>
          <t>business partner</t>
        </is>
      </c>
      <c r="E113" s="5" t="inlineStr">
        <is>
          <t>FL-150[0].Page2[0].List7[0].L1[0].CBChoice1_cb1[0]</t>
        </is>
      </c>
      <c r="F113" s="5" t="inlineStr">
        <is>
          <t>checkbox</t>
        </is>
      </c>
      <c r="G113" s="5" t="inlineStr">
        <is>
          <t>1</t>
        </is>
      </c>
      <c r="H113" s="5" t="inlineStr"/>
      <c r="I113" s="5" t="inlineStr">
        <is>
          <t>230, 397, 239, 406</t>
        </is>
      </c>
      <c r="J113" s="5" t="inlineStr">
        <is>
          <t>question</t>
        </is>
      </c>
      <c r="K113" s="5" t="inlineStr">
        <is>
          <t>F7</t>
        </is>
      </c>
      <c r="L113" s="5" t="inlineStr">
        <is>
          <t>check if F7.role == "partner"</t>
        </is>
      </c>
      <c r="M113" s="5" t="inlineStr">
        <is>
          <t>F1 == "Y"</t>
        </is>
      </c>
      <c r="N113" s="5" t="inlineStr"/>
      <c r="O113" s="5" t="inlineStr"/>
    </row>
    <row r="114">
      <c r="A114" s="5" t="n">
        <v>113</v>
      </c>
      <c r="B114" s="5" t="n">
        <v>2</v>
      </c>
      <c r="C114" s="5" t="inlineStr">
        <is>
          <t>7</t>
        </is>
      </c>
      <c r="D114" s="5" t="inlineStr">
        <is>
          <t>other</t>
        </is>
      </c>
      <c r="E114" s="5" t="inlineStr">
        <is>
          <t>FL-150[0].Page2[0].List7[0].L1[0].RB2Choices[0]</t>
        </is>
      </c>
      <c r="F114" s="5" t="inlineStr">
        <is>
          <t>checkbox</t>
        </is>
      </c>
      <c r="G114" s="5" t="inlineStr">
        <is>
          <t>2</t>
        </is>
      </c>
      <c r="H114" s="5" t="inlineStr"/>
      <c r="I114" s="5" t="inlineStr">
        <is>
          <t>341, 397, 350, 406</t>
        </is>
      </c>
      <c r="J114" s="5" t="inlineStr">
        <is>
          <t>question</t>
        </is>
      </c>
      <c r="K114" s="5" t="inlineStr">
        <is>
          <t>F7</t>
        </is>
      </c>
      <c r="L114" s="5" t="inlineStr">
        <is>
          <t>check if F7.role == "other"</t>
        </is>
      </c>
      <c r="M114" s="5" t="inlineStr">
        <is>
          <t>F1 == "Y"</t>
        </is>
      </c>
      <c r="N114" s="5" t="inlineStr"/>
      <c r="O114" s="5" t="inlineStr"/>
    </row>
    <row r="115">
      <c r="A115" s="5" t="n">
        <v>114</v>
      </c>
      <c r="B115" s="5" t="n">
        <v>2</v>
      </c>
      <c r="C115" s="5" t="inlineStr">
        <is>
          <t>7</t>
        </is>
      </c>
      <c r="D115" s="5" t="inlineStr">
        <is>
          <t>(specify):</t>
        </is>
      </c>
      <c r="E115" s="5" t="inlineStr">
        <is>
          <t>FL-150[0].Page2[0].List7[0].L1[0].FillText109[0]</t>
        </is>
      </c>
      <c r="F115" s="5" t="inlineStr">
        <is>
          <t>text</t>
        </is>
      </c>
      <c r="G115" s="5" t="inlineStr"/>
      <c r="H115" s="5" t="inlineStr"/>
      <c r="I115" s="5" t="inlineStr">
        <is>
          <t>423, 397, 575, 406</t>
        </is>
      </c>
      <c r="J115" s="5" t="inlineStr">
        <is>
          <t>question</t>
        </is>
      </c>
      <c r="K115" s="5" t="inlineStr">
        <is>
          <t>F7</t>
        </is>
      </c>
      <c r="L115" s="5">
        <f> F7.roleOther</f>
        <v/>
      </c>
      <c r="M115" s="5" t="inlineStr">
        <is>
          <t>F7.role == "other"</t>
        </is>
      </c>
      <c r="N115" s="5" t="inlineStr"/>
      <c r="O115" s="5" t="inlineStr"/>
    </row>
    <row r="116">
      <c r="A116" s="5" t="n">
        <v>115</v>
      </c>
      <c r="B116" s="5" t="n">
        <v>2</v>
      </c>
      <c r="C116" s="5" t="inlineStr">
        <is>
          <t>7</t>
        </is>
      </c>
      <c r="D116" s="5" t="inlineStr">
        <is>
          <t>Number of years in this business (specify):</t>
        </is>
      </c>
      <c r="E116" s="5" t="inlineStr">
        <is>
          <t>FL-150[0].Page2[0].List7[0].L1[0].FillText1[0]</t>
        </is>
      </c>
      <c r="F116" s="5" t="inlineStr">
        <is>
          <t>text</t>
        </is>
      </c>
      <c r="G116" s="5" t="inlineStr"/>
      <c r="H116" s="5" t="inlineStr"/>
      <c r="I116" s="5" t="inlineStr">
        <is>
          <t>224, 409, 575, 418</t>
        </is>
      </c>
      <c r="J116" s="5" t="inlineStr">
        <is>
          <t>question</t>
        </is>
      </c>
      <c r="K116" s="5" t="inlineStr">
        <is>
          <t>F7</t>
        </is>
      </c>
      <c r="L116" s="5">
        <f> F7.years</f>
        <v/>
      </c>
      <c r="M116" s="5" t="inlineStr">
        <is>
          <t>F1 == "Y"</t>
        </is>
      </c>
      <c r="N116" s="5" t="inlineStr"/>
      <c r="O116" s="5" t="inlineStr"/>
    </row>
    <row r="117">
      <c r="A117" s="5" t="n">
        <v>116</v>
      </c>
      <c r="B117" s="5" t="n">
        <v>2</v>
      </c>
      <c r="C117" s="5" t="inlineStr">
        <is>
          <t>7</t>
        </is>
      </c>
      <c r="D117" s="5" t="inlineStr">
        <is>
          <t>Name of business (specify):</t>
        </is>
      </c>
      <c r="E117" s="5" t="inlineStr">
        <is>
          <t>FL-150[0].Page2[0].List7[0].L1[0].FillText2[0]</t>
        </is>
      </c>
      <c r="F117" s="5" t="inlineStr">
        <is>
          <t>text</t>
        </is>
      </c>
      <c r="G117" s="5" t="inlineStr"/>
      <c r="H117" s="5" t="inlineStr"/>
      <c r="I117" s="5" t="inlineStr">
        <is>
          <t>164, 422, 575, 431</t>
        </is>
      </c>
      <c r="J117" s="5" t="inlineStr">
        <is>
          <t>question</t>
        </is>
      </c>
      <c r="K117" s="5" t="inlineStr">
        <is>
          <t>F7</t>
        </is>
      </c>
      <c r="L117" s="5">
        <f> F7.name</f>
        <v/>
      </c>
      <c r="M117" s="5" t="inlineStr">
        <is>
          <t>F1 == "Y"</t>
        </is>
      </c>
      <c r="N117" s="5" t="inlineStr"/>
      <c r="O117" s="5" t="inlineStr"/>
    </row>
    <row r="118">
      <c r="A118" s="5" t="n">
        <v>117</v>
      </c>
      <c r="B118" s="5" t="n">
        <v>2</v>
      </c>
      <c r="C118" s="5" t="inlineStr">
        <is>
          <t>7</t>
        </is>
      </c>
      <c r="D118" s="5" t="inlineStr">
        <is>
          <t>Type of business (specify):</t>
        </is>
      </c>
      <c r="E118" s="5" t="inlineStr">
        <is>
          <t>FL-150[0].Page2[0].List7[0].L1[0].FillText3[0]</t>
        </is>
      </c>
      <c r="F118" s="5" t="inlineStr">
        <is>
          <t>text</t>
        </is>
      </c>
      <c r="G118" s="5" t="inlineStr"/>
      <c r="H118" s="5" t="inlineStr"/>
      <c r="I118" s="5" t="inlineStr">
        <is>
          <t>160, 434, 575, 443</t>
        </is>
      </c>
      <c r="J118" s="5" t="inlineStr">
        <is>
          <t>question</t>
        </is>
      </c>
      <c r="K118" s="5" t="inlineStr">
        <is>
          <t>F7</t>
        </is>
      </c>
      <c r="L118" s="5">
        <f> F7.type</f>
        <v/>
      </c>
      <c r="M118" s="5" t="inlineStr">
        <is>
          <t>F1 == "Y"</t>
        </is>
      </c>
      <c r="N118" s="5" t="inlineStr"/>
      <c r="O118" s="5" t="inlineStr"/>
    </row>
    <row r="119">
      <c r="A119" s="5" t="n">
        <v>118</v>
      </c>
      <c r="B119" s="5" t="n">
        <v>2</v>
      </c>
      <c r="C119" s="5" t="inlineStr">
        <is>
          <t>8</t>
        </is>
      </c>
      <c r="D119" s="5" t="inlineStr">
        <is>
          <t>Additional income. I received one-time money (lottery winnings, inheritance, etc.) in the last 12 months (specify source and amount):</t>
        </is>
      </c>
      <c r="E119" s="5" t="inlineStr">
        <is>
          <t>FL-150[0].Page2[0].List8[0].Li1[0].CheckBox19[0]</t>
        </is>
      </c>
      <c r="F119" s="5" t="inlineStr">
        <is>
          <t>checkbox</t>
        </is>
      </c>
      <c r="G119" s="5" t="inlineStr">
        <is>
          <t>1</t>
        </is>
      </c>
      <c r="H119" s="5" t="inlineStr"/>
      <c r="I119" s="5" t="inlineStr">
        <is>
          <t>55, 482, 64, 491</t>
        </is>
      </c>
      <c r="J119" s="5" t="inlineStr">
        <is>
          <t>question</t>
        </is>
      </c>
      <c r="K119" s="5" t="inlineStr">
        <is>
          <t>F8</t>
        </is>
      </c>
      <c r="L119" s="5" t="inlineStr">
        <is>
          <t>check if F8.oneTime given</t>
        </is>
      </c>
      <c r="M119" s="5" t="inlineStr"/>
      <c r="N119" s="5" t="inlineStr"/>
      <c r="O119" s="5" t="inlineStr"/>
    </row>
    <row r="120">
      <c r="A120" s="5" t="n">
        <v>119</v>
      </c>
      <c r="B120" s="5" t="n">
        <v>2</v>
      </c>
      <c r="C120" s="5" t="inlineStr">
        <is>
          <t>8</t>
        </is>
      </c>
      <c r="D120" s="5" t="inlineStr">
        <is>
          <t>Specify source and amount</t>
        </is>
      </c>
      <c r="E120" s="5" t="inlineStr">
        <is>
          <t>FL-150[0].Page2[0].List8[0].Li1[0].TextField6[0]</t>
        </is>
      </c>
      <c r="F120" s="5" t="inlineStr">
        <is>
          <t>text</t>
        </is>
      </c>
      <c r="G120" s="5" t="inlineStr"/>
      <c r="H120" s="5" t="inlineStr"/>
      <c r="I120" s="5" t="inlineStr">
        <is>
          <t>113, 491, 576, 503</t>
        </is>
      </c>
      <c r="J120" s="5" t="inlineStr">
        <is>
          <t>question</t>
        </is>
      </c>
      <c r="K120" s="5" t="inlineStr">
        <is>
          <t>F8</t>
        </is>
      </c>
      <c r="L120" s="5">
        <f> F8.oneTime</f>
        <v/>
      </c>
      <c r="M120" s="5" t="inlineStr"/>
      <c r="N120" s="5" t="inlineStr"/>
      <c r="O120" s="5" t="inlineStr"/>
    </row>
    <row r="121">
      <c r="A121" s="5" t="n">
        <v>120</v>
      </c>
      <c r="B121" s="5" t="n">
        <v>2</v>
      </c>
      <c r="C121" s="5" t="inlineStr">
        <is>
          <t>9</t>
        </is>
      </c>
      <c r="D121" s="5" t="inlineStr">
        <is>
          <t>Change in income. My financial situation has changed significantly over the last 12 months because (specify):</t>
        </is>
      </c>
      <c r="E121" s="5" t="inlineStr">
        <is>
          <t>FL-150[0].Page2[0].List9[0].L1[0].CheckBox1[0]</t>
        </is>
      </c>
      <c r="F121" s="5" t="inlineStr">
        <is>
          <t>checkbox</t>
        </is>
      </c>
      <c r="G121" s="5" t="inlineStr">
        <is>
          <t>1</t>
        </is>
      </c>
      <c r="H121" s="5" t="inlineStr"/>
      <c r="I121" s="5" t="inlineStr">
        <is>
          <t>55, 514, 64, 523</t>
        </is>
      </c>
      <c r="J121" s="5" t="inlineStr">
        <is>
          <t>question</t>
        </is>
      </c>
      <c r="K121" s="5" t="inlineStr">
        <is>
          <t>F8</t>
        </is>
      </c>
      <c r="L121" s="5" t="inlineStr">
        <is>
          <t>check if F8.change given</t>
        </is>
      </c>
      <c r="M121" s="5" t="inlineStr"/>
      <c r="N121" s="5" t="inlineStr"/>
      <c r="O121" s="5" t="inlineStr"/>
    </row>
    <row r="122">
      <c r="A122" s="5" t="n">
        <v>121</v>
      </c>
      <c r="B122" s="5" t="n">
        <v>2</v>
      </c>
      <c r="C122" s="5" t="inlineStr">
        <is>
          <t>9</t>
        </is>
      </c>
      <c r="D122" s="5" t="inlineStr">
        <is>
          <t>Specify here:</t>
        </is>
      </c>
      <c r="E122" s="5" t="inlineStr">
        <is>
          <t>FL-150[0].Page2[0].List9[0].L1[0].TextField6[0]</t>
        </is>
      </c>
      <c r="F122" s="5" t="inlineStr">
        <is>
          <t>text</t>
        </is>
      </c>
      <c r="G122" s="5" t="inlineStr"/>
      <c r="H122" s="5" t="inlineStr"/>
      <c r="I122" s="5" t="inlineStr">
        <is>
          <t>74, 525, 576, 536</t>
        </is>
      </c>
      <c r="J122" s="5" t="inlineStr">
        <is>
          <t>question</t>
        </is>
      </c>
      <c r="K122" s="5" t="inlineStr">
        <is>
          <t>F8</t>
        </is>
      </c>
      <c r="L122" s="5">
        <f> F8.change</f>
        <v/>
      </c>
      <c r="M122" s="5" t="inlineStr"/>
      <c r="N122" s="5" t="inlineStr"/>
      <c r="O122" s="5" t="inlineStr"/>
    </row>
    <row r="123">
      <c r="A123" s="5" t="n">
        <v>122</v>
      </c>
      <c r="B123" s="5" t="n">
        <v>2</v>
      </c>
      <c r="C123" s="5" t="inlineStr">
        <is>
          <t>10a</t>
        </is>
      </c>
      <c r="D123" s="5" t="inlineStr">
        <is>
          <t>Last month</t>
        </is>
      </c>
      <c r="E123" s="5" t="inlineStr">
        <is>
          <t>FL-150[0].Page2[0].List10[0].L1[0].FillText1[0]</t>
        </is>
      </c>
      <c r="F123" s="5" t="inlineStr">
        <is>
          <t>text</t>
        </is>
      </c>
      <c r="G123" s="5" t="inlineStr"/>
      <c r="H123" s="5" t="inlineStr"/>
      <c r="I123" s="5" t="inlineStr">
        <is>
          <t>530, 555, 576, 565</t>
        </is>
      </c>
      <c r="J123" s="5" t="inlineStr">
        <is>
          <t>question</t>
        </is>
      </c>
      <c r="K123" s="5" t="inlineStr">
        <is>
          <t>F9</t>
        </is>
      </c>
      <c r="L123" s="5">
        <f> money(F9["union dues"])</f>
        <v/>
      </c>
      <c r="M123" s="5" t="inlineStr"/>
      <c r="N123" s="5" t="inlineStr"/>
      <c r="O123" s="5" t="inlineStr"/>
    </row>
    <row r="124">
      <c r="A124" s="5" t="n">
        <v>123</v>
      </c>
      <c r="B124" s="5" t="n">
        <v>2</v>
      </c>
      <c r="C124" s="5" t="inlineStr">
        <is>
          <t>10b</t>
        </is>
      </c>
      <c r="D124" s="5" t="inlineStr">
        <is>
          <t>Last month</t>
        </is>
      </c>
      <c r="E124" s="5" t="inlineStr">
        <is>
          <t>FL-150[0].Page2[0].List10[0].L2[0].FillText1[0]</t>
        </is>
      </c>
      <c r="F124" s="5" t="inlineStr">
        <is>
          <t>text</t>
        </is>
      </c>
      <c r="G124" s="5" t="inlineStr"/>
      <c r="H124" s="5" t="inlineStr"/>
      <c r="I124" s="5" t="inlineStr">
        <is>
          <t>530, 566, 576, 576</t>
        </is>
      </c>
      <c r="J124" s="5" t="inlineStr">
        <is>
          <t>question</t>
        </is>
      </c>
      <c r="K124" s="5" t="inlineStr">
        <is>
          <t>F9</t>
        </is>
      </c>
      <c r="L124" s="5">
        <f> money(F9["required retirement"])</f>
        <v/>
      </c>
      <c r="M124" s="5" t="inlineStr"/>
      <c r="N124" s="5" t="inlineStr"/>
      <c r="O124" s="5" t="inlineStr"/>
    </row>
    <row r="125">
      <c r="A125" s="5" t="n">
        <v>124</v>
      </c>
      <c r="B125" s="5" t="n">
        <v>2</v>
      </c>
      <c r="C125" s="5" t="inlineStr">
        <is>
          <t>10c</t>
        </is>
      </c>
      <c r="D125" s="5" t="inlineStr">
        <is>
          <t>Last month</t>
        </is>
      </c>
      <c r="E125" s="5" t="inlineStr">
        <is>
          <t>FL-150[0].Page2[0].List10[0].L3[0].FillText1[0]</t>
        </is>
      </c>
      <c r="F125" s="5" t="inlineStr">
        <is>
          <t>text</t>
        </is>
      </c>
      <c r="G125" s="5" t="inlineStr"/>
      <c r="H125" s="5" t="inlineStr"/>
      <c r="I125" s="5" t="inlineStr">
        <is>
          <t>530, 579, 576, 589</t>
        </is>
      </c>
      <c r="J125" s="5" t="inlineStr">
        <is>
          <t>question</t>
        </is>
      </c>
      <c r="K125" s="5" t="inlineStr">
        <is>
          <t>F9</t>
        </is>
      </c>
      <c r="L125" s="5">
        <f> money(F9["health insurance"])</f>
        <v/>
      </c>
      <c r="M125" s="5" t="inlineStr"/>
      <c r="N125" s="5" t="inlineStr"/>
      <c r="O125" s="5" t="inlineStr"/>
    </row>
    <row r="126">
      <c r="A126" s="5" t="n">
        <v>125</v>
      </c>
      <c r="B126" s="5" t="n">
        <v>2</v>
      </c>
      <c r="C126" s="5" t="inlineStr">
        <is>
          <t>10d</t>
        </is>
      </c>
      <c r="D126" s="5" t="inlineStr">
        <is>
          <t>Last month</t>
        </is>
      </c>
      <c r="E126" s="5" t="inlineStr">
        <is>
          <t>FL-150[0].Page2[0].List10[0].L4[0].FillText1[0]</t>
        </is>
      </c>
      <c r="F126" s="5" t="inlineStr">
        <is>
          <t>text</t>
        </is>
      </c>
      <c r="G126" s="5" t="inlineStr"/>
      <c r="H126" s="5" t="inlineStr"/>
      <c r="I126" s="5" t="inlineStr">
        <is>
          <t>530, 592, 576, 602</t>
        </is>
      </c>
      <c r="J126" s="5" t="inlineStr">
        <is>
          <t>question</t>
        </is>
      </c>
      <c r="K126" s="5" t="inlineStr">
        <is>
          <t>F9</t>
        </is>
      </c>
      <c r="L126" s="5">
        <f> money(F9["child support for other children"])</f>
        <v/>
      </c>
      <c r="M126" s="5" t="inlineStr"/>
      <c r="N126" s="5" t="inlineStr"/>
      <c r="O126" s="5" t="inlineStr"/>
    </row>
    <row r="127">
      <c r="A127" s="5" t="n">
        <v>126</v>
      </c>
      <c r="B127" s="5" t="n">
        <v>2</v>
      </c>
      <c r="C127" s="5" t="inlineStr">
        <is>
          <t>10e</t>
        </is>
      </c>
      <c r="D127" s="5" t="inlineStr">
        <is>
          <t>federally tax deductible*</t>
        </is>
      </c>
      <c r="E127" s="5" t="inlineStr">
        <is>
          <t>FL-150[0].Page2[0].List10[0].L5[0].CBChoice1_cb[0]</t>
        </is>
      </c>
      <c r="F127" s="5" t="inlineStr">
        <is>
          <t>checkbox</t>
        </is>
      </c>
      <c r="G127" s="5" t="inlineStr">
        <is>
          <t>1</t>
        </is>
      </c>
      <c r="H127" s="5" t="inlineStr"/>
      <c r="I127" s="5" t="inlineStr">
        <is>
          <t>340, 605, 349, 614</t>
        </is>
      </c>
      <c r="J127" s="5" t="inlineStr">
        <is>
          <t>question</t>
        </is>
      </c>
      <c r="K127" s="5" t="inlineStr">
        <is>
          <t>F9</t>
        </is>
      </c>
      <c r="L127" s="5" t="inlineStr">
        <is>
          <t>check if F9.spousalTaxDeductible</t>
        </is>
      </c>
      <c r="M127" s="5" t="inlineStr"/>
      <c r="N127" s="5" t="inlineStr"/>
      <c r="O127" s="5" t="inlineStr"/>
    </row>
    <row r="128">
      <c r="A128" s="5" t="n">
        <v>127</v>
      </c>
      <c r="B128" s="5" t="n">
        <v>2</v>
      </c>
      <c r="C128" s="5" t="inlineStr">
        <is>
          <t>10e</t>
        </is>
      </c>
      <c r="D128" s="5" t="inlineStr">
        <is>
          <t>Last month</t>
        </is>
      </c>
      <c r="E128" s="5" t="inlineStr">
        <is>
          <t>FL-150[0].Page2[0].List10[0].L5[0].FillText1[0]</t>
        </is>
      </c>
      <c r="F128" s="5" t="inlineStr">
        <is>
          <t>text</t>
        </is>
      </c>
      <c r="G128" s="5" t="inlineStr"/>
      <c r="H128" s="5" t="inlineStr"/>
      <c r="I128" s="5" t="inlineStr">
        <is>
          <t>530, 604, 576, 614</t>
        </is>
      </c>
      <c r="J128" s="5" t="inlineStr">
        <is>
          <t>question</t>
        </is>
      </c>
      <c r="K128" s="5" t="inlineStr">
        <is>
          <t>F9</t>
        </is>
      </c>
      <c r="L128" s="5">
        <f> money(F9["spousal support (court-ordered)"])</f>
        <v/>
      </c>
      <c r="M128" s="5" t="inlineStr"/>
      <c r="N128" s="5" t="inlineStr">
        <is>
          <t>F9 combines spousal and partner support; split it (gap).</t>
        </is>
      </c>
      <c r="O128" s="5" t="inlineStr"/>
    </row>
    <row r="129">
      <c r="A129" s="5" t="n">
        <v>128</v>
      </c>
      <c r="B129" s="5" t="n">
        <v>2</v>
      </c>
      <c r="C129" s="5" t="inlineStr">
        <is>
          <t>10f</t>
        </is>
      </c>
      <c r="D129" s="5" t="inlineStr">
        <is>
          <t>Last month</t>
        </is>
      </c>
      <c r="E129" s="5" t="inlineStr">
        <is>
          <t>FL-150[0].Page2[0].List10[0].L6[0].FillText1[0]</t>
        </is>
      </c>
      <c r="F129" s="5" t="inlineStr">
        <is>
          <t>text</t>
        </is>
      </c>
      <c r="G129" s="5" t="inlineStr"/>
      <c r="H129" s="5" t="inlineStr"/>
      <c r="I129" s="5" t="inlineStr">
        <is>
          <t>530, 617, 576, 627</t>
        </is>
      </c>
      <c r="J129" s="5" t="inlineStr">
        <is>
          <t>question</t>
        </is>
      </c>
      <c r="K129" s="5" t="inlineStr">
        <is>
          <t>F9</t>
        </is>
      </c>
      <c r="L129" s="5">
        <f> money(F9["partner support (court-ordered)"])</f>
        <v/>
      </c>
      <c r="M129" s="5" t="inlineStr"/>
      <c r="N129" s="5" t="inlineStr"/>
      <c r="O129" s="5" t="inlineStr"/>
    </row>
    <row r="130">
      <c r="A130" s="5" t="n">
        <v>129</v>
      </c>
      <c r="B130" s="5" t="n">
        <v>2</v>
      </c>
      <c r="C130" s="5" t="inlineStr">
        <is>
          <t>10g</t>
        </is>
      </c>
      <c r="D130" s="5" t="inlineStr">
        <is>
          <t>Last month</t>
        </is>
      </c>
      <c r="E130" s="5" t="inlineStr">
        <is>
          <t>FL-150[0].Page2[0].List10[0].L7[0].FillText1[0]</t>
        </is>
      </c>
      <c r="F130" s="5" t="inlineStr">
        <is>
          <t>text</t>
        </is>
      </c>
      <c r="G130" s="5" t="inlineStr"/>
      <c r="H130" s="5" t="inlineStr"/>
      <c r="I130" s="5" t="inlineStr">
        <is>
          <t>530, 630, 576, 640</t>
        </is>
      </c>
      <c r="J130" s="5" t="inlineStr">
        <is>
          <t>question</t>
        </is>
      </c>
      <c r="K130" s="5" t="inlineStr">
        <is>
          <t>F9</t>
        </is>
      </c>
      <c r="L130" s="5">
        <f> money(F9["job expenses"])</f>
        <v/>
      </c>
      <c r="M130" s="5" t="inlineStr"/>
      <c r="N130" s="5" t="inlineStr">
        <is>
          <t>Attach an explanation labeled "Question 10g".</t>
        </is>
      </c>
      <c r="O130" s="5" t="inlineStr"/>
    </row>
    <row r="131">
      <c r="A131" s="5" t="n">
        <v>130</v>
      </c>
      <c r="B131" s="5" t="n">
        <v>2</v>
      </c>
      <c r="C131" s="5" t="inlineStr">
        <is>
          <t>11a</t>
        </is>
      </c>
      <c r="D131" s="5" t="inlineStr">
        <is>
          <t>Total</t>
        </is>
      </c>
      <c r="E131" s="5" t="inlineStr">
        <is>
          <t>FL-150[0].Page2[0].List11[0].L1[0].FillText1[0]</t>
        </is>
      </c>
      <c r="F131" s="5" t="inlineStr">
        <is>
          <t>text</t>
        </is>
      </c>
      <c r="G131" s="5" t="inlineStr"/>
      <c r="H131" s="5" t="inlineStr"/>
      <c r="I131" s="5" t="inlineStr">
        <is>
          <t>530, 664, 576, 674</t>
        </is>
      </c>
      <c r="J131" s="5" t="inlineStr">
        <is>
          <t>question</t>
        </is>
      </c>
      <c r="K131" s="5" t="inlineStr">
        <is>
          <t>F10</t>
        </is>
      </c>
      <c r="L131" s="5">
        <f> money(F10["cash and accounts"])</f>
        <v/>
      </c>
      <c r="M131" s="5" t="inlineStr"/>
      <c r="N131" s="5" t="inlineStr"/>
      <c r="O131" s="5" t="inlineStr"/>
    </row>
    <row r="132">
      <c r="A132" s="5" t="n">
        <v>131</v>
      </c>
      <c r="B132" s="5" t="n">
        <v>2</v>
      </c>
      <c r="C132" s="5" t="inlineStr">
        <is>
          <t>11b</t>
        </is>
      </c>
      <c r="D132" s="5" t="inlineStr">
        <is>
          <t>Total</t>
        </is>
      </c>
      <c r="E132" s="5" t="inlineStr">
        <is>
          <t>FL-150[0].Page2[0].List11[0].L2[0].FillText1[0]</t>
        </is>
      </c>
      <c r="F132" s="5" t="inlineStr">
        <is>
          <t>text</t>
        </is>
      </c>
      <c r="G132" s="5" t="inlineStr"/>
      <c r="H132" s="5" t="inlineStr"/>
      <c r="I132" s="5" t="inlineStr">
        <is>
          <t>530, 676, 576, 686</t>
        </is>
      </c>
      <c r="J132" s="5" t="inlineStr">
        <is>
          <t>question</t>
        </is>
      </c>
      <c r="K132" s="5" t="inlineStr">
        <is>
          <t>F10</t>
        </is>
      </c>
      <c r="L132" s="5">
        <f> money(F10["stocks and easily sold assets"])</f>
        <v/>
      </c>
      <c r="M132" s="5" t="inlineStr"/>
      <c r="N132" s="5" t="inlineStr"/>
      <c r="O132" s="5" t="inlineStr"/>
    </row>
    <row r="133">
      <c r="A133" s="5" t="n">
        <v>132</v>
      </c>
      <c r="B133" s="5" t="n">
        <v>2</v>
      </c>
      <c r="C133" s="5" t="inlineStr">
        <is>
          <t>11c</t>
        </is>
      </c>
      <c r="D133" s="5" t="inlineStr">
        <is>
          <t>real and</t>
        </is>
      </c>
      <c r="E133" s="5" t="inlineStr">
        <is>
          <t>FL-150[0].Page2[0].List11[0].L3[0].realcb[0]</t>
        </is>
      </c>
      <c r="F133" s="5" t="inlineStr">
        <is>
          <t>checkbox</t>
        </is>
      </c>
      <c r="G133" s="5" t="inlineStr">
        <is>
          <t>1</t>
        </is>
      </c>
      <c r="H133" s="5" t="inlineStr"/>
      <c r="I133" s="5" t="inlineStr">
        <is>
          <t>148, 689, 157, 698</t>
        </is>
      </c>
      <c r="J133" s="5" t="inlineStr">
        <is>
          <t>question</t>
        </is>
      </c>
      <c r="K133" s="5" t="inlineStr">
        <is>
          <t>F10</t>
        </is>
      </c>
      <c r="L133" s="5" t="inlineStr">
        <is>
          <t>check if F10.otherProperty has real property</t>
        </is>
      </c>
      <c r="M133" s="5" t="inlineStr"/>
      <c r="N133" s="5" t="inlineStr"/>
      <c r="O133" s="5" t="inlineStr"/>
    </row>
    <row r="134">
      <c r="A134" s="5" t="n">
        <v>133</v>
      </c>
      <c r="B134" s="5" t="n">
        <v>2</v>
      </c>
      <c r="C134" s="5" t="inlineStr">
        <is>
          <t>11c</t>
        </is>
      </c>
      <c r="D134" s="5" t="inlineStr">
        <is>
          <t>personal</t>
        </is>
      </c>
      <c r="E134" s="5" t="inlineStr">
        <is>
          <t>FL-150[0].Page2[0].List11[0].L3[0].persncb[0]</t>
        </is>
      </c>
      <c r="F134" s="5" t="inlineStr">
        <is>
          <t>checkbox</t>
        </is>
      </c>
      <c r="G134" s="5" t="inlineStr">
        <is>
          <t>1</t>
        </is>
      </c>
      <c r="H134" s="5" t="inlineStr"/>
      <c r="I134" s="5" t="inlineStr">
        <is>
          <t>230, 689, 239, 698</t>
        </is>
      </c>
      <c r="J134" s="5" t="inlineStr">
        <is>
          <t>question</t>
        </is>
      </c>
      <c r="K134" s="5" t="inlineStr">
        <is>
          <t>F10</t>
        </is>
      </c>
      <c r="L134" s="5" t="inlineStr">
        <is>
          <t>check if F10.otherProperty has personal property</t>
        </is>
      </c>
      <c r="M134" s="5" t="inlineStr"/>
      <c r="N134" s="5" t="inlineStr"/>
      <c r="O134" s="5" t="inlineStr"/>
    </row>
    <row r="135">
      <c r="A135" s="5" t="n">
        <v>134</v>
      </c>
      <c r="B135" s="5" t="n">
        <v>2</v>
      </c>
      <c r="C135" s="5" t="inlineStr">
        <is>
          <t>11c</t>
        </is>
      </c>
      <c r="D135" s="5" t="inlineStr">
        <is>
          <t>Total</t>
        </is>
      </c>
      <c r="E135" s="5" t="inlineStr">
        <is>
          <t>FL-150[0].Page2[0].List11[0].L3[0].FillText1[0]</t>
        </is>
      </c>
      <c r="F135" s="5" t="inlineStr">
        <is>
          <t>text</t>
        </is>
      </c>
      <c r="G135" s="5" t="inlineStr"/>
      <c r="H135" s="5" t="inlineStr"/>
      <c r="I135" s="5" t="inlineStr">
        <is>
          <t>530, 688, 576, 698</t>
        </is>
      </c>
      <c r="J135" s="5" t="inlineStr">
        <is>
          <t>question</t>
        </is>
      </c>
      <c r="K135" s="5" t="inlineStr">
        <is>
          <t>F10</t>
        </is>
      </c>
      <c r="L135" s="5">
        <f> money(F10["other property after debts"])</f>
        <v/>
      </c>
      <c r="M135" s="5" t="inlineStr"/>
      <c r="N135" s="5" t="inlineStr"/>
      <c r="O135" s="5" t="inlineStr"/>
    </row>
    <row r="136">
      <c r="A136" s="5" t="n">
        <v>135</v>
      </c>
      <c r="B136" s="5" t="n">
        <v>3</v>
      </c>
      <c r="C136" s="5" t="inlineStr">
        <is>
          <t>Caption</t>
        </is>
      </c>
      <c r="D136" s="5" t="inlineStr">
        <is>
          <t>PETITIONER:</t>
        </is>
      </c>
      <c r="E136" s="5" t="inlineStr">
        <is>
          <t>FL-150[0].Page3[0].PxCaption_sf[0].TitlePartyName[0].Party1_ft[0]</t>
        </is>
      </c>
      <c r="F136" s="5" t="inlineStr">
        <is>
          <t>text</t>
        </is>
      </c>
      <c r="G136" s="5" t="inlineStr"/>
      <c r="H136" s="5" t="inlineStr"/>
      <c r="I136" s="5" t="inlineStr">
        <is>
          <t>184, 49, 394, 60</t>
        </is>
      </c>
      <c r="J136" s="5" t="inlineStr">
        <is>
          <t>question</t>
        </is>
      </c>
      <c r="K136" s="5" t="inlineStr">
        <is>
          <t>P1</t>
        </is>
      </c>
      <c r="L136" s="5">
        <f> P1</f>
        <v/>
      </c>
      <c r="M136" s="5" t="inlineStr"/>
      <c r="N136" s="5" t="inlineStr"/>
      <c r="O136" s="5" t="inlineStr"/>
    </row>
    <row r="137">
      <c r="A137" s="5" t="n">
        <v>136</v>
      </c>
      <c r="B137" s="5" t="n">
        <v>3</v>
      </c>
      <c r="C137" s="5" t="inlineStr">
        <is>
          <t>Caption</t>
        </is>
      </c>
      <c r="D137" s="5" t="inlineStr">
        <is>
          <t>RESPONDENT:</t>
        </is>
      </c>
      <c r="E137" s="5" t="inlineStr">
        <is>
          <t>FL-150[0].Page3[0].PxCaption_sf[0].TitlePartyName[0].Party2_ft[0]</t>
        </is>
      </c>
      <c r="F137" s="5" t="inlineStr">
        <is>
          <t>text</t>
        </is>
      </c>
      <c r="G137" s="5" t="inlineStr"/>
      <c r="H137" s="5" t="inlineStr"/>
      <c r="I137" s="5" t="inlineStr">
        <is>
          <t>184, 62, 394, 74</t>
        </is>
      </c>
      <c r="J137" s="5" t="inlineStr">
        <is>
          <t>question</t>
        </is>
      </c>
      <c r="K137" s="5" t="inlineStr">
        <is>
          <t>R1</t>
        </is>
      </c>
      <c r="L137" s="5">
        <f> R1</f>
        <v/>
      </c>
      <c r="M137" s="5" t="inlineStr"/>
      <c r="N137" s="5" t="inlineStr"/>
      <c r="O137" s="5" t="inlineStr"/>
    </row>
    <row r="138">
      <c r="A138" s="5" t="n">
        <v>137</v>
      </c>
      <c r="B138" s="5" t="n">
        <v>3</v>
      </c>
      <c r="C138" s="5" t="inlineStr">
        <is>
          <t>Caption</t>
        </is>
      </c>
      <c r="D138" s="5" t="inlineStr">
        <is>
          <t>OTHER PARTY/PARENT/CLAIMANT:</t>
        </is>
      </c>
      <c r="E138" s="5" t="inlineStr">
        <is>
          <t>FL-150[0].Page3[0].PxCaption_sf[0].TitlePartyName[0].Party3_ft[0]</t>
        </is>
      </c>
      <c r="F138" s="5" t="inlineStr">
        <is>
          <t>text</t>
        </is>
      </c>
      <c r="G138" s="5" t="inlineStr"/>
      <c r="H138" s="5" t="inlineStr"/>
      <c r="I138" s="5" t="inlineStr">
        <is>
          <t>184, 76, 394, 87</t>
        </is>
      </c>
      <c r="J138" s="5" t="inlineStr">
        <is>
          <t>question</t>
        </is>
      </c>
      <c r="K138" s="5" t="inlineStr">
        <is>
          <t>PR13</t>
        </is>
      </c>
      <c r="L138" s="5">
        <f> PR13.name</f>
        <v/>
      </c>
      <c r="M138" s="5" t="inlineStr">
        <is>
          <t>PR13 given</t>
        </is>
      </c>
      <c r="N138" s="5" t="inlineStr"/>
      <c r="O138" s="5" t="inlineStr"/>
    </row>
    <row r="139">
      <c r="A139" s="5" t="n">
        <v>138</v>
      </c>
      <c r="B139" s="5" t="n">
        <v>3</v>
      </c>
      <c r="C139" s="5" t="inlineStr">
        <is>
          <t>Caption</t>
        </is>
      </c>
      <c r="D139" s="5" t="inlineStr">
        <is>
          <t>CASE NUMBER:</t>
        </is>
      </c>
      <c r="E139" s="5" t="inlineStr">
        <is>
          <t>FL-150[0].Page3[0].PxCaption_sf[0].CaseNumber[0].CaseNumber_ft[0]</t>
        </is>
      </c>
      <c r="F139" s="5" t="inlineStr">
        <is>
          <t>text</t>
        </is>
      </c>
      <c r="G139" s="5" t="inlineStr"/>
      <c r="H139" s="5" t="inlineStr"/>
      <c r="I139" s="5" t="inlineStr">
        <is>
          <t>400, 57, 572, 71</t>
        </is>
      </c>
      <c r="J139" s="5" t="inlineStr">
        <is>
          <t>question</t>
        </is>
      </c>
      <c r="K139" s="5" t="inlineStr">
        <is>
          <t>S4,X0</t>
        </is>
      </c>
      <c r="L139" s="5">
        <f> X0 ?? S4</f>
        <v/>
      </c>
      <c r="M139" s="5" t="inlineStr">
        <is>
          <t>known; otherwise blank for clerk</t>
        </is>
      </c>
      <c r="N139" s="5" t="inlineStr"/>
      <c r="O139" s="5" t="inlineStr"/>
    </row>
    <row r="140">
      <c r="A140" s="5" t="n">
        <v>139</v>
      </c>
      <c r="B140" s="5" t="n">
        <v>3</v>
      </c>
      <c r="C140" s="5" t="inlineStr">
        <is>
          <t>12a</t>
        </is>
      </c>
      <c r="D140" s="5" t="inlineStr">
        <is>
          <t>a.</t>
        </is>
      </c>
      <c r="E140" s="5" t="inlineStr">
        <is>
          <t>FL-150[0].Page3[0].List12[0].L1[0].FillText1[0]</t>
        </is>
      </c>
      <c r="F140" s="5" t="inlineStr">
        <is>
          <t>text</t>
        </is>
      </c>
      <c r="G140" s="5" t="inlineStr"/>
      <c r="H140" s="5" t="inlineStr"/>
      <c r="I140" s="5" t="inlineStr">
        <is>
          <t>62, 143, 212, 152</t>
        </is>
      </c>
      <c r="J140" s="5" t="inlineStr">
        <is>
          <t>question</t>
        </is>
      </c>
      <c r="K140" s="5" t="inlineStr">
        <is>
          <t>PR1</t>
        </is>
      </c>
      <c r="L140" s="5">
        <f> household[0].PR1</f>
        <v/>
      </c>
      <c r="M140" s="5" t="inlineStr">
        <is>
          <t>household.length &gt; 0  (household = roster.where(PR6=="Y"))</t>
        </is>
      </c>
      <c r="N140" s="5" t="inlineStr"/>
      <c r="O140" s="5" t="inlineStr"/>
    </row>
    <row r="141">
      <c r="A141" s="6" t="n">
        <v>140</v>
      </c>
      <c r="B141" s="6" t="n">
        <v>3</v>
      </c>
      <c r="C141" s="6" t="inlineStr">
        <is>
          <t>12a</t>
        </is>
      </c>
      <c r="D141" s="6" t="inlineStr">
        <is>
          <t>Age</t>
        </is>
      </c>
      <c r="E141" s="6" t="inlineStr">
        <is>
          <t>FL-150[0].Page3[0].List12[0].L1[0].TextField1[0]</t>
        </is>
      </c>
      <c r="F141" s="6" t="inlineStr">
        <is>
          <t>text</t>
        </is>
      </c>
      <c r="G141" s="6" t="inlineStr"/>
      <c r="H141" s="6" t="inlineStr"/>
      <c r="I141" s="6" t="inlineStr">
        <is>
          <t>216, 143, 253, 153</t>
        </is>
      </c>
      <c r="J141" s="6" t="inlineStr">
        <is>
          <t>derived</t>
        </is>
      </c>
      <c r="K141" s="6" t="inlineStr">
        <is>
          <t>PR2</t>
        </is>
      </c>
      <c r="L141" s="6">
        <f> age(household[0].PR2, asOf)</f>
        <v/>
      </c>
      <c r="M141" s="6" t="inlineStr">
        <is>
          <t>household.length &gt; 0  (household = roster.where(PR6=="Y"))</t>
        </is>
      </c>
      <c r="N141" s="6" t="inlineStr"/>
      <c r="O141" s="6" t="inlineStr"/>
    </row>
    <row r="142">
      <c r="A142" s="5" t="n">
        <v>141</v>
      </c>
      <c r="B142" s="5" t="n">
        <v>3</v>
      </c>
      <c r="C142" s="5" t="inlineStr">
        <is>
          <t>12a</t>
        </is>
      </c>
      <c r="D142" s="5" t="inlineStr">
        <is>
          <t>How the person is related to me (ex: son)</t>
        </is>
      </c>
      <c r="E142" s="5" t="inlineStr">
        <is>
          <t>FL-150[0].Page3[0].List12[0].L1[0].TextField2[0]</t>
        </is>
      </c>
      <c r="F142" s="5" t="inlineStr">
        <is>
          <t>text</t>
        </is>
      </c>
      <c r="G142" s="5" t="inlineStr"/>
      <c r="H142" s="5" t="inlineStr"/>
      <c r="I142" s="5" t="inlineStr">
        <is>
          <t>256, 143, 358, 153</t>
        </is>
      </c>
      <c r="J142" s="5" t="inlineStr">
        <is>
          <t>question</t>
        </is>
      </c>
      <c r="K142" s="5" t="inlineStr">
        <is>
          <t>PR5</t>
        </is>
      </c>
      <c r="L142" s="5">
        <f> label(household[0].PR5)</f>
        <v/>
      </c>
      <c r="M142" s="5" t="inlineStr">
        <is>
          <t>household.length &gt; 0  (household = roster.where(PR6=="Y"))</t>
        </is>
      </c>
      <c r="N142" s="5" t="inlineStr"/>
      <c r="O142" s="5" t="inlineStr"/>
    </row>
    <row r="143">
      <c r="A143" s="5" t="n">
        <v>142</v>
      </c>
      <c r="B143" s="5" t="n">
        <v>3</v>
      </c>
      <c r="C143" s="5" t="inlineStr">
        <is>
          <t>12a</t>
        </is>
      </c>
      <c r="D143" s="5" t="inlineStr">
        <is>
          <t>That person's gross monthly income</t>
        </is>
      </c>
      <c r="E143" s="5" t="inlineStr">
        <is>
          <t>FL-150[0].Page3[0].List12[0].L1[0].TextField3[0]</t>
        </is>
      </c>
      <c r="F143" s="5" t="inlineStr">
        <is>
          <t>text</t>
        </is>
      </c>
      <c r="G143" s="5" t="inlineStr"/>
      <c r="H143" s="5" t="inlineStr"/>
      <c r="I143" s="5" t="inlineStr">
        <is>
          <t>362, 143, 465, 153</t>
        </is>
      </c>
      <c r="J143" s="5" t="inlineStr">
        <is>
          <t>question</t>
        </is>
      </c>
      <c r="K143" s="5" t="inlineStr">
        <is>
          <t>PR9</t>
        </is>
      </c>
      <c r="L143" s="5">
        <f> money(household[0].PR9.income)</f>
        <v/>
      </c>
      <c r="M143" s="5" t="inlineStr">
        <is>
          <t>household.length &gt; 0  (household = roster.where(PR6=="Y"))</t>
        </is>
      </c>
      <c r="N143" s="5" t="inlineStr"/>
      <c r="O143" s="5" t="inlineStr"/>
    </row>
    <row r="144">
      <c r="A144" s="5" t="n">
        <v>143</v>
      </c>
      <c r="B144" s="5" t="n">
        <v>3</v>
      </c>
      <c r="C144" s="5" t="inlineStr">
        <is>
          <t>12a</t>
        </is>
      </c>
      <c r="D144" s="5" t="inlineStr">
        <is>
          <t>Yes</t>
        </is>
      </c>
      <c r="E144" s="5" t="inlineStr">
        <is>
          <t>FL-150[0].Page3[0].List12[0].L1[0].item12a_cb[0]</t>
        </is>
      </c>
      <c r="F144" s="5" t="inlineStr">
        <is>
          <t>checkbox</t>
        </is>
      </c>
      <c r="G144" s="5" t="inlineStr">
        <is>
          <t>1</t>
        </is>
      </c>
      <c r="H144" s="5" t="inlineStr"/>
      <c r="I144" s="5" t="inlineStr">
        <is>
          <t>477, 143, 486, 152</t>
        </is>
      </c>
      <c r="J144" s="5" t="inlineStr">
        <is>
          <t>question</t>
        </is>
      </c>
      <c r="K144" s="5" t="inlineStr">
        <is>
          <t>PR9</t>
        </is>
      </c>
      <c r="L144" s="5" t="inlineStr">
        <is>
          <t>check if household[0].PR9.paysExpenses == "Y"</t>
        </is>
      </c>
      <c r="M144" s="5" t="inlineStr">
        <is>
          <t>household.length &gt; 0  (household = roster.where(PR6=="Y"))</t>
        </is>
      </c>
      <c r="N144" s="5" t="inlineStr"/>
      <c r="O144" s="5" t="inlineStr"/>
    </row>
    <row r="145">
      <c r="A145" s="5" t="n">
        <v>144</v>
      </c>
      <c r="B145" s="5" t="n">
        <v>3</v>
      </c>
      <c r="C145" s="5" t="inlineStr">
        <is>
          <t>12a</t>
        </is>
      </c>
      <c r="D145" s="5" t="inlineStr">
        <is>
          <t>No</t>
        </is>
      </c>
      <c r="E145" s="5" t="inlineStr">
        <is>
          <t>FL-150[0].Page3[0].List12[0].L1[0].item12a_cb[1]</t>
        </is>
      </c>
      <c r="F145" s="5" t="inlineStr">
        <is>
          <t>checkbox</t>
        </is>
      </c>
      <c r="G145" s="5" t="inlineStr">
        <is>
          <t>3</t>
        </is>
      </c>
      <c r="H145" s="5" t="inlineStr"/>
      <c r="I145" s="5" t="inlineStr">
        <is>
          <t>533, 143, 542, 152</t>
        </is>
      </c>
      <c r="J145" s="5" t="inlineStr">
        <is>
          <t>question</t>
        </is>
      </c>
      <c r="K145" s="5" t="inlineStr">
        <is>
          <t>PR9</t>
        </is>
      </c>
      <c r="L145" s="5" t="inlineStr">
        <is>
          <t>check if household[0].PR9.paysExpenses == "N"</t>
        </is>
      </c>
      <c r="M145" s="5" t="inlineStr">
        <is>
          <t>household.length &gt; 0  (household = roster.where(PR6=="Y"))</t>
        </is>
      </c>
      <c r="N145" s="5" t="inlineStr"/>
      <c r="O145" s="5" t="inlineStr"/>
    </row>
    <row r="146">
      <c r="A146" s="5" t="n">
        <v>145</v>
      </c>
      <c r="B146" s="5" t="n">
        <v>3</v>
      </c>
      <c r="C146" s="5" t="inlineStr">
        <is>
          <t>12b</t>
        </is>
      </c>
      <c r="D146" s="5" t="inlineStr">
        <is>
          <t>b.</t>
        </is>
      </c>
      <c r="E146" s="5" t="inlineStr">
        <is>
          <t>FL-150[0].Page3[0].List12[0].L2[0].FillText1[0]</t>
        </is>
      </c>
      <c r="F146" s="5" t="inlineStr">
        <is>
          <t>text</t>
        </is>
      </c>
      <c r="G146" s="5" t="inlineStr"/>
      <c r="H146" s="5" t="inlineStr"/>
      <c r="I146" s="5" t="inlineStr">
        <is>
          <t>62, 155, 212, 164</t>
        </is>
      </c>
      <c r="J146" s="5" t="inlineStr">
        <is>
          <t>question</t>
        </is>
      </c>
      <c r="K146" s="5" t="inlineStr">
        <is>
          <t>PR1</t>
        </is>
      </c>
      <c r="L146" s="5">
        <f> household[1].PR1</f>
        <v/>
      </c>
      <c r="M146" s="5" t="inlineStr">
        <is>
          <t>household.length &gt; 1  (household = roster.where(PR6=="Y"))</t>
        </is>
      </c>
      <c r="N146" s="5" t="inlineStr"/>
      <c r="O146" s="5" t="inlineStr"/>
    </row>
    <row r="147">
      <c r="A147" s="6" t="n">
        <v>146</v>
      </c>
      <c r="B147" s="6" t="n">
        <v>3</v>
      </c>
      <c r="C147" s="6" t="inlineStr">
        <is>
          <t>12b</t>
        </is>
      </c>
      <c r="D147" s="6" t="inlineStr">
        <is>
          <t>Age</t>
        </is>
      </c>
      <c r="E147" s="6" t="inlineStr">
        <is>
          <t>FL-150[0].Page3[0].List12[0].L2[0].TextField[0]</t>
        </is>
      </c>
      <c r="F147" s="6" t="inlineStr">
        <is>
          <t>text</t>
        </is>
      </c>
      <c r="G147" s="6" t="inlineStr"/>
      <c r="H147" s="6" t="inlineStr"/>
      <c r="I147" s="6" t="inlineStr">
        <is>
          <t>216, 155, 253, 165</t>
        </is>
      </c>
      <c r="J147" s="6" t="inlineStr">
        <is>
          <t>derived</t>
        </is>
      </c>
      <c r="K147" s="6" t="inlineStr">
        <is>
          <t>PR2</t>
        </is>
      </c>
      <c r="L147" s="6">
        <f> age(household[1].PR2, asOf)</f>
        <v/>
      </c>
      <c r="M147" s="6" t="inlineStr">
        <is>
          <t>household.length &gt; 1  (household = roster.where(PR6=="Y"))</t>
        </is>
      </c>
      <c r="N147" s="6" t="inlineStr"/>
      <c r="O147" s="6" t="inlineStr"/>
    </row>
    <row r="148">
      <c r="A148" s="5" t="n">
        <v>147</v>
      </c>
      <c r="B148" s="5" t="n">
        <v>3</v>
      </c>
      <c r="C148" s="5" t="inlineStr">
        <is>
          <t>12b</t>
        </is>
      </c>
      <c r="D148" s="5" t="inlineStr">
        <is>
          <t>How the person is related to me (ex: son)</t>
        </is>
      </c>
      <c r="E148" s="5" t="inlineStr">
        <is>
          <t>FL-150[0].Page3[0].List12[0].L2[0].TextField1[0]</t>
        </is>
      </c>
      <c r="F148" s="5" t="inlineStr">
        <is>
          <t>text</t>
        </is>
      </c>
      <c r="G148" s="5" t="inlineStr"/>
      <c r="H148" s="5" t="inlineStr"/>
      <c r="I148" s="5" t="inlineStr">
        <is>
          <t>257, 155, 358, 165</t>
        </is>
      </c>
      <c r="J148" s="5" t="inlineStr">
        <is>
          <t>question</t>
        </is>
      </c>
      <c r="K148" s="5" t="inlineStr">
        <is>
          <t>PR5</t>
        </is>
      </c>
      <c r="L148" s="5">
        <f> label(household[1].PR5)</f>
        <v/>
      </c>
      <c r="M148" s="5" t="inlineStr">
        <is>
          <t>household.length &gt; 1  (household = roster.where(PR6=="Y"))</t>
        </is>
      </c>
      <c r="N148" s="5" t="inlineStr"/>
      <c r="O148" s="5" t="inlineStr"/>
    </row>
    <row r="149">
      <c r="A149" s="5" t="n">
        <v>148</v>
      </c>
      <c r="B149" s="5" t="n">
        <v>3</v>
      </c>
      <c r="C149" s="5" t="inlineStr">
        <is>
          <t>12b</t>
        </is>
      </c>
      <c r="D149" s="5" t="inlineStr">
        <is>
          <t>That person's gross monthly income</t>
        </is>
      </c>
      <c r="E149" s="5" t="inlineStr">
        <is>
          <t>FL-150[0].Page3[0].List12[0].L2[0].TextField2[0]</t>
        </is>
      </c>
      <c r="F149" s="5" t="inlineStr">
        <is>
          <t>text</t>
        </is>
      </c>
      <c r="G149" s="5" t="inlineStr"/>
      <c r="H149" s="5" t="inlineStr"/>
      <c r="I149" s="5" t="inlineStr">
        <is>
          <t>362, 155, 465, 165</t>
        </is>
      </c>
      <c r="J149" s="5" t="inlineStr">
        <is>
          <t>question</t>
        </is>
      </c>
      <c r="K149" s="5" t="inlineStr">
        <is>
          <t>PR9</t>
        </is>
      </c>
      <c r="L149" s="5">
        <f> money(household[1].PR9.income)</f>
        <v/>
      </c>
      <c r="M149" s="5" t="inlineStr">
        <is>
          <t>household.length &gt; 1  (household = roster.where(PR6=="Y"))</t>
        </is>
      </c>
      <c r="N149" s="5" t="inlineStr"/>
      <c r="O149" s="5" t="inlineStr"/>
    </row>
    <row r="150">
      <c r="A150" s="5" t="n">
        <v>149</v>
      </c>
      <c r="B150" s="5" t="n">
        <v>3</v>
      </c>
      <c r="C150" s="5" t="inlineStr">
        <is>
          <t>12b</t>
        </is>
      </c>
      <c r="D150" s="5" t="inlineStr">
        <is>
          <t>Yes</t>
        </is>
      </c>
      <c r="E150" s="5" t="inlineStr">
        <is>
          <t>FL-150[0].Page3[0].List12[0].L2[0].People2_cb[0]</t>
        </is>
      </c>
      <c r="F150" s="5" t="inlineStr">
        <is>
          <t>checkbox</t>
        </is>
      </c>
      <c r="G150" s="5" t="inlineStr">
        <is>
          <t>1</t>
        </is>
      </c>
      <c r="H150" s="5" t="inlineStr"/>
      <c r="I150" s="5" t="inlineStr">
        <is>
          <t>477, 155, 486, 164</t>
        </is>
      </c>
      <c r="J150" s="5" t="inlineStr">
        <is>
          <t>question</t>
        </is>
      </c>
      <c r="K150" s="5" t="inlineStr">
        <is>
          <t>PR9</t>
        </is>
      </c>
      <c r="L150" s="5" t="inlineStr">
        <is>
          <t>check if household[1].PR9.paysExpenses == "Y"</t>
        </is>
      </c>
      <c r="M150" s="5" t="inlineStr">
        <is>
          <t>household.length &gt; 1  (household = roster.where(PR6=="Y"))</t>
        </is>
      </c>
      <c r="N150" s="5" t="inlineStr"/>
      <c r="O150" s="5" t="inlineStr"/>
    </row>
    <row r="151">
      <c r="A151" s="5" t="n">
        <v>150</v>
      </c>
      <c r="B151" s="5" t="n">
        <v>3</v>
      </c>
      <c r="C151" s="5" t="inlineStr">
        <is>
          <t>12b</t>
        </is>
      </c>
      <c r="D151" s="5" t="inlineStr">
        <is>
          <t>No</t>
        </is>
      </c>
      <c r="E151" s="5" t="inlineStr">
        <is>
          <t>FL-150[0].Page3[0].List12[0].L2[0].People2_cb[1]</t>
        </is>
      </c>
      <c r="F151" s="5" t="inlineStr">
        <is>
          <t>checkbox</t>
        </is>
      </c>
      <c r="G151" s="5" t="inlineStr">
        <is>
          <t>3</t>
        </is>
      </c>
      <c r="H151" s="5" t="inlineStr"/>
      <c r="I151" s="5" t="inlineStr">
        <is>
          <t>533, 155, 542, 164</t>
        </is>
      </c>
      <c r="J151" s="5" t="inlineStr">
        <is>
          <t>question</t>
        </is>
      </c>
      <c r="K151" s="5" t="inlineStr">
        <is>
          <t>PR9</t>
        </is>
      </c>
      <c r="L151" s="5" t="inlineStr">
        <is>
          <t>check if household[1].PR9.paysExpenses == "N"</t>
        </is>
      </c>
      <c r="M151" s="5" t="inlineStr">
        <is>
          <t>household.length &gt; 1  (household = roster.where(PR6=="Y"))</t>
        </is>
      </c>
      <c r="N151" s="5" t="inlineStr"/>
      <c r="O151" s="5" t="inlineStr"/>
    </row>
    <row r="152">
      <c r="A152" s="5" t="n">
        <v>151</v>
      </c>
      <c r="B152" s="5" t="n">
        <v>3</v>
      </c>
      <c r="C152" s="5" t="inlineStr">
        <is>
          <t>12c</t>
        </is>
      </c>
      <c r="D152" s="5" t="inlineStr">
        <is>
          <t>c.</t>
        </is>
      </c>
      <c r="E152" s="5" t="inlineStr">
        <is>
          <t>FL-150[0].Page3[0].List12[0].L3[0].FillText1[0]</t>
        </is>
      </c>
      <c r="F152" s="5" t="inlineStr">
        <is>
          <t>text</t>
        </is>
      </c>
      <c r="G152" s="5" t="inlineStr"/>
      <c r="H152" s="5" t="inlineStr"/>
      <c r="I152" s="5" t="inlineStr">
        <is>
          <t>62, 166, 212, 175</t>
        </is>
      </c>
      <c r="J152" s="5" t="inlineStr">
        <is>
          <t>question</t>
        </is>
      </c>
      <c r="K152" s="5" t="inlineStr">
        <is>
          <t>PR1</t>
        </is>
      </c>
      <c r="L152" s="5">
        <f> household[2].PR1</f>
        <v/>
      </c>
      <c r="M152" s="5" t="inlineStr">
        <is>
          <t>household.length &gt; 2  (household = roster.where(PR6=="Y"))</t>
        </is>
      </c>
      <c r="N152" s="5" t="inlineStr"/>
      <c r="O152" s="5" t="inlineStr"/>
    </row>
    <row r="153">
      <c r="A153" s="6" t="n">
        <v>152</v>
      </c>
      <c r="B153" s="6" t="n">
        <v>3</v>
      </c>
      <c r="C153" s="6" t="inlineStr">
        <is>
          <t>12c</t>
        </is>
      </c>
      <c r="D153" s="6" t="inlineStr">
        <is>
          <t>Age</t>
        </is>
      </c>
      <c r="E153" s="6" t="inlineStr">
        <is>
          <t>FL-150[0].Page3[0].List12[0].L3[0].TextField[0]</t>
        </is>
      </c>
      <c r="F153" s="6" t="inlineStr">
        <is>
          <t>text</t>
        </is>
      </c>
      <c r="G153" s="6" t="inlineStr"/>
      <c r="H153" s="6" t="inlineStr"/>
      <c r="I153" s="6" t="inlineStr">
        <is>
          <t>216, 166, 253, 176</t>
        </is>
      </c>
      <c r="J153" s="6" t="inlineStr">
        <is>
          <t>derived</t>
        </is>
      </c>
      <c r="K153" s="6" t="inlineStr">
        <is>
          <t>PR2</t>
        </is>
      </c>
      <c r="L153" s="6">
        <f> age(household[2].PR2, asOf)</f>
        <v/>
      </c>
      <c r="M153" s="6" t="inlineStr">
        <is>
          <t>household.length &gt; 2  (household = roster.where(PR6=="Y"))</t>
        </is>
      </c>
      <c r="N153" s="6" t="inlineStr"/>
      <c r="O153" s="6" t="inlineStr"/>
    </row>
    <row r="154">
      <c r="A154" s="5" t="n">
        <v>153</v>
      </c>
      <c r="B154" s="5" t="n">
        <v>3</v>
      </c>
      <c r="C154" s="5" t="inlineStr">
        <is>
          <t>12c</t>
        </is>
      </c>
      <c r="D154" s="5" t="inlineStr">
        <is>
          <t>How the person is related to me (ex: son)</t>
        </is>
      </c>
      <c r="E154" s="5" t="inlineStr">
        <is>
          <t>FL-150[0].Page3[0].List12[0].L3[0].TextField1[0]</t>
        </is>
      </c>
      <c r="F154" s="5" t="inlineStr">
        <is>
          <t>text</t>
        </is>
      </c>
      <c r="G154" s="5" t="inlineStr"/>
      <c r="H154" s="5" t="inlineStr"/>
      <c r="I154" s="5" t="inlineStr">
        <is>
          <t>257, 166, 358, 176</t>
        </is>
      </c>
      <c r="J154" s="5" t="inlineStr">
        <is>
          <t>question</t>
        </is>
      </c>
      <c r="K154" s="5" t="inlineStr">
        <is>
          <t>PR5</t>
        </is>
      </c>
      <c r="L154" s="5">
        <f> label(household[2].PR5)</f>
        <v/>
      </c>
      <c r="M154" s="5" t="inlineStr">
        <is>
          <t>household.length &gt; 2  (household = roster.where(PR6=="Y"))</t>
        </is>
      </c>
      <c r="N154" s="5" t="inlineStr"/>
      <c r="O154" s="5" t="inlineStr"/>
    </row>
    <row r="155">
      <c r="A155" s="5" t="n">
        <v>154</v>
      </c>
      <c r="B155" s="5" t="n">
        <v>3</v>
      </c>
      <c r="C155" s="5" t="inlineStr">
        <is>
          <t>12c</t>
        </is>
      </c>
      <c r="D155" s="5" t="inlineStr">
        <is>
          <t>That person's gross monthly income</t>
        </is>
      </c>
      <c r="E155" s="5" t="inlineStr">
        <is>
          <t>FL-150[0].Page3[0].List12[0].L3[0].TextField6[0]</t>
        </is>
      </c>
      <c r="F155" s="5" t="inlineStr">
        <is>
          <t>text</t>
        </is>
      </c>
      <c r="G155" s="5" t="inlineStr"/>
      <c r="H155" s="5" t="inlineStr"/>
      <c r="I155" s="5" t="inlineStr">
        <is>
          <t>362, 166, 465, 176</t>
        </is>
      </c>
      <c r="J155" s="5" t="inlineStr">
        <is>
          <t>question</t>
        </is>
      </c>
      <c r="K155" s="5" t="inlineStr">
        <is>
          <t>PR9</t>
        </is>
      </c>
      <c r="L155" s="5">
        <f> money(household[2].PR9.income)</f>
        <v/>
      </c>
      <c r="M155" s="5" t="inlineStr">
        <is>
          <t>household.length &gt; 2  (household = roster.where(PR6=="Y"))</t>
        </is>
      </c>
      <c r="N155" s="5" t="inlineStr"/>
      <c r="O155" s="5" t="inlineStr"/>
    </row>
    <row r="156">
      <c r="A156" s="5" t="n">
        <v>155</v>
      </c>
      <c r="B156" s="5" t="n">
        <v>3</v>
      </c>
      <c r="C156" s="5" t="inlineStr">
        <is>
          <t>12c</t>
        </is>
      </c>
      <c r="D156" s="5" t="inlineStr">
        <is>
          <t>Yes</t>
        </is>
      </c>
      <c r="E156" s="5" t="inlineStr">
        <is>
          <t>FL-150[0].Page3[0].List12[0].L3[0].People3_cb[0]</t>
        </is>
      </c>
      <c r="F156" s="5" t="inlineStr">
        <is>
          <t>checkbox</t>
        </is>
      </c>
      <c r="G156" s="5" t="inlineStr">
        <is>
          <t>1</t>
        </is>
      </c>
      <c r="H156" s="5" t="inlineStr"/>
      <c r="I156" s="5" t="inlineStr">
        <is>
          <t>477, 166, 486, 175</t>
        </is>
      </c>
      <c r="J156" s="5" t="inlineStr">
        <is>
          <t>question</t>
        </is>
      </c>
      <c r="K156" s="5" t="inlineStr">
        <is>
          <t>PR9</t>
        </is>
      </c>
      <c r="L156" s="5" t="inlineStr">
        <is>
          <t>check if household[2].PR9.paysExpenses == "Y"</t>
        </is>
      </c>
      <c r="M156" s="5" t="inlineStr">
        <is>
          <t>household.length &gt; 2  (household = roster.where(PR6=="Y"))</t>
        </is>
      </c>
      <c r="N156" s="5" t="inlineStr"/>
      <c r="O156" s="5" t="inlineStr"/>
    </row>
    <row r="157">
      <c r="A157" s="5" t="n">
        <v>156</v>
      </c>
      <c r="B157" s="5" t="n">
        <v>3</v>
      </c>
      <c r="C157" s="5" t="inlineStr">
        <is>
          <t>12c</t>
        </is>
      </c>
      <c r="D157" s="5" t="inlineStr">
        <is>
          <t>No</t>
        </is>
      </c>
      <c r="E157" s="5" t="inlineStr">
        <is>
          <t>FL-150[0].Page3[0].List12[0].L3[0].People3_cb[1]</t>
        </is>
      </c>
      <c r="F157" s="5" t="inlineStr">
        <is>
          <t>checkbox</t>
        </is>
      </c>
      <c r="G157" s="5" t="inlineStr">
        <is>
          <t>3</t>
        </is>
      </c>
      <c r="H157" s="5" t="inlineStr"/>
      <c r="I157" s="5" t="inlineStr">
        <is>
          <t>533, 166, 542, 175</t>
        </is>
      </c>
      <c r="J157" s="5" t="inlineStr">
        <is>
          <t>question</t>
        </is>
      </c>
      <c r="K157" s="5" t="inlineStr">
        <is>
          <t>PR9</t>
        </is>
      </c>
      <c r="L157" s="5" t="inlineStr">
        <is>
          <t>check if household[2].PR9.paysExpenses == "N"</t>
        </is>
      </c>
      <c r="M157" s="5" t="inlineStr">
        <is>
          <t>household.length &gt; 2  (household = roster.where(PR6=="Y"))</t>
        </is>
      </c>
      <c r="N157" s="5" t="inlineStr"/>
      <c r="O157" s="5" t="inlineStr"/>
    </row>
    <row r="158">
      <c r="A158" s="5" t="n">
        <v>157</v>
      </c>
      <c r="B158" s="5" t="n">
        <v>3</v>
      </c>
      <c r="C158" s="5" t="inlineStr">
        <is>
          <t>12d</t>
        </is>
      </c>
      <c r="D158" s="5" t="inlineStr">
        <is>
          <t>d.</t>
        </is>
      </c>
      <c r="E158" s="5" t="inlineStr">
        <is>
          <t>FL-150[0].Page3[0].List12[0].L4[0].FillText1[0]</t>
        </is>
      </c>
      <c r="F158" s="5" t="inlineStr">
        <is>
          <t>text</t>
        </is>
      </c>
      <c r="G158" s="5" t="inlineStr"/>
      <c r="H158" s="5" t="inlineStr"/>
      <c r="I158" s="5" t="inlineStr">
        <is>
          <t>62, 177, 212, 186</t>
        </is>
      </c>
      <c r="J158" s="5" t="inlineStr">
        <is>
          <t>question</t>
        </is>
      </c>
      <c r="K158" s="5" t="inlineStr">
        <is>
          <t>PR1</t>
        </is>
      </c>
      <c r="L158" s="5">
        <f> household[3].PR1</f>
        <v/>
      </c>
      <c r="M158" s="5" t="inlineStr">
        <is>
          <t>household.length &gt; 3  (household = roster.where(PR6=="Y"))</t>
        </is>
      </c>
      <c r="N158" s="5" t="inlineStr"/>
      <c r="O158" s="5" t="inlineStr"/>
    </row>
    <row r="159">
      <c r="A159" s="6" t="n">
        <v>158</v>
      </c>
      <c r="B159" s="6" t="n">
        <v>3</v>
      </c>
      <c r="C159" s="6" t="inlineStr">
        <is>
          <t>12d</t>
        </is>
      </c>
      <c r="D159" s="6" t="inlineStr">
        <is>
          <t>Age</t>
        </is>
      </c>
      <c r="E159" s="6" t="inlineStr">
        <is>
          <t>FL-150[0].Page3[0].List12[0].L4[0].TextField[0]</t>
        </is>
      </c>
      <c r="F159" s="6" t="inlineStr">
        <is>
          <t>text</t>
        </is>
      </c>
      <c r="G159" s="6" t="inlineStr"/>
      <c r="H159" s="6" t="inlineStr"/>
      <c r="I159" s="6" t="inlineStr">
        <is>
          <t>216, 177, 253, 188</t>
        </is>
      </c>
      <c r="J159" s="6" t="inlineStr">
        <is>
          <t>derived</t>
        </is>
      </c>
      <c r="K159" s="6" t="inlineStr">
        <is>
          <t>PR2</t>
        </is>
      </c>
      <c r="L159" s="6">
        <f> age(household[3].PR2, asOf)</f>
        <v/>
      </c>
      <c r="M159" s="6" t="inlineStr">
        <is>
          <t>household.length &gt; 3  (household = roster.where(PR6=="Y"))</t>
        </is>
      </c>
      <c r="N159" s="6" t="inlineStr"/>
      <c r="O159" s="6" t="inlineStr"/>
    </row>
    <row r="160">
      <c r="A160" s="5" t="n">
        <v>159</v>
      </c>
      <c r="B160" s="5" t="n">
        <v>3</v>
      </c>
      <c r="C160" s="5" t="inlineStr">
        <is>
          <t>12d</t>
        </is>
      </c>
      <c r="D160" s="5" t="inlineStr">
        <is>
          <t>How the person is related to me (ex: son)</t>
        </is>
      </c>
      <c r="E160" s="5" t="inlineStr">
        <is>
          <t>FL-150[0].Page3[0].List12[0].L4[0].TextField1[0]</t>
        </is>
      </c>
      <c r="F160" s="5" t="inlineStr">
        <is>
          <t>text</t>
        </is>
      </c>
      <c r="G160" s="5" t="inlineStr"/>
      <c r="H160" s="5" t="inlineStr"/>
      <c r="I160" s="5" t="inlineStr">
        <is>
          <t>257, 177, 358, 188</t>
        </is>
      </c>
      <c r="J160" s="5" t="inlineStr">
        <is>
          <t>question</t>
        </is>
      </c>
      <c r="K160" s="5" t="inlineStr">
        <is>
          <t>PR5</t>
        </is>
      </c>
      <c r="L160" s="5">
        <f> label(household[3].PR5)</f>
        <v/>
      </c>
      <c r="M160" s="5" t="inlineStr">
        <is>
          <t>household.length &gt; 3  (household = roster.where(PR6=="Y"))</t>
        </is>
      </c>
      <c r="N160" s="5" t="inlineStr"/>
      <c r="O160" s="5" t="inlineStr"/>
    </row>
    <row r="161">
      <c r="A161" s="5" t="n">
        <v>160</v>
      </c>
      <c r="B161" s="5" t="n">
        <v>3</v>
      </c>
      <c r="C161" s="5" t="inlineStr">
        <is>
          <t>12d</t>
        </is>
      </c>
      <c r="D161" s="5" t="inlineStr">
        <is>
          <t>That person's gross monthly income</t>
        </is>
      </c>
      <c r="E161" s="5" t="inlineStr">
        <is>
          <t>FL-150[0].Page3[0].List12[0].L4[0].TextField6[0]</t>
        </is>
      </c>
      <c r="F161" s="5" t="inlineStr">
        <is>
          <t>text</t>
        </is>
      </c>
      <c r="G161" s="5" t="inlineStr"/>
      <c r="H161" s="5" t="inlineStr"/>
      <c r="I161" s="5" t="inlineStr">
        <is>
          <t>362, 177, 465, 188</t>
        </is>
      </c>
      <c r="J161" s="5" t="inlineStr">
        <is>
          <t>question</t>
        </is>
      </c>
      <c r="K161" s="5" t="inlineStr">
        <is>
          <t>PR9</t>
        </is>
      </c>
      <c r="L161" s="5">
        <f> money(household[3].PR9.income)</f>
        <v/>
      </c>
      <c r="M161" s="5" t="inlineStr">
        <is>
          <t>household.length &gt; 3  (household = roster.where(PR6=="Y"))</t>
        </is>
      </c>
      <c r="N161" s="5" t="inlineStr"/>
      <c r="O161" s="5" t="inlineStr"/>
    </row>
    <row r="162">
      <c r="A162" s="5" t="n">
        <v>161</v>
      </c>
      <c r="B162" s="5" t="n">
        <v>3</v>
      </c>
      <c r="C162" s="5" t="inlineStr">
        <is>
          <t>12d</t>
        </is>
      </c>
      <c r="D162" s="5" t="inlineStr">
        <is>
          <t>Yes</t>
        </is>
      </c>
      <c r="E162" s="5" t="inlineStr">
        <is>
          <t>FL-150[0].Page3[0].List12[0].L4[0].People4_cb[0]</t>
        </is>
      </c>
      <c r="F162" s="5" t="inlineStr">
        <is>
          <t>checkbox</t>
        </is>
      </c>
      <c r="G162" s="5" t="inlineStr">
        <is>
          <t>1</t>
        </is>
      </c>
      <c r="H162" s="5" t="inlineStr"/>
      <c r="I162" s="5" t="inlineStr">
        <is>
          <t>477, 177, 486, 186</t>
        </is>
      </c>
      <c r="J162" s="5" t="inlineStr">
        <is>
          <t>question</t>
        </is>
      </c>
      <c r="K162" s="5" t="inlineStr">
        <is>
          <t>PR9</t>
        </is>
      </c>
      <c r="L162" s="5" t="inlineStr">
        <is>
          <t>check if household[3].PR9.paysExpenses == "Y"</t>
        </is>
      </c>
      <c r="M162" s="5" t="inlineStr">
        <is>
          <t>household.length &gt; 3  (household = roster.where(PR6=="Y"))</t>
        </is>
      </c>
      <c r="N162" s="5" t="inlineStr"/>
      <c r="O162" s="5" t="inlineStr"/>
    </row>
    <row r="163">
      <c r="A163" s="5" t="n">
        <v>162</v>
      </c>
      <c r="B163" s="5" t="n">
        <v>3</v>
      </c>
      <c r="C163" s="5" t="inlineStr">
        <is>
          <t>12d</t>
        </is>
      </c>
      <c r="D163" s="5" t="inlineStr">
        <is>
          <t>No</t>
        </is>
      </c>
      <c r="E163" s="5" t="inlineStr">
        <is>
          <t>FL-150[0].Page3[0].List12[0].L4[0].People4_cb[1]</t>
        </is>
      </c>
      <c r="F163" s="5" t="inlineStr">
        <is>
          <t>checkbox</t>
        </is>
      </c>
      <c r="G163" s="5" t="inlineStr">
        <is>
          <t>5</t>
        </is>
      </c>
      <c r="H163" s="5" t="inlineStr"/>
      <c r="I163" s="5" t="inlineStr">
        <is>
          <t>533, 177, 542, 186</t>
        </is>
      </c>
      <c r="J163" s="5" t="inlineStr">
        <is>
          <t>question</t>
        </is>
      </c>
      <c r="K163" s="5" t="inlineStr">
        <is>
          <t>PR9</t>
        </is>
      </c>
      <c r="L163" s="5" t="inlineStr">
        <is>
          <t>check if household[3].PR9.paysExpenses == "N"</t>
        </is>
      </c>
      <c r="M163" s="5" t="inlineStr">
        <is>
          <t>household.length &gt; 3  (household = roster.where(PR6=="Y"))</t>
        </is>
      </c>
      <c r="N163" s="5" t="inlineStr"/>
      <c r="O163" s="5" t="inlineStr"/>
    </row>
    <row r="164">
      <c r="A164" s="5" t="n">
        <v>163</v>
      </c>
      <c r="B164" s="5" t="n">
        <v>3</v>
      </c>
      <c r="C164" s="5" t="inlineStr">
        <is>
          <t>12e</t>
        </is>
      </c>
      <c r="D164" s="5" t="inlineStr">
        <is>
          <t>e.</t>
        </is>
      </c>
      <c r="E164" s="5" t="inlineStr">
        <is>
          <t>FL-150[0].Page3[0].List12[0].L5[0].FillText1[0]</t>
        </is>
      </c>
      <c r="F164" s="5" t="inlineStr">
        <is>
          <t>text</t>
        </is>
      </c>
      <c r="G164" s="5" t="inlineStr"/>
      <c r="H164" s="5" t="inlineStr"/>
      <c r="I164" s="5" t="inlineStr">
        <is>
          <t>62, 189, 212, 198</t>
        </is>
      </c>
      <c r="J164" s="5" t="inlineStr">
        <is>
          <t>question</t>
        </is>
      </c>
      <c r="K164" s="5" t="inlineStr">
        <is>
          <t>PR1</t>
        </is>
      </c>
      <c r="L164" s="5">
        <f> household[4].PR1</f>
        <v/>
      </c>
      <c r="M164" s="5" t="inlineStr">
        <is>
          <t>household.length &gt; 4  (household = roster.where(PR6=="Y"))</t>
        </is>
      </c>
      <c r="N164" s="5" t="inlineStr"/>
      <c r="O164" s="5" t="inlineStr"/>
    </row>
    <row r="165">
      <c r="A165" s="6" t="n">
        <v>164</v>
      </c>
      <c r="B165" s="6" t="n">
        <v>3</v>
      </c>
      <c r="C165" s="6" t="inlineStr">
        <is>
          <t>12e</t>
        </is>
      </c>
      <c r="D165" s="6" t="inlineStr">
        <is>
          <t>Age</t>
        </is>
      </c>
      <c r="E165" s="6" t="inlineStr">
        <is>
          <t>FL-150[0].Page3[0].List12[0].L5[0].TextField[0]</t>
        </is>
      </c>
      <c r="F165" s="6" t="inlineStr">
        <is>
          <t>text</t>
        </is>
      </c>
      <c r="G165" s="6" t="inlineStr"/>
      <c r="H165" s="6" t="inlineStr"/>
      <c r="I165" s="6" t="inlineStr">
        <is>
          <t>216, 189, 253, 199</t>
        </is>
      </c>
      <c r="J165" s="6" t="inlineStr">
        <is>
          <t>derived</t>
        </is>
      </c>
      <c r="K165" s="6" t="inlineStr">
        <is>
          <t>PR2</t>
        </is>
      </c>
      <c r="L165" s="6">
        <f> age(household[4].PR2, asOf)</f>
        <v/>
      </c>
      <c r="M165" s="6" t="inlineStr">
        <is>
          <t>household.length &gt; 4  (household = roster.where(PR6=="Y"))</t>
        </is>
      </c>
      <c r="N165" s="6" t="inlineStr"/>
      <c r="O165" s="6" t="inlineStr"/>
    </row>
    <row r="166">
      <c r="A166" s="5" t="n">
        <v>165</v>
      </c>
      <c r="B166" s="5" t="n">
        <v>3</v>
      </c>
      <c r="C166" s="5" t="inlineStr">
        <is>
          <t>12e</t>
        </is>
      </c>
      <c r="D166" s="5" t="inlineStr">
        <is>
          <t>How the person is related to me (ex: son)</t>
        </is>
      </c>
      <c r="E166" s="5" t="inlineStr">
        <is>
          <t>FL-150[0].Page3[0].List12[0].L5[0].TextField1[0]</t>
        </is>
      </c>
      <c r="F166" s="5" t="inlineStr">
        <is>
          <t>text</t>
        </is>
      </c>
      <c r="G166" s="5" t="inlineStr"/>
      <c r="H166" s="5" t="inlineStr"/>
      <c r="I166" s="5" t="inlineStr">
        <is>
          <t>257, 189, 358, 199</t>
        </is>
      </c>
      <c r="J166" s="5" t="inlineStr">
        <is>
          <t>question</t>
        </is>
      </c>
      <c r="K166" s="5" t="inlineStr">
        <is>
          <t>PR5</t>
        </is>
      </c>
      <c r="L166" s="5">
        <f> label(household[4].PR5)</f>
        <v/>
      </c>
      <c r="M166" s="5" t="inlineStr">
        <is>
          <t>household.length &gt; 4  (household = roster.where(PR6=="Y"))</t>
        </is>
      </c>
      <c r="N166" s="5" t="inlineStr"/>
      <c r="O166" s="5" t="inlineStr"/>
    </row>
    <row r="167">
      <c r="A167" s="5" t="n">
        <v>166</v>
      </c>
      <c r="B167" s="5" t="n">
        <v>3</v>
      </c>
      <c r="C167" s="5" t="inlineStr">
        <is>
          <t>12e</t>
        </is>
      </c>
      <c r="D167" s="5" t="inlineStr">
        <is>
          <t>That person's gross monthly income</t>
        </is>
      </c>
      <c r="E167" s="5" t="inlineStr">
        <is>
          <t>FL-150[0].Page3[0].List12[0].L5[0].TextField6[0]</t>
        </is>
      </c>
      <c r="F167" s="5" t="inlineStr">
        <is>
          <t>text</t>
        </is>
      </c>
      <c r="G167" s="5" t="inlineStr"/>
      <c r="H167" s="5" t="inlineStr"/>
      <c r="I167" s="5" t="inlineStr">
        <is>
          <t>362, 189, 465, 199</t>
        </is>
      </c>
      <c r="J167" s="5" t="inlineStr">
        <is>
          <t>question</t>
        </is>
      </c>
      <c r="K167" s="5" t="inlineStr">
        <is>
          <t>PR9</t>
        </is>
      </c>
      <c r="L167" s="5">
        <f> money(household[4].PR9.income)</f>
        <v/>
      </c>
      <c r="M167" s="5" t="inlineStr">
        <is>
          <t>household.length &gt; 4  (household = roster.where(PR6=="Y"))</t>
        </is>
      </c>
      <c r="N167" s="5" t="inlineStr"/>
      <c r="O167" s="5" t="inlineStr"/>
    </row>
    <row r="168">
      <c r="A168" s="5" t="n">
        <v>167</v>
      </c>
      <c r="B168" s="5" t="n">
        <v>3</v>
      </c>
      <c r="C168" s="5" t="inlineStr">
        <is>
          <t>12e</t>
        </is>
      </c>
      <c r="D168" s="5" t="inlineStr">
        <is>
          <t>Yes</t>
        </is>
      </c>
      <c r="E168" s="5" t="inlineStr">
        <is>
          <t>FL-150[0].Page3[0].List12[0].L5[0].People5_cb[0]</t>
        </is>
      </c>
      <c r="F168" s="5" t="inlineStr">
        <is>
          <t>checkbox</t>
        </is>
      </c>
      <c r="G168" s="5" t="inlineStr">
        <is>
          <t>1</t>
        </is>
      </c>
      <c r="H168" s="5" t="inlineStr"/>
      <c r="I168" s="5" t="inlineStr">
        <is>
          <t>477, 189, 486, 198</t>
        </is>
      </c>
      <c r="J168" s="5" t="inlineStr">
        <is>
          <t>question</t>
        </is>
      </c>
      <c r="K168" s="5" t="inlineStr">
        <is>
          <t>PR9</t>
        </is>
      </c>
      <c r="L168" s="5" t="inlineStr">
        <is>
          <t>check if household[4].PR9.paysExpenses == "Y"</t>
        </is>
      </c>
      <c r="M168" s="5" t="inlineStr">
        <is>
          <t>household.length &gt; 4  (household = roster.where(PR6=="Y"))</t>
        </is>
      </c>
      <c r="N168" s="5" t="inlineStr"/>
      <c r="O168" s="5" t="inlineStr"/>
    </row>
    <row r="169">
      <c r="A169" s="5" t="n">
        <v>168</v>
      </c>
      <c r="B169" s="5" t="n">
        <v>3</v>
      </c>
      <c r="C169" s="5" t="inlineStr">
        <is>
          <t>12e</t>
        </is>
      </c>
      <c r="D169" s="5" t="inlineStr">
        <is>
          <t>No</t>
        </is>
      </c>
      <c r="E169" s="5" t="inlineStr">
        <is>
          <t>FL-150[0].Page3[0].List12[0].L5[0].People5_cb[1]</t>
        </is>
      </c>
      <c r="F169" s="5" t="inlineStr">
        <is>
          <t>checkbox</t>
        </is>
      </c>
      <c r="G169" s="5" t="inlineStr">
        <is>
          <t>5</t>
        </is>
      </c>
      <c r="H169" s="5" t="inlineStr"/>
      <c r="I169" s="5" t="inlineStr">
        <is>
          <t>533, 189, 542, 198</t>
        </is>
      </c>
      <c r="J169" s="5" t="inlineStr">
        <is>
          <t>question</t>
        </is>
      </c>
      <c r="K169" s="5" t="inlineStr">
        <is>
          <t>PR9</t>
        </is>
      </c>
      <c r="L169" s="5" t="inlineStr">
        <is>
          <t>check if household[4].PR9.paysExpenses == "N"</t>
        </is>
      </c>
      <c r="M169" s="5" t="inlineStr">
        <is>
          <t>household.length &gt; 4  (household = roster.where(PR6=="Y"))</t>
        </is>
      </c>
      <c r="N169" s="5" t="inlineStr"/>
      <c r="O169" s="5" t="inlineStr"/>
    </row>
    <row r="170">
      <c r="A170" s="5" t="n">
        <v>169</v>
      </c>
      <c r="B170" s="5" t="n">
        <v>3</v>
      </c>
      <c r="C170" s="5" t="inlineStr">
        <is>
          <t>13</t>
        </is>
      </c>
      <c r="D170" s="5" t="inlineStr">
        <is>
          <t>Estimated expenses</t>
        </is>
      </c>
      <c r="E170" s="5" t="inlineStr">
        <is>
          <t>FL-150[0].Page3[0].List13[0].MonthEx_cb[0]</t>
        </is>
      </c>
      <c r="F170" s="5" t="inlineStr">
        <is>
          <t>checkbox</t>
        </is>
      </c>
      <c r="G170" s="5" t="inlineStr">
        <is>
          <t>1</t>
        </is>
      </c>
      <c r="H170" s="5" t="inlineStr"/>
      <c r="I170" s="5" t="inlineStr">
        <is>
          <t>190, 211, 199, 220</t>
        </is>
      </c>
      <c r="J170" s="5" t="inlineStr">
        <is>
          <t>question</t>
        </is>
      </c>
      <c r="K170" s="5" t="inlineStr">
        <is>
          <t>F11</t>
        </is>
      </c>
      <c r="L170" s="5" t="inlineStr">
        <is>
          <t>check if F11.basis == "estimated"</t>
        </is>
      </c>
      <c r="M170" s="5" t="inlineStr"/>
      <c r="N170" s="5" t="inlineStr"/>
      <c r="O170" s="5" t="inlineStr"/>
    </row>
    <row r="171">
      <c r="A171" s="5" t="n">
        <v>170</v>
      </c>
      <c r="B171" s="5" t="n">
        <v>3</v>
      </c>
      <c r="C171" s="5" t="inlineStr">
        <is>
          <t>13</t>
        </is>
      </c>
      <c r="D171" s="5" t="inlineStr">
        <is>
          <t>Actual expenses</t>
        </is>
      </c>
      <c r="E171" s="5" t="inlineStr">
        <is>
          <t>FL-150[0].Page3[0].List13[0].MonthEx_cb[1]</t>
        </is>
      </c>
      <c r="F171" s="5" t="inlineStr">
        <is>
          <t>checkbox</t>
        </is>
      </c>
      <c r="G171" s="5" t="inlineStr">
        <is>
          <t>3</t>
        </is>
      </c>
      <c r="H171" s="5" t="inlineStr"/>
      <c r="I171" s="5" t="inlineStr">
        <is>
          <t>308, 211, 317, 220</t>
        </is>
      </c>
      <c r="J171" s="5" t="inlineStr">
        <is>
          <t>question</t>
        </is>
      </c>
      <c r="K171" s="5" t="inlineStr">
        <is>
          <t>F11</t>
        </is>
      </c>
      <c r="L171" s="5" t="inlineStr">
        <is>
          <t>check if F11.basis == "actual"</t>
        </is>
      </c>
      <c r="M171" s="5" t="inlineStr"/>
      <c r="N171" s="5" t="inlineStr"/>
      <c r="O171" s="5" t="inlineStr"/>
    </row>
    <row r="172">
      <c r="A172" s="5" t="n">
        <v>171</v>
      </c>
      <c r="B172" s="5" t="n">
        <v>3</v>
      </c>
      <c r="C172" s="5" t="inlineStr">
        <is>
          <t>13</t>
        </is>
      </c>
      <c r="D172" s="5" t="inlineStr">
        <is>
          <t>Proposed needs</t>
        </is>
      </c>
      <c r="E172" s="5" t="inlineStr">
        <is>
          <t>FL-150[0].Page3[0].List13[0].MonthEx_cb[2]</t>
        </is>
      </c>
      <c r="F172" s="5" t="inlineStr">
        <is>
          <t>checkbox</t>
        </is>
      </c>
      <c r="G172" s="5" t="inlineStr">
        <is>
          <t>5</t>
        </is>
      </c>
      <c r="H172" s="5" t="inlineStr"/>
      <c r="I172" s="5" t="inlineStr">
        <is>
          <t>419, 211, 428, 220</t>
        </is>
      </c>
      <c r="J172" s="5" t="inlineStr">
        <is>
          <t>question</t>
        </is>
      </c>
      <c r="K172" s="5" t="inlineStr">
        <is>
          <t>F11</t>
        </is>
      </c>
      <c r="L172" s="5" t="inlineStr">
        <is>
          <t>check if F11.basis == "proposed"</t>
        </is>
      </c>
      <c r="M172" s="5" t="inlineStr"/>
      <c r="N172" s="5" t="inlineStr"/>
      <c r="O172" s="5" t="inlineStr"/>
    </row>
    <row r="173">
      <c r="A173" s="5" t="n">
        <v>172</v>
      </c>
      <c r="B173" s="5" t="n">
        <v>3</v>
      </c>
      <c r="C173" s="5" t="inlineStr">
        <is>
          <t>13a(1)</t>
        </is>
      </c>
      <c r="D173" s="5" t="inlineStr">
        <is>
          <t>Rent or</t>
        </is>
      </c>
      <c r="E173" s="5" t="inlineStr">
        <is>
          <t>FL-150[0].Page3[0].List13[0].Li1[0].List[0].L1[0].CBChoice1_cb[0]</t>
        </is>
      </c>
      <c r="F173" s="5" t="inlineStr">
        <is>
          <t>checkbox</t>
        </is>
      </c>
      <c r="G173" s="5" t="inlineStr">
        <is>
          <t>1</t>
        </is>
      </c>
      <c r="H173" s="5" t="inlineStr"/>
      <c r="I173" s="5" t="inlineStr">
        <is>
          <t>85, 240, 94, 249</t>
        </is>
      </c>
      <c r="J173" s="5" t="inlineStr">
        <is>
          <t>question</t>
        </is>
      </c>
      <c r="K173" s="5" t="inlineStr">
        <is>
          <t>F11</t>
        </is>
      </c>
      <c r="L173" s="5" t="inlineStr">
        <is>
          <t>check if F11.housing == "rent"</t>
        </is>
      </c>
      <c r="M173" s="5" t="inlineStr"/>
      <c r="N173" s="5" t="inlineStr"/>
      <c r="O173" s="5" t="inlineStr"/>
    </row>
    <row r="174">
      <c r="A174" s="5" t="n">
        <v>173</v>
      </c>
      <c r="B174" s="5" t="n">
        <v>3</v>
      </c>
      <c r="C174" s="5" t="inlineStr">
        <is>
          <t>13a(1)</t>
        </is>
      </c>
      <c r="D174" s="5" t="inlineStr">
        <is>
          <t>mortgage..........</t>
        </is>
      </c>
      <c r="E174" s="5" t="inlineStr">
        <is>
          <t>FL-150[0].Page3[0].List13[0].Li1[0].List[0].L1[0].CBChoice1_cb1[0]</t>
        </is>
      </c>
      <c r="F174" s="5" t="inlineStr">
        <is>
          <t>checkbox</t>
        </is>
      </c>
      <c r="G174" s="5" t="inlineStr">
        <is>
          <t>1</t>
        </is>
      </c>
      <c r="H174" s="5" t="inlineStr"/>
      <c r="I174" s="5" t="inlineStr">
        <is>
          <t>164, 240, 173, 249</t>
        </is>
      </c>
      <c r="J174" s="5" t="inlineStr">
        <is>
          <t>question</t>
        </is>
      </c>
      <c r="K174" s="5" t="inlineStr">
        <is>
          <t>F11</t>
        </is>
      </c>
      <c r="L174" s="5" t="inlineStr">
        <is>
          <t>check if F11.housing == "mortgage"</t>
        </is>
      </c>
      <c r="M174" s="5" t="inlineStr"/>
      <c r="N174" s="5" t="inlineStr"/>
      <c r="O174" s="5" t="inlineStr"/>
    </row>
    <row r="175">
      <c r="A175" s="5" t="n">
        <v>174</v>
      </c>
      <c r="B175" s="5" t="n">
        <v>3</v>
      </c>
      <c r="C175" s="5" t="inlineStr">
        <is>
          <t>13a(1)</t>
        </is>
      </c>
      <c r="D175" s="5" t="inlineStr">
        <is>
          <t>$</t>
        </is>
      </c>
      <c r="E175" s="5" t="inlineStr">
        <is>
          <t>FL-150[0].Page3[0].List13[0].Li1[0].List[0].L1[0].EXPN[0]</t>
        </is>
      </c>
      <c r="F175" s="5" t="inlineStr">
        <is>
          <t>text</t>
        </is>
      </c>
      <c r="G175" s="5" t="inlineStr"/>
      <c r="H175" s="5" t="inlineStr"/>
      <c r="I175" s="5" t="inlineStr">
        <is>
          <t>257, 240, 315, 250</t>
        </is>
      </c>
      <c r="J175" s="5" t="inlineStr">
        <is>
          <t>question</t>
        </is>
      </c>
      <c r="K175" s="5" t="inlineStr">
        <is>
          <t>F11</t>
        </is>
      </c>
      <c r="L175" s="5">
        <f> money(F11.rentOrMortgage)</f>
        <v/>
      </c>
      <c r="M175" s="5" t="inlineStr"/>
      <c r="N175" s="5" t="inlineStr"/>
      <c r="O175" s="5" t="inlineStr"/>
    </row>
    <row r="176">
      <c r="A176" s="5" t="n">
        <v>175</v>
      </c>
      <c r="B176" s="5" t="n">
        <v>3</v>
      </c>
      <c r="C176" s="5" t="inlineStr">
        <is>
          <t>13a(1)(a)</t>
        </is>
      </c>
      <c r="D176" s="5" t="inlineStr">
        <is>
          <t>$</t>
        </is>
      </c>
      <c r="E176" s="5" t="inlineStr">
        <is>
          <t>FL-150[0].Page3[0].List13[0].Li1[0].List[0].L1[0].List[0].L1[0].MortPrin[0]</t>
        </is>
      </c>
      <c r="F176" s="5" t="inlineStr">
        <is>
          <t>text</t>
        </is>
      </c>
      <c r="G176" s="5" t="inlineStr"/>
      <c r="H176" s="5" t="inlineStr"/>
      <c r="I176" s="5" t="inlineStr">
        <is>
          <t>194, 265, 253, 275</t>
        </is>
      </c>
      <c r="J176" s="5" t="inlineStr">
        <is>
          <t>question</t>
        </is>
      </c>
      <c r="K176" s="5" t="inlineStr">
        <is>
          <t>F11</t>
        </is>
      </c>
      <c r="L176" s="5">
        <f> money(F11.mortgagePrincipal)</f>
        <v/>
      </c>
      <c r="M176" s="5" t="inlineStr">
        <is>
          <t>F11.housing == "mortgage"</t>
        </is>
      </c>
      <c r="N176" s="5" t="inlineStr"/>
      <c r="O176" s="5" t="inlineStr"/>
    </row>
    <row r="177">
      <c r="A177" s="5" t="n">
        <v>176</v>
      </c>
      <c r="B177" s="5" t="n">
        <v>3</v>
      </c>
      <c r="C177" s="5" t="inlineStr">
        <is>
          <t>13a(1)(b)</t>
        </is>
      </c>
      <c r="D177" s="5" t="inlineStr">
        <is>
          <t>$</t>
        </is>
      </c>
      <c r="E177" s="5" t="inlineStr">
        <is>
          <t>FL-150[0].Page3[0].List13[0].Li1[0].List[0].L1[0].List[0].L2[0].MortInt[0]</t>
        </is>
      </c>
      <c r="F177" s="5" t="inlineStr">
        <is>
          <t>text</t>
        </is>
      </c>
      <c r="G177" s="5" t="inlineStr"/>
      <c r="H177" s="5" t="inlineStr"/>
      <c r="I177" s="5" t="inlineStr">
        <is>
          <t>194, 277, 253, 287</t>
        </is>
      </c>
      <c r="J177" s="5" t="inlineStr">
        <is>
          <t>question</t>
        </is>
      </c>
      <c r="K177" s="5" t="inlineStr">
        <is>
          <t>F11</t>
        </is>
      </c>
      <c r="L177" s="5">
        <f> money(F11.mortgageInterest)</f>
        <v/>
      </c>
      <c r="M177" s="5" t="inlineStr">
        <is>
          <t>F11.housing == "mortgage"</t>
        </is>
      </c>
      <c r="N177" s="5" t="inlineStr"/>
      <c r="O177" s="5" t="inlineStr"/>
    </row>
    <row r="178">
      <c r="A178" s="5" t="n">
        <v>177</v>
      </c>
      <c r="B178" s="5" t="n">
        <v>3</v>
      </c>
      <c r="C178" s="5" t="inlineStr">
        <is>
          <t>13a(2)</t>
        </is>
      </c>
      <c r="D178" s="5" t="inlineStr">
        <is>
          <t>$</t>
        </is>
      </c>
      <c r="E178" s="5" t="inlineStr">
        <is>
          <t>FL-150[0].Page3[0].List13[0].Li1[0].List[0].L2[0].EXPN[0]</t>
        </is>
      </c>
      <c r="F178" s="5" t="inlineStr">
        <is>
          <t>text</t>
        </is>
      </c>
      <c r="G178" s="5" t="inlineStr"/>
      <c r="H178" s="5" t="inlineStr"/>
      <c r="I178" s="5" t="inlineStr">
        <is>
          <t>257, 292, 315, 302</t>
        </is>
      </c>
      <c r="J178" s="5" t="inlineStr">
        <is>
          <t>question</t>
        </is>
      </c>
      <c r="K178" s="5" t="inlineStr">
        <is>
          <t>F11</t>
        </is>
      </c>
      <c r="L178" s="5">
        <f> money(F11["property tax"])</f>
        <v/>
      </c>
      <c r="M178" s="5" t="inlineStr"/>
      <c r="N178" s="5" t="inlineStr"/>
      <c r="O178" s="5" t="inlineStr"/>
    </row>
    <row r="179">
      <c r="A179" s="5" t="n">
        <v>178</v>
      </c>
      <c r="B179" s="5" t="n">
        <v>3</v>
      </c>
      <c r="C179" s="5" t="inlineStr">
        <is>
          <t>13a(3)</t>
        </is>
      </c>
      <c r="D179" s="5" t="inlineStr">
        <is>
          <t>$</t>
        </is>
      </c>
      <c r="E179" s="5" t="inlineStr">
        <is>
          <t>FL-150[0].Page3[0].List13[0].Li1[0].List[0].L3[0].EXPN[0]</t>
        </is>
      </c>
      <c r="F179" s="5" t="inlineStr">
        <is>
          <t>text</t>
        </is>
      </c>
      <c r="G179" s="5" t="inlineStr"/>
      <c r="H179" s="5" t="inlineStr"/>
      <c r="I179" s="5" t="inlineStr">
        <is>
          <t>257, 315, 315, 325</t>
        </is>
      </c>
      <c r="J179" s="5" t="inlineStr">
        <is>
          <t>question</t>
        </is>
      </c>
      <c r="K179" s="5" t="inlineStr">
        <is>
          <t>F11</t>
        </is>
      </c>
      <c r="L179" s="5">
        <f> money(F11["home insurance"])</f>
        <v/>
      </c>
      <c r="M179" s="5" t="inlineStr"/>
      <c r="N179" s="5" t="inlineStr"/>
      <c r="O179" s="5" t="inlineStr"/>
    </row>
    <row r="180">
      <c r="A180" s="5" t="n">
        <v>179</v>
      </c>
      <c r="B180" s="5" t="n">
        <v>3</v>
      </c>
      <c r="C180" s="5" t="inlineStr">
        <is>
          <t>13a(4)</t>
        </is>
      </c>
      <c r="D180" s="5" t="inlineStr">
        <is>
          <t>$</t>
        </is>
      </c>
      <c r="E180" s="5" t="inlineStr">
        <is>
          <t>FL-150[0].Page3[0].List13[0].Li1[0].List[0].L4[0].EXPN[0]</t>
        </is>
      </c>
      <c r="F180" s="5" t="inlineStr">
        <is>
          <t>text</t>
        </is>
      </c>
      <c r="G180" s="5" t="inlineStr"/>
      <c r="H180" s="5" t="inlineStr"/>
      <c r="I180" s="5" t="inlineStr">
        <is>
          <t>257, 327, 315, 337</t>
        </is>
      </c>
      <c r="J180" s="5" t="inlineStr">
        <is>
          <t>question</t>
        </is>
      </c>
      <c r="K180" s="5" t="inlineStr">
        <is>
          <t>F11</t>
        </is>
      </c>
      <c r="L180" s="5">
        <f> money(F11["maintenance"])</f>
        <v/>
      </c>
      <c r="M180" s="5" t="inlineStr"/>
      <c r="N180" s="5" t="inlineStr"/>
      <c r="O180" s="5" t="inlineStr"/>
    </row>
    <row r="181">
      <c r="A181" s="5" t="n">
        <v>180</v>
      </c>
      <c r="B181" s="5" t="n">
        <v>3</v>
      </c>
      <c r="C181" s="5" t="inlineStr">
        <is>
          <t>13b</t>
        </is>
      </c>
      <c r="D181" s="5" t="inlineStr">
        <is>
          <t>$</t>
        </is>
      </c>
      <c r="E181" s="5" t="inlineStr">
        <is>
          <t>FL-150[0].Page3[0].List13[0].Li2[0].EXPN[0]</t>
        </is>
      </c>
      <c r="F181" s="5" t="inlineStr">
        <is>
          <t>text</t>
        </is>
      </c>
      <c r="G181" s="5" t="inlineStr"/>
      <c r="H181" s="5" t="inlineStr"/>
      <c r="I181" s="5" t="inlineStr">
        <is>
          <t>257, 342, 315, 352</t>
        </is>
      </c>
      <c r="J181" s="5" t="inlineStr">
        <is>
          <t>question</t>
        </is>
      </c>
      <c r="K181" s="5" t="inlineStr">
        <is>
          <t>F11</t>
        </is>
      </c>
      <c r="L181" s="5">
        <f> money(F11["health care"])</f>
        <v/>
      </c>
      <c r="M181" s="5" t="inlineStr"/>
      <c r="N181" s="5" t="inlineStr">
        <is>
          <t>Rev. Sept 2024 lettering: a(1)–(4) home, b–o, p payments, q other, r total, s paid by others.</t>
        </is>
      </c>
      <c r="O181" s="5" t="inlineStr"/>
    </row>
    <row r="182">
      <c r="A182" s="5" t="n">
        <v>181</v>
      </c>
      <c r="B182" s="5" t="n">
        <v>3</v>
      </c>
      <c r="C182" s="5" t="inlineStr">
        <is>
          <t>13c</t>
        </is>
      </c>
      <c r="D182" s="5" t="inlineStr">
        <is>
          <t>$</t>
        </is>
      </c>
      <c r="E182" s="5" t="inlineStr">
        <is>
          <t>FL-150[0].Page3[0].List13[0].Li3[0].EXPN[0]</t>
        </is>
      </c>
      <c r="F182" s="5" t="inlineStr">
        <is>
          <t>text</t>
        </is>
      </c>
      <c r="G182" s="5" t="inlineStr"/>
      <c r="H182" s="5" t="inlineStr"/>
      <c r="I182" s="5" t="inlineStr">
        <is>
          <t>258, 356, 315, 366</t>
        </is>
      </c>
      <c r="J182" s="5" t="inlineStr">
        <is>
          <t>question</t>
        </is>
      </c>
      <c r="K182" s="5" t="inlineStr">
        <is>
          <t>F11</t>
        </is>
      </c>
      <c r="L182" s="5">
        <f> money(F11["child care"])</f>
        <v/>
      </c>
      <c r="M182" s="5" t="inlineStr"/>
      <c r="N182" s="5" t="inlineStr"/>
      <c r="O182" s="5" t="inlineStr"/>
    </row>
    <row r="183">
      <c r="A183" s="5" t="n">
        <v>182</v>
      </c>
      <c r="B183" s="5" t="n">
        <v>3</v>
      </c>
      <c r="C183" s="5" t="inlineStr">
        <is>
          <t>13d</t>
        </is>
      </c>
      <c r="D183" s="5" t="inlineStr">
        <is>
          <t>$</t>
        </is>
      </c>
      <c r="E183" s="5" t="inlineStr">
        <is>
          <t>FL-150[0].Page3[0].List13[0].Li4[0].EXPN[0]</t>
        </is>
      </c>
      <c r="F183" s="5" t="inlineStr">
        <is>
          <t>text</t>
        </is>
      </c>
      <c r="G183" s="5" t="inlineStr"/>
      <c r="H183" s="5" t="inlineStr"/>
      <c r="I183" s="5" t="inlineStr">
        <is>
          <t>257, 371, 315, 381</t>
        </is>
      </c>
      <c r="J183" s="5" t="inlineStr">
        <is>
          <t>question</t>
        </is>
      </c>
      <c r="K183" s="5" t="inlineStr">
        <is>
          <t>F11</t>
        </is>
      </c>
      <c r="L183" s="5">
        <f> money(F11["groceries"])</f>
        <v/>
      </c>
      <c r="M183" s="5" t="inlineStr"/>
      <c r="N183" s="5" t="inlineStr"/>
      <c r="O183" s="5" t="inlineStr"/>
    </row>
    <row r="184">
      <c r="A184" s="5" t="n">
        <v>183</v>
      </c>
      <c r="B184" s="5" t="n">
        <v>3</v>
      </c>
      <c r="C184" s="5" t="inlineStr">
        <is>
          <t>13e</t>
        </is>
      </c>
      <c r="D184" s="5" t="inlineStr">
        <is>
          <t>$</t>
        </is>
      </c>
      <c r="E184" s="5" t="inlineStr">
        <is>
          <t>FL-150[0].Page3[0].List13[0].Li5[0].EXPN[0]</t>
        </is>
      </c>
      <c r="F184" s="5" t="inlineStr">
        <is>
          <t>text</t>
        </is>
      </c>
      <c r="G184" s="5" t="inlineStr"/>
      <c r="H184" s="5" t="inlineStr"/>
      <c r="I184" s="5" t="inlineStr">
        <is>
          <t>257, 385, 315, 395</t>
        </is>
      </c>
      <c r="J184" s="5" t="inlineStr">
        <is>
          <t>question</t>
        </is>
      </c>
      <c r="K184" s="5" t="inlineStr">
        <is>
          <t>F11</t>
        </is>
      </c>
      <c r="L184" s="5">
        <f> money(F11["eating out"])</f>
        <v/>
      </c>
      <c r="M184" s="5" t="inlineStr"/>
      <c r="N184" s="5" t="inlineStr"/>
      <c r="O184" s="5" t="inlineStr"/>
    </row>
    <row r="185">
      <c r="A185" s="5" t="n">
        <v>184</v>
      </c>
      <c r="B185" s="5" t="n">
        <v>3</v>
      </c>
      <c r="C185" s="5" t="inlineStr">
        <is>
          <t>13f</t>
        </is>
      </c>
      <c r="D185" s="5" t="inlineStr">
        <is>
          <t>$</t>
        </is>
      </c>
      <c r="E185" s="5" t="inlineStr">
        <is>
          <t>FL-150[0].Page3[0].List13[0].Li6[0].EXPN[0]</t>
        </is>
      </c>
      <c r="F185" s="5" t="inlineStr">
        <is>
          <t>text</t>
        </is>
      </c>
      <c r="G185" s="5" t="inlineStr"/>
      <c r="H185" s="5" t="inlineStr"/>
      <c r="I185" s="5" t="inlineStr">
        <is>
          <t>257, 400, 315, 410</t>
        </is>
      </c>
      <c r="J185" s="5" t="inlineStr">
        <is>
          <t>question</t>
        </is>
      </c>
      <c r="K185" s="5" t="inlineStr">
        <is>
          <t>F11</t>
        </is>
      </c>
      <c r="L185" s="5">
        <f> money(F11["utilities"])</f>
        <v/>
      </c>
      <c r="M185" s="5" t="inlineStr"/>
      <c r="N185" s="5" t="inlineStr"/>
      <c r="O185" s="5" t="inlineStr"/>
    </row>
    <row r="186">
      <c r="A186" s="5" t="n">
        <v>185</v>
      </c>
      <c r="B186" s="5" t="n">
        <v>3</v>
      </c>
      <c r="C186" s="5" t="inlineStr">
        <is>
          <t>13g</t>
        </is>
      </c>
      <c r="D186" s="5" t="inlineStr">
        <is>
          <t>$</t>
        </is>
      </c>
      <c r="E186" s="5" t="inlineStr">
        <is>
          <t>FL-150[0].Page3[0].List13[0].Li7[0].EXPN[0]</t>
        </is>
      </c>
      <c r="F186" s="5" t="inlineStr">
        <is>
          <t>text</t>
        </is>
      </c>
      <c r="G186" s="5" t="inlineStr"/>
      <c r="H186" s="5" t="inlineStr"/>
      <c r="I186" s="5" t="inlineStr">
        <is>
          <t>257, 415, 315, 425</t>
        </is>
      </c>
      <c r="J186" s="5" t="inlineStr">
        <is>
          <t>question</t>
        </is>
      </c>
      <c r="K186" s="5" t="inlineStr">
        <is>
          <t>F11</t>
        </is>
      </c>
      <c r="L186" s="5">
        <f> money(F11["telephone"])</f>
        <v/>
      </c>
      <c r="M186" s="5" t="inlineStr"/>
      <c r="N186" s="5" t="inlineStr"/>
      <c r="O186" s="5" t="inlineStr"/>
    </row>
    <row r="187">
      <c r="A187" s="5" t="n">
        <v>186</v>
      </c>
      <c r="B187" s="5" t="n">
        <v>3</v>
      </c>
      <c r="C187" s="5" t="inlineStr">
        <is>
          <t>13h</t>
        </is>
      </c>
      <c r="D187" s="5" t="inlineStr">
        <is>
          <t>$</t>
        </is>
      </c>
      <c r="E187" s="5" t="inlineStr">
        <is>
          <t>FL-150[0].Page3[0].List13[0].Li8[0].EXPN[0]</t>
        </is>
      </c>
      <c r="F187" s="5" t="inlineStr">
        <is>
          <t>text</t>
        </is>
      </c>
      <c r="G187" s="5" t="inlineStr"/>
      <c r="H187" s="5" t="inlineStr"/>
      <c r="I187" s="5" t="inlineStr">
        <is>
          <t>517, 227, 575, 237</t>
        </is>
      </c>
      <c r="J187" s="5" t="inlineStr">
        <is>
          <t>question</t>
        </is>
      </c>
      <c r="K187" s="5" t="inlineStr">
        <is>
          <t>F11</t>
        </is>
      </c>
      <c r="L187" s="5">
        <f> money(F11["laundry"])</f>
        <v/>
      </c>
      <c r="M187" s="5" t="inlineStr"/>
      <c r="N187" s="5" t="inlineStr"/>
      <c r="O187" s="5" t="inlineStr"/>
    </row>
    <row r="188">
      <c r="A188" s="5" t="n">
        <v>187</v>
      </c>
      <c r="B188" s="5" t="n">
        <v>3</v>
      </c>
      <c r="C188" s="5" t="inlineStr">
        <is>
          <t>13i</t>
        </is>
      </c>
      <c r="D188" s="5" t="inlineStr">
        <is>
          <t>$</t>
        </is>
      </c>
      <c r="E188" s="5" t="inlineStr">
        <is>
          <t>FL-150[0].Page3[0].List13[0].Li9[0].EXPN[0]</t>
        </is>
      </c>
      <c r="F188" s="5" t="inlineStr">
        <is>
          <t>text</t>
        </is>
      </c>
      <c r="G188" s="5" t="inlineStr"/>
      <c r="H188" s="5" t="inlineStr"/>
      <c r="I188" s="5" t="inlineStr">
        <is>
          <t>517, 241, 575, 251</t>
        </is>
      </c>
      <c r="J188" s="5" t="inlineStr">
        <is>
          <t>question</t>
        </is>
      </c>
      <c r="K188" s="5" t="inlineStr">
        <is>
          <t>F11</t>
        </is>
      </c>
      <c r="L188" s="5">
        <f> money(F11["clothes"])</f>
        <v/>
      </c>
      <c r="M188" s="5" t="inlineStr"/>
      <c r="N188" s="5" t="inlineStr"/>
      <c r="O188" s="5" t="inlineStr"/>
    </row>
    <row r="189">
      <c r="A189" s="5" t="n">
        <v>188</v>
      </c>
      <c r="B189" s="5" t="n">
        <v>3</v>
      </c>
      <c r="C189" s="5" t="inlineStr">
        <is>
          <t>13j</t>
        </is>
      </c>
      <c r="D189" s="5" t="inlineStr">
        <is>
          <t>$</t>
        </is>
      </c>
      <c r="E189" s="5" t="inlineStr">
        <is>
          <t>FL-150[0].Page3[0].List13[0].Li10[0].EXPN[0]</t>
        </is>
      </c>
      <c r="F189" s="5" t="inlineStr">
        <is>
          <t>text</t>
        </is>
      </c>
      <c r="G189" s="5" t="inlineStr"/>
      <c r="H189" s="5" t="inlineStr"/>
      <c r="I189" s="5" t="inlineStr">
        <is>
          <t>517, 253, 575, 263</t>
        </is>
      </c>
      <c r="J189" s="5" t="inlineStr">
        <is>
          <t>question</t>
        </is>
      </c>
      <c r="K189" s="5" t="inlineStr">
        <is>
          <t>F11</t>
        </is>
      </c>
      <c r="L189" s="5">
        <f> money(F11["education"])</f>
        <v/>
      </c>
      <c r="M189" s="5" t="inlineStr"/>
      <c r="N189" s="5" t="inlineStr"/>
      <c r="O189" s="5" t="inlineStr"/>
    </row>
    <row r="190">
      <c r="A190" s="5" t="n">
        <v>189</v>
      </c>
      <c r="B190" s="5" t="n">
        <v>3</v>
      </c>
      <c r="C190" s="5" t="inlineStr">
        <is>
          <t>13k</t>
        </is>
      </c>
      <c r="D190" s="5" t="inlineStr">
        <is>
          <t>$</t>
        </is>
      </c>
      <c r="E190" s="5" t="inlineStr">
        <is>
          <t>FL-150[0].Page3[0].List13[0].Li11[0].EXPN[0]</t>
        </is>
      </c>
      <c r="F190" s="5" t="inlineStr">
        <is>
          <t>text</t>
        </is>
      </c>
      <c r="G190" s="5" t="inlineStr"/>
      <c r="H190" s="5" t="inlineStr"/>
      <c r="I190" s="5" t="inlineStr">
        <is>
          <t>517, 265, 575, 275</t>
        </is>
      </c>
      <c r="J190" s="5" t="inlineStr">
        <is>
          <t>question</t>
        </is>
      </c>
      <c r="K190" s="5" t="inlineStr">
        <is>
          <t>F11</t>
        </is>
      </c>
      <c r="L190" s="5">
        <f> money(F11["entertainment"])</f>
        <v/>
      </c>
      <c r="M190" s="5" t="inlineStr"/>
      <c r="N190" s="5" t="inlineStr"/>
      <c r="O190" s="5" t="inlineStr"/>
    </row>
    <row r="191">
      <c r="A191" s="5" t="n">
        <v>190</v>
      </c>
      <c r="B191" s="5" t="n">
        <v>3</v>
      </c>
      <c r="C191" s="5" t="inlineStr">
        <is>
          <t>13l</t>
        </is>
      </c>
      <c r="D191" s="5" t="inlineStr">
        <is>
          <t>$</t>
        </is>
      </c>
      <c r="E191" s="5" t="inlineStr">
        <is>
          <t>FL-150[0].Page3[0].List13[0].Li12[0].EXPN[0]</t>
        </is>
      </c>
      <c r="F191" s="5" t="inlineStr">
        <is>
          <t>text</t>
        </is>
      </c>
      <c r="G191" s="5" t="inlineStr"/>
      <c r="H191" s="5" t="inlineStr"/>
      <c r="I191" s="5" t="inlineStr">
        <is>
          <t>517, 288, 575, 298</t>
        </is>
      </c>
      <c r="J191" s="5" t="inlineStr">
        <is>
          <t>question</t>
        </is>
      </c>
      <c r="K191" s="5" t="inlineStr">
        <is>
          <t>F11</t>
        </is>
      </c>
      <c r="L191" s="5">
        <f> money(F11["auto"])</f>
        <v/>
      </c>
      <c r="M191" s="5" t="inlineStr"/>
      <c r="N191" s="5" t="inlineStr"/>
      <c r="O191" s="5" t="inlineStr"/>
    </row>
    <row r="192">
      <c r="A192" s="5" t="n">
        <v>191</v>
      </c>
      <c r="B192" s="5" t="n">
        <v>3</v>
      </c>
      <c r="C192" s="5" t="inlineStr">
        <is>
          <t>13m</t>
        </is>
      </c>
      <c r="D192" s="5" t="inlineStr">
        <is>
          <t>$</t>
        </is>
      </c>
      <c r="E192" s="5" t="inlineStr">
        <is>
          <t>FL-150[0].Page3[0].List13[0].Li13[0].EXPN[0]</t>
        </is>
      </c>
      <c r="F192" s="5" t="inlineStr">
        <is>
          <t>text</t>
        </is>
      </c>
      <c r="G192" s="5" t="inlineStr"/>
      <c r="H192" s="5" t="inlineStr"/>
      <c r="I192" s="5" t="inlineStr">
        <is>
          <t>517, 312, 575, 322</t>
        </is>
      </c>
      <c r="J192" s="5" t="inlineStr">
        <is>
          <t>question</t>
        </is>
      </c>
      <c r="K192" s="5" t="inlineStr">
        <is>
          <t>F11</t>
        </is>
      </c>
      <c r="L192" s="5">
        <f> money(F11["other insurance"])</f>
        <v/>
      </c>
      <c r="M192" s="5" t="inlineStr"/>
      <c r="N192" s="5" t="inlineStr"/>
      <c r="O192" s="5" t="inlineStr"/>
    </row>
    <row r="193">
      <c r="A193" s="5" t="n">
        <v>192</v>
      </c>
      <c r="B193" s="5" t="n">
        <v>3</v>
      </c>
      <c r="C193" s="5" t="inlineStr">
        <is>
          <t>13n</t>
        </is>
      </c>
      <c r="D193" s="5" t="inlineStr">
        <is>
          <t>$</t>
        </is>
      </c>
      <c r="E193" s="5" t="inlineStr">
        <is>
          <t>FL-150[0].Page3[0].List13[0].Li14[0].EXPN[0]</t>
        </is>
      </c>
      <c r="F193" s="5" t="inlineStr">
        <is>
          <t>text</t>
        </is>
      </c>
      <c r="G193" s="5" t="inlineStr"/>
      <c r="H193" s="5" t="inlineStr"/>
      <c r="I193" s="5" t="inlineStr">
        <is>
          <t>517, 325, 575, 335</t>
        </is>
      </c>
      <c r="J193" s="5" t="inlineStr">
        <is>
          <t>question</t>
        </is>
      </c>
      <c r="K193" s="5" t="inlineStr">
        <is>
          <t>F11</t>
        </is>
      </c>
      <c r="L193" s="5">
        <f> money(F11["savings"])</f>
        <v/>
      </c>
      <c r="M193" s="5" t="inlineStr"/>
      <c r="N193" s="5" t="inlineStr"/>
      <c r="O193" s="5" t="inlineStr"/>
    </row>
    <row r="194">
      <c r="A194" s="5" t="n">
        <v>193</v>
      </c>
      <c r="B194" s="5" t="n">
        <v>3</v>
      </c>
      <c r="C194" s="5" t="inlineStr">
        <is>
          <t>13o</t>
        </is>
      </c>
      <c r="D194" s="5" t="inlineStr">
        <is>
          <t>$</t>
        </is>
      </c>
      <c r="E194" s="5" t="inlineStr">
        <is>
          <t>FL-150[0].Page3[0].List13[0].Li15[0].EXPN[0]</t>
        </is>
      </c>
      <c r="F194" s="5" t="inlineStr">
        <is>
          <t>text</t>
        </is>
      </c>
      <c r="G194" s="5" t="inlineStr"/>
      <c r="H194" s="5" t="inlineStr"/>
      <c r="I194" s="5" t="inlineStr">
        <is>
          <t>517, 338, 575, 348</t>
        </is>
      </c>
      <c r="J194" s="5" t="inlineStr">
        <is>
          <t>question</t>
        </is>
      </c>
      <c r="K194" s="5" t="inlineStr">
        <is>
          <t>F11</t>
        </is>
      </c>
      <c r="L194" s="5">
        <f> money(F11["charity"])</f>
        <v/>
      </c>
      <c r="M194" s="5" t="inlineStr"/>
      <c r="N194" s="5" t="inlineStr"/>
      <c r="O194" s="5" t="inlineStr"/>
    </row>
    <row r="195">
      <c r="A195" s="6" t="n">
        <v>194</v>
      </c>
      <c r="B195" s="6" t="n">
        <v>3</v>
      </c>
      <c r="C195" s="6" t="inlineStr">
        <is>
          <t>13p</t>
        </is>
      </c>
      <c r="D195" s="6" t="inlineStr">
        <is>
          <t>$</t>
        </is>
      </c>
      <c r="E195" s="6" t="inlineStr">
        <is>
          <t>FL-150[0].Page3[0].List13[0].Li16[0].EXPN[0]</t>
        </is>
      </c>
      <c r="F195" s="6" t="inlineStr">
        <is>
          <t>text</t>
        </is>
      </c>
      <c r="G195" s="6" t="inlineStr"/>
      <c r="H195" s="6" t="inlineStr"/>
      <c r="I195" s="6" t="inlineStr">
        <is>
          <t>517, 362, 575, 372</t>
        </is>
      </c>
      <c r="J195" s="6" t="inlineStr">
        <is>
          <t>derived</t>
        </is>
      </c>
      <c r="K195" s="6" t="inlineStr">
        <is>
          <t>F12</t>
        </is>
      </c>
      <c r="L195" s="6">
        <f> money(sum(F12.amount))</f>
        <v/>
      </c>
      <c r="M195" s="6" t="inlineStr"/>
      <c r="N195" s="6" t="inlineStr">
        <is>
          <t>From item 14.</t>
        </is>
      </c>
      <c r="O195" s="6" t="inlineStr"/>
    </row>
    <row r="196">
      <c r="A196" s="5" t="n">
        <v>195</v>
      </c>
      <c r="B196" s="5" t="n">
        <v>3</v>
      </c>
      <c r="C196" s="5" t="inlineStr">
        <is>
          <t>13q</t>
        </is>
      </c>
      <c r="D196" s="5" t="inlineStr">
        <is>
          <t>Other (specify):</t>
        </is>
      </c>
      <c r="E196" s="5" t="inlineStr">
        <is>
          <t>FL-150[0].Page3[0].List13[0].Li17[0].FillText1[0]</t>
        </is>
      </c>
      <c r="F196" s="5" t="inlineStr">
        <is>
          <t>text</t>
        </is>
      </c>
      <c r="G196" s="5" t="inlineStr"/>
      <c r="H196" s="5" t="inlineStr"/>
      <c r="I196" s="5" t="inlineStr">
        <is>
          <t>395, 376, 505, 385</t>
        </is>
      </c>
      <c r="J196" s="5" t="inlineStr">
        <is>
          <t>question</t>
        </is>
      </c>
      <c r="K196" s="5" t="inlineStr">
        <is>
          <t>F11</t>
        </is>
      </c>
      <c r="L196" s="5">
        <f> F11.otherDescribe</f>
        <v/>
      </c>
      <c r="M196" s="5" t="inlineStr"/>
      <c r="N196" s="5" t="inlineStr"/>
      <c r="O196" s="5" t="inlineStr"/>
    </row>
    <row r="197">
      <c r="A197" s="5" t="n">
        <v>196</v>
      </c>
      <c r="B197" s="5" t="n">
        <v>3</v>
      </c>
      <c r="C197" s="5" t="inlineStr">
        <is>
          <t>13q</t>
        </is>
      </c>
      <c r="D197" s="5" t="inlineStr">
        <is>
          <t>$</t>
        </is>
      </c>
      <c r="E197" s="5" t="inlineStr">
        <is>
          <t>FL-150[0].Page3[0].List13[0].Li17[0].EXPN[0]</t>
        </is>
      </c>
      <c r="F197" s="5" t="inlineStr">
        <is>
          <t>text</t>
        </is>
      </c>
      <c r="G197" s="5" t="inlineStr"/>
      <c r="H197" s="5" t="inlineStr"/>
      <c r="I197" s="5" t="inlineStr">
        <is>
          <t>517, 375, 575, 385</t>
        </is>
      </c>
      <c r="J197" s="5" t="inlineStr">
        <is>
          <t>question</t>
        </is>
      </c>
      <c r="K197" s="5" t="inlineStr">
        <is>
          <t>F11</t>
        </is>
      </c>
      <c r="L197" s="5">
        <f> money(F11["other"])</f>
        <v/>
      </c>
      <c r="M197" s="5" t="inlineStr"/>
      <c r="N197" s="5" t="inlineStr"/>
      <c r="O197" s="5" t="inlineStr"/>
    </row>
    <row r="198">
      <c r="A198" s="6" t="n">
        <v>197</v>
      </c>
      <c r="B198" s="6" t="n">
        <v>3</v>
      </c>
      <c r="C198" s="6" t="inlineStr">
        <is>
          <t>13r</t>
        </is>
      </c>
      <c r="D198" s="6" t="inlineStr">
        <is>
          <t>$</t>
        </is>
      </c>
      <c r="E198" s="6" t="inlineStr">
        <is>
          <t>FL-150[0].Page3[0].List13[0].Li18[0].TOTAL[0]</t>
        </is>
      </c>
      <c r="F198" s="6" t="inlineStr">
        <is>
          <t>text</t>
        </is>
      </c>
      <c r="G198" s="6" t="inlineStr"/>
      <c r="H198" s="6" t="inlineStr"/>
      <c r="I198" s="6" t="inlineStr">
        <is>
          <t>517, 404, 575, 414</t>
        </is>
      </c>
      <c r="J198" s="6" t="inlineStr">
        <is>
          <t>derived</t>
        </is>
      </c>
      <c r="K198" s="6" t="inlineStr">
        <is>
          <t>F11,F12</t>
        </is>
      </c>
      <c r="L198" s="6">
        <f> money(total of 13a–q, excluding a(1)(a) and (b))</f>
        <v/>
      </c>
      <c r="M198" s="6" t="inlineStr"/>
      <c r="N198" s="6" t="inlineStr"/>
      <c r="O198" s="6" t="inlineStr"/>
    </row>
    <row r="199">
      <c r="A199" s="5" t="n">
        <v>198</v>
      </c>
      <c r="B199" s="5" t="n">
        <v>3</v>
      </c>
      <c r="C199" s="5" t="inlineStr">
        <is>
          <t>13s</t>
        </is>
      </c>
      <c r="D199" s="5" t="inlineStr">
        <is>
          <t>$</t>
        </is>
      </c>
      <c r="E199" s="5" t="inlineStr">
        <is>
          <t>FL-150[0].Page3[0].List13[0].Li19[0].EXPNother[0]</t>
        </is>
      </c>
      <c r="F199" s="5" t="inlineStr">
        <is>
          <t>text</t>
        </is>
      </c>
      <c r="G199" s="5" t="inlineStr"/>
      <c r="H199" s="5" t="inlineStr"/>
      <c r="I199" s="5" t="inlineStr">
        <is>
          <t>517, 420, 575, 430</t>
        </is>
      </c>
      <c r="J199" s="5" t="inlineStr">
        <is>
          <t>question</t>
        </is>
      </c>
      <c r="K199" s="5" t="inlineStr">
        <is>
          <t>F11</t>
        </is>
      </c>
      <c r="L199" s="5">
        <f> money(F11.paidByOthers)</f>
        <v/>
      </c>
      <c r="M199" s="5" t="inlineStr"/>
      <c r="N199" s="5" t="inlineStr"/>
      <c r="O199" s="5" t="inlineStr"/>
    </row>
    <row r="200">
      <c r="A200" s="5" t="n">
        <v>199</v>
      </c>
      <c r="B200" s="5" t="n">
        <v>3</v>
      </c>
      <c r="C200" s="5" t="inlineStr">
        <is>
          <t>14 row 1</t>
        </is>
      </c>
      <c r="D200" s="5" t="inlineStr">
        <is>
          <t>Paid to</t>
        </is>
      </c>
      <c r="E200" s="5" t="inlineStr">
        <is>
          <t>FL-150[0].Page3[0].List14[0].L1[0].TextField1[0]</t>
        </is>
      </c>
      <c r="F200" s="5" t="inlineStr">
        <is>
          <t>text</t>
        </is>
      </c>
      <c r="G200" s="5" t="inlineStr"/>
      <c r="H200" s="5" t="inlineStr"/>
      <c r="I200" s="5" t="inlineStr">
        <is>
          <t>53, 479, 212, 491</t>
        </is>
      </c>
      <c r="J200" s="5" t="inlineStr">
        <is>
          <t>question</t>
        </is>
      </c>
      <c r="K200" s="5" t="inlineStr">
        <is>
          <t>F12</t>
        </is>
      </c>
      <c r="L200" s="5">
        <f> F12[0].paidTo</f>
        <v/>
      </c>
      <c r="M200" s="5" t="inlineStr">
        <is>
          <t>F12.length &gt; 0</t>
        </is>
      </c>
      <c r="N200" s="5" t="inlineStr"/>
      <c r="O200" s="5" t="inlineStr"/>
    </row>
    <row r="201">
      <c r="A201" s="5" t="n">
        <v>200</v>
      </c>
      <c r="B201" s="5" t="n">
        <v>3</v>
      </c>
      <c r="C201" s="5" t="inlineStr">
        <is>
          <t>14 row 1</t>
        </is>
      </c>
      <c r="D201" s="5" t="inlineStr">
        <is>
          <t>For</t>
        </is>
      </c>
      <c r="E201" s="5" t="inlineStr">
        <is>
          <t>FL-150[0].Page3[0].List14[0].L1[0].TextField2[0]</t>
        </is>
      </c>
      <c r="F201" s="5" t="inlineStr">
        <is>
          <t>text</t>
        </is>
      </c>
      <c r="G201" s="5" t="inlineStr"/>
      <c r="H201" s="5" t="inlineStr"/>
      <c r="I201" s="5" t="inlineStr">
        <is>
          <t>216, 479, 358, 491</t>
        </is>
      </c>
      <c r="J201" s="5" t="inlineStr">
        <is>
          <t>question</t>
        </is>
      </c>
      <c r="K201" s="5" t="inlineStr">
        <is>
          <t>F12</t>
        </is>
      </c>
      <c r="L201" s="5">
        <f> F12[0].for</f>
        <v/>
      </c>
      <c r="M201" s="5" t="inlineStr">
        <is>
          <t>F12.length &gt; 0</t>
        </is>
      </c>
      <c r="N201" s="5" t="inlineStr"/>
      <c r="O201" s="5" t="inlineStr"/>
    </row>
    <row r="202">
      <c r="A202" s="5" t="n">
        <v>201</v>
      </c>
      <c r="B202" s="5" t="n">
        <v>3</v>
      </c>
      <c r="C202" s="5" t="inlineStr">
        <is>
          <t>14 row 1</t>
        </is>
      </c>
      <c r="D202" s="5" t="inlineStr">
        <is>
          <t>Amount</t>
        </is>
      </c>
      <c r="E202" s="5" t="inlineStr">
        <is>
          <t>FL-150[0].Page3[0].List14[0].L1[0].FillText1[0]</t>
        </is>
      </c>
      <c r="F202" s="5" t="inlineStr">
        <is>
          <t>text</t>
        </is>
      </c>
      <c r="G202" s="5" t="inlineStr"/>
      <c r="H202" s="5" t="inlineStr"/>
      <c r="I202" s="5" t="inlineStr">
        <is>
          <t>371, 479, 416, 492</t>
        </is>
      </c>
      <c r="J202" s="5" t="inlineStr">
        <is>
          <t>question</t>
        </is>
      </c>
      <c r="K202" s="5" t="inlineStr">
        <is>
          <t>F12</t>
        </is>
      </c>
      <c r="L202" s="5">
        <f> money(F12[0].amount)</f>
        <v/>
      </c>
      <c r="M202" s="5" t="inlineStr">
        <is>
          <t>F12.length &gt; 0</t>
        </is>
      </c>
      <c r="N202" s="5" t="inlineStr"/>
      <c r="O202" s="5" t="inlineStr"/>
    </row>
    <row r="203">
      <c r="A203" s="5" t="n">
        <v>202</v>
      </c>
      <c r="B203" s="5" t="n">
        <v>3</v>
      </c>
      <c r="C203" s="5" t="inlineStr">
        <is>
          <t>14 row 1</t>
        </is>
      </c>
      <c r="D203" s="5" t="inlineStr">
        <is>
          <t>Balance</t>
        </is>
      </c>
      <c r="E203" s="5" t="inlineStr">
        <is>
          <t>FL-150[0].Page3[0].List14[0].L1[0].FillText2[0]</t>
        </is>
      </c>
      <c r="F203" s="5" t="inlineStr">
        <is>
          <t>text</t>
        </is>
      </c>
      <c r="G203" s="5" t="inlineStr"/>
      <c r="H203" s="5" t="inlineStr"/>
      <c r="I203" s="5" t="inlineStr">
        <is>
          <t>429, 479, 475, 492</t>
        </is>
      </c>
      <c r="J203" s="5" t="inlineStr">
        <is>
          <t>question</t>
        </is>
      </c>
      <c r="K203" s="5" t="inlineStr">
        <is>
          <t>F12</t>
        </is>
      </c>
      <c r="L203" s="5">
        <f> money(F12[0].balance)</f>
        <v/>
      </c>
      <c r="M203" s="5" t="inlineStr">
        <is>
          <t>F12.length &gt; 0</t>
        </is>
      </c>
      <c r="N203" s="5" t="inlineStr"/>
      <c r="O203" s="5" t="inlineStr"/>
    </row>
    <row r="204">
      <c r="A204" s="5" t="n">
        <v>203</v>
      </c>
      <c r="B204" s="5" t="n">
        <v>3</v>
      </c>
      <c r="C204" s="5" t="inlineStr">
        <is>
          <t>14 row 1</t>
        </is>
      </c>
      <c r="D204" s="5" t="inlineStr">
        <is>
          <t>Date of last payment</t>
        </is>
      </c>
      <c r="E204" s="5" t="inlineStr">
        <is>
          <t>FL-150[0].Page3[0].List14[0].L1[0].DateField1[0]</t>
        </is>
      </c>
      <c r="F204" s="5" t="inlineStr">
        <is>
          <t>text</t>
        </is>
      </c>
      <c r="G204" s="5" t="inlineStr"/>
      <c r="H204" s="5" t="inlineStr"/>
      <c r="I204" s="5" t="inlineStr">
        <is>
          <t>478, 480, 574, 492</t>
        </is>
      </c>
      <c r="J204" s="5" t="inlineStr">
        <is>
          <t>question</t>
        </is>
      </c>
      <c r="K204" s="5" t="inlineStr">
        <is>
          <t>F12</t>
        </is>
      </c>
      <c r="L204" s="5">
        <f> fmtDate(F12[0].lastPayment)</f>
        <v/>
      </c>
      <c r="M204" s="5" t="inlineStr">
        <is>
          <t>F12.length &gt; 0</t>
        </is>
      </c>
      <c r="N204" s="5" t="inlineStr"/>
      <c r="O204" s="5" t="inlineStr"/>
    </row>
    <row r="205">
      <c r="A205" s="5" t="n">
        <v>204</v>
      </c>
      <c r="B205" s="5" t="n">
        <v>3</v>
      </c>
      <c r="C205" s="5" t="inlineStr">
        <is>
          <t>14 row 2</t>
        </is>
      </c>
      <c r="D205" s="5" t="inlineStr">
        <is>
          <t>Paid to</t>
        </is>
      </c>
      <c r="E205" s="5" t="inlineStr">
        <is>
          <t>FL-150[0].Page3[0].List14[0].L1[0].TextField3[0]</t>
        </is>
      </c>
      <c r="F205" s="5" t="inlineStr">
        <is>
          <t>text</t>
        </is>
      </c>
      <c r="G205" s="5" t="inlineStr"/>
      <c r="H205" s="5" t="inlineStr"/>
      <c r="I205" s="5" t="inlineStr">
        <is>
          <t>53, 495, 212, 507</t>
        </is>
      </c>
      <c r="J205" s="5" t="inlineStr">
        <is>
          <t>question</t>
        </is>
      </c>
      <c r="K205" s="5" t="inlineStr">
        <is>
          <t>F12</t>
        </is>
      </c>
      <c r="L205" s="5">
        <f> F12[1].paidTo</f>
        <v/>
      </c>
      <c r="M205" s="5" t="inlineStr">
        <is>
          <t>F12.length &gt; 1</t>
        </is>
      </c>
      <c r="N205" s="5" t="inlineStr"/>
      <c r="O205" s="5" t="inlineStr"/>
    </row>
    <row r="206">
      <c r="A206" s="5" t="n">
        <v>205</v>
      </c>
      <c r="B206" s="5" t="n">
        <v>3</v>
      </c>
      <c r="C206" s="5" t="inlineStr">
        <is>
          <t>14 row 2</t>
        </is>
      </c>
      <c r="D206" s="5" t="inlineStr">
        <is>
          <t>For</t>
        </is>
      </c>
      <c r="E206" s="5" t="inlineStr">
        <is>
          <t>FL-150[0].Page3[0].List14[0].L1[0].TextField4[0]</t>
        </is>
      </c>
      <c r="F206" s="5" t="inlineStr">
        <is>
          <t>text</t>
        </is>
      </c>
      <c r="G206" s="5" t="inlineStr"/>
      <c r="H206" s="5" t="inlineStr"/>
      <c r="I206" s="5" t="inlineStr">
        <is>
          <t>216, 495, 358, 507</t>
        </is>
      </c>
      <c r="J206" s="5" t="inlineStr">
        <is>
          <t>question</t>
        </is>
      </c>
      <c r="K206" s="5" t="inlineStr">
        <is>
          <t>F12</t>
        </is>
      </c>
      <c r="L206" s="5">
        <f> F12[1].for</f>
        <v/>
      </c>
      <c r="M206" s="5" t="inlineStr">
        <is>
          <t>F12.length &gt; 1</t>
        </is>
      </c>
      <c r="N206" s="5" t="inlineStr"/>
      <c r="O206" s="5" t="inlineStr"/>
    </row>
    <row r="207">
      <c r="A207" s="5" t="n">
        <v>206</v>
      </c>
      <c r="B207" s="5" t="n">
        <v>3</v>
      </c>
      <c r="C207" s="5" t="inlineStr">
        <is>
          <t>14 row 2</t>
        </is>
      </c>
      <c r="D207" s="5" t="inlineStr">
        <is>
          <t>Amount</t>
        </is>
      </c>
      <c r="E207" s="5" t="inlineStr">
        <is>
          <t>FL-150[0].Page3[0].List14[0].L1[0].FillText3[0]</t>
        </is>
      </c>
      <c r="F207" s="5" t="inlineStr">
        <is>
          <t>text</t>
        </is>
      </c>
      <c r="G207" s="5" t="inlineStr"/>
      <c r="H207" s="5" t="inlineStr"/>
      <c r="I207" s="5" t="inlineStr">
        <is>
          <t>371, 495, 416, 507</t>
        </is>
      </c>
      <c r="J207" s="5" t="inlineStr">
        <is>
          <t>question</t>
        </is>
      </c>
      <c r="K207" s="5" t="inlineStr">
        <is>
          <t>F12</t>
        </is>
      </c>
      <c r="L207" s="5">
        <f> money(F12[1].amount)</f>
        <v/>
      </c>
      <c r="M207" s="5" t="inlineStr">
        <is>
          <t>F12.length &gt; 1</t>
        </is>
      </c>
      <c r="N207" s="5" t="inlineStr"/>
      <c r="O207" s="5" t="inlineStr"/>
    </row>
    <row r="208">
      <c r="A208" s="5" t="n">
        <v>207</v>
      </c>
      <c r="B208" s="5" t="n">
        <v>3</v>
      </c>
      <c r="C208" s="5" t="inlineStr">
        <is>
          <t>14 row 2</t>
        </is>
      </c>
      <c r="D208" s="5" t="inlineStr">
        <is>
          <t>Balance</t>
        </is>
      </c>
      <c r="E208" s="5" t="inlineStr">
        <is>
          <t>FL-150[0].Page3[0].List14[0].L1[0].FillText4[0]</t>
        </is>
      </c>
      <c r="F208" s="5" t="inlineStr">
        <is>
          <t>text</t>
        </is>
      </c>
      <c r="G208" s="5" t="inlineStr"/>
      <c r="H208" s="5" t="inlineStr"/>
      <c r="I208" s="5" t="inlineStr">
        <is>
          <t>429, 495, 475, 507</t>
        </is>
      </c>
      <c r="J208" s="5" t="inlineStr">
        <is>
          <t>question</t>
        </is>
      </c>
      <c r="K208" s="5" t="inlineStr">
        <is>
          <t>F12</t>
        </is>
      </c>
      <c r="L208" s="5">
        <f> money(F12[1].balance)</f>
        <v/>
      </c>
      <c r="M208" s="5" t="inlineStr">
        <is>
          <t>F12.length &gt; 1</t>
        </is>
      </c>
      <c r="N208" s="5" t="inlineStr"/>
      <c r="O208" s="5" t="inlineStr"/>
    </row>
    <row r="209">
      <c r="A209" s="5" t="n">
        <v>208</v>
      </c>
      <c r="B209" s="5" t="n">
        <v>3</v>
      </c>
      <c r="C209" s="5" t="inlineStr">
        <is>
          <t>14 row 2</t>
        </is>
      </c>
      <c r="D209" s="5" t="inlineStr">
        <is>
          <t>Date of last payment</t>
        </is>
      </c>
      <c r="E209" s="5" t="inlineStr">
        <is>
          <t>FL-150[0].Page3[0].List14[0].L1[0].DateField2[0]</t>
        </is>
      </c>
      <c r="F209" s="5" t="inlineStr">
        <is>
          <t>text</t>
        </is>
      </c>
      <c r="G209" s="5" t="inlineStr"/>
      <c r="H209" s="5" t="inlineStr"/>
      <c r="I209" s="5" t="inlineStr">
        <is>
          <t>478, 495, 574, 507</t>
        </is>
      </c>
      <c r="J209" s="5" t="inlineStr">
        <is>
          <t>question</t>
        </is>
      </c>
      <c r="K209" s="5" t="inlineStr">
        <is>
          <t>F12</t>
        </is>
      </c>
      <c r="L209" s="5">
        <f> fmtDate(F12[1].lastPayment)</f>
        <v/>
      </c>
      <c r="M209" s="5" t="inlineStr">
        <is>
          <t>F12.length &gt; 1</t>
        </is>
      </c>
      <c r="N209" s="5" t="inlineStr"/>
      <c r="O209" s="5" t="inlineStr"/>
    </row>
    <row r="210">
      <c r="A210" s="5" t="n">
        <v>209</v>
      </c>
      <c r="B210" s="5" t="n">
        <v>3</v>
      </c>
      <c r="C210" s="5" t="inlineStr">
        <is>
          <t>14 row 3</t>
        </is>
      </c>
      <c r="D210" s="5" t="inlineStr">
        <is>
          <t>Paid to</t>
        </is>
      </c>
      <c r="E210" s="5" t="inlineStr">
        <is>
          <t>FL-150[0].Page3[0].List14[0].L1[0].TextField5[0]</t>
        </is>
      </c>
      <c r="F210" s="5" t="inlineStr">
        <is>
          <t>text</t>
        </is>
      </c>
      <c r="G210" s="5" t="inlineStr"/>
      <c r="H210" s="5" t="inlineStr"/>
      <c r="I210" s="5" t="inlineStr">
        <is>
          <t>53, 511, 212, 523</t>
        </is>
      </c>
      <c r="J210" s="5" t="inlineStr">
        <is>
          <t>question</t>
        </is>
      </c>
      <c r="K210" s="5" t="inlineStr">
        <is>
          <t>F12</t>
        </is>
      </c>
      <c r="L210" s="5">
        <f> F12[2].paidTo</f>
        <v/>
      </c>
      <c r="M210" s="5" t="inlineStr">
        <is>
          <t>F12.length &gt; 2</t>
        </is>
      </c>
      <c r="N210" s="5" t="inlineStr"/>
      <c r="O210" s="5" t="inlineStr"/>
    </row>
    <row r="211">
      <c r="A211" s="5" t="n">
        <v>210</v>
      </c>
      <c r="B211" s="5" t="n">
        <v>3</v>
      </c>
      <c r="C211" s="5" t="inlineStr">
        <is>
          <t>14 row 3</t>
        </is>
      </c>
      <c r="D211" s="5" t="inlineStr">
        <is>
          <t>For</t>
        </is>
      </c>
      <c r="E211" s="5" t="inlineStr">
        <is>
          <t>FL-150[0].Page3[0].List14[0].L1[0].TextField6[0]</t>
        </is>
      </c>
      <c r="F211" s="5" t="inlineStr">
        <is>
          <t>text</t>
        </is>
      </c>
      <c r="G211" s="5" t="inlineStr"/>
      <c r="H211" s="5" t="inlineStr"/>
      <c r="I211" s="5" t="inlineStr">
        <is>
          <t>216, 511, 358, 523</t>
        </is>
      </c>
      <c r="J211" s="5" t="inlineStr">
        <is>
          <t>question</t>
        </is>
      </c>
      <c r="K211" s="5" t="inlineStr">
        <is>
          <t>F12</t>
        </is>
      </c>
      <c r="L211" s="5">
        <f> F12[2].for</f>
        <v/>
      </c>
      <c r="M211" s="5" t="inlineStr">
        <is>
          <t>F12.length &gt; 2</t>
        </is>
      </c>
      <c r="N211" s="5" t="inlineStr"/>
      <c r="O211" s="5" t="inlineStr"/>
    </row>
    <row r="212">
      <c r="A212" s="5" t="n">
        <v>211</v>
      </c>
      <c r="B212" s="5" t="n">
        <v>3</v>
      </c>
      <c r="C212" s="5" t="inlineStr">
        <is>
          <t>14 row 3</t>
        </is>
      </c>
      <c r="D212" s="5" t="inlineStr">
        <is>
          <t>Amount</t>
        </is>
      </c>
      <c r="E212" s="5" t="inlineStr">
        <is>
          <t>FL-150[0].Page3[0].List14[0].L1[0].FillText5[0]</t>
        </is>
      </c>
      <c r="F212" s="5" t="inlineStr">
        <is>
          <t>text</t>
        </is>
      </c>
      <c r="G212" s="5" t="inlineStr"/>
      <c r="H212" s="5" t="inlineStr"/>
      <c r="I212" s="5" t="inlineStr">
        <is>
          <t>371, 511, 416, 523</t>
        </is>
      </c>
      <c r="J212" s="5" t="inlineStr">
        <is>
          <t>question</t>
        </is>
      </c>
      <c r="K212" s="5" t="inlineStr">
        <is>
          <t>F12</t>
        </is>
      </c>
      <c r="L212" s="5">
        <f> money(F12[2].amount)</f>
        <v/>
      </c>
      <c r="M212" s="5" t="inlineStr">
        <is>
          <t>F12.length &gt; 2</t>
        </is>
      </c>
      <c r="N212" s="5" t="inlineStr"/>
      <c r="O212" s="5" t="inlineStr"/>
    </row>
    <row r="213">
      <c r="A213" s="5" t="n">
        <v>212</v>
      </c>
      <c r="B213" s="5" t="n">
        <v>3</v>
      </c>
      <c r="C213" s="5" t="inlineStr">
        <is>
          <t>14 row 3</t>
        </is>
      </c>
      <c r="D213" s="5" t="inlineStr">
        <is>
          <t>Balance</t>
        </is>
      </c>
      <c r="E213" s="5" t="inlineStr">
        <is>
          <t>FL-150[0].Page3[0].List14[0].L1[0].FillText6[0]</t>
        </is>
      </c>
      <c r="F213" s="5" t="inlineStr">
        <is>
          <t>text</t>
        </is>
      </c>
      <c r="G213" s="5" t="inlineStr"/>
      <c r="H213" s="5" t="inlineStr"/>
      <c r="I213" s="5" t="inlineStr">
        <is>
          <t>429, 511, 475, 523</t>
        </is>
      </c>
      <c r="J213" s="5" t="inlineStr">
        <is>
          <t>question</t>
        </is>
      </c>
      <c r="K213" s="5" t="inlineStr">
        <is>
          <t>F12</t>
        </is>
      </c>
      <c r="L213" s="5">
        <f> money(F12[2].balance)</f>
        <v/>
      </c>
      <c r="M213" s="5" t="inlineStr">
        <is>
          <t>F12.length &gt; 2</t>
        </is>
      </c>
      <c r="N213" s="5" t="inlineStr"/>
      <c r="O213" s="5" t="inlineStr"/>
    </row>
    <row r="214">
      <c r="A214" s="5" t="n">
        <v>213</v>
      </c>
      <c r="B214" s="5" t="n">
        <v>3</v>
      </c>
      <c r="C214" s="5" t="inlineStr">
        <is>
          <t>14 row 3</t>
        </is>
      </c>
      <c r="D214" s="5" t="inlineStr">
        <is>
          <t>Date of last payment</t>
        </is>
      </c>
      <c r="E214" s="5" t="inlineStr">
        <is>
          <t>FL-150[0].Page3[0].List14[0].L1[0].DateField3[0]</t>
        </is>
      </c>
      <c r="F214" s="5" t="inlineStr">
        <is>
          <t>text</t>
        </is>
      </c>
      <c r="G214" s="5" t="inlineStr"/>
      <c r="H214" s="5" t="inlineStr"/>
      <c r="I214" s="5" t="inlineStr">
        <is>
          <t>478, 511, 574, 523</t>
        </is>
      </c>
      <c r="J214" s="5" t="inlineStr">
        <is>
          <t>question</t>
        </is>
      </c>
      <c r="K214" s="5" t="inlineStr">
        <is>
          <t>F12</t>
        </is>
      </c>
      <c r="L214" s="5">
        <f> fmtDate(F12[2].lastPayment)</f>
        <v/>
      </c>
      <c r="M214" s="5" t="inlineStr">
        <is>
          <t>F12.length &gt; 2</t>
        </is>
      </c>
      <c r="N214" s="5" t="inlineStr"/>
      <c r="O214" s="5" t="inlineStr"/>
    </row>
    <row r="215">
      <c r="A215" s="5" t="n">
        <v>214</v>
      </c>
      <c r="B215" s="5" t="n">
        <v>3</v>
      </c>
      <c r="C215" s="5" t="inlineStr">
        <is>
          <t>14 row 4</t>
        </is>
      </c>
      <c r="D215" s="5" t="inlineStr">
        <is>
          <t>Paid to</t>
        </is>
      </c>
      <c r="E215" s="5" t="inlineStr">
        <is>
          <t>FL-150[0].Page3[0].List14[0].L1[0].TextField7[0]</t>
        </is>
      </c>
      <c r="F215" s="5" t="inlineStr">
        <is>
          <t>text</t>
        </is>
      </c>
      <c r="G215" s="5" t="inlineStr"/>
      <c r="H215" s="5" t="inlineStr"/>
      <c r="I215" s="5" t="inlineStr">
        <is>
          <t>53, 527, 212, 539</t>
        </is>
      </c>
      <c r="J215" s="5" t="inlineStr">
        <is>
          <t>question</t>
        </is>
      </c>
      <c r="K215" s="5" t="inlineStr">
        <is>
          <t>F12</t>
        </is>
      </c>
      <c r="L215" s="5">
        <f> F12[3].paidTo</f>
        <v/>
      </c>
      <c r="M215" s="5" t="inlineStr">
        <is>
          <t>F12.length &gt; 3</t>
        </is>
      </c>
      <c r="N215" s="5" t="inlineStr"/>
      <c r="O215" s="5" t="inlineStr"/>
    </row>
    <row r="216">
      <c r="A216" s="5" t="n">
        <v>215</v>
      </c>
      <c r="B216" s="5" t="n">
        <v>3</v>
      </c>
      <c r="C216" s="5" t="inlineStr">
        <is>
          <t>14 row 4</t>
        </is>
      </c>
      <c r="D216" s="5" t="inlineStr">
        <is>
          <t>For</t>
        </is>
      </c>
      <c r="E216" s="5" t="inlineStr">
        <is>
          <t>FL-150[0].Page3[0].List14[0].L1[0].TextField8[0]</t>
        </is>
      </c>
      <c r="F216" s="5" t="inlineStr">
        <is>
          <t>text</t>
        </is>
      </c>
      <c r="G216" s="5" t="inlineStr"/>
      <c r="H216" s="5" t="inlineStr"/>
      <c r="I216" s="5" t="inlineStr">
        <is>
          <t>216, 528, 358, 540</t>
        </is>
      </c>
      <c r="J216" s="5" t="inlineStr">
        <is>
          <t>question</t>
        </is>
      </c>
      <c r="K216" s="5" t="inlineStr">
        <is>
          <t>F12</t>
        </is>
      </c>
      <c r="L216" s="5">
        <f> F12[3].for</f>
        <v/>
      </c>
      <c r="M216" s="5" t="inlineStr">
        <is>
          <t>F12.length &gt; 3</t>
        </is>
      </c>
      <c r="N216" s="5" t="inlineStr"/>
      <c r="O216" s="5" t="inlineStr"/>
    </row>
    <row r="217">
      <c r="A217" s="5" t="n">
        <v>216</v>
      </c>
      <c r="B217" s="5" t="n">
        <v>3</v>
      </c>
      <c r="C217" s="5" t="inlineStr">
        <is>
          <t>14 row 4</t>
        </is>
      </c>
      <c r="D217" s="5" t="inlineStr">
        <is>
          <t>Amount</t>
        </is>
      </c>
      <c r="E217" s="5" t="inlineStr">
        <is>
          <t>FL-150[0].Page3[0].List14[0].L1[0].FillText7[0]</t>
        </is>
      </c>
      <c r="F217" s="5" t="inlineStr">
        <is>
          <t>text</t>
        </is>
      </c>
      <c r="G217" s="5" t="inlineStr"/>
      <c r="H217" s="5" t="inlineStr"/>
      <c r="I217" s="5" t="inlineStr">
        <is>
          <t>371, 527, 416, 539</t>
        </is>
      </c>
      <c r="J217" s="5" t="inlineStr">
        <is>
          <t>question</t>
        </is>
      </c>
      <c r="K217" s="5" t="inlineStr">
        <is>
          <t>F12</t>
        </is>
      </c>
      <c r="L217" s="5">
        <f> money(F12[3].amount)</f>
        <v/>
      </c>
      <c r="M217" s="5" t="inlineStr">
        <is>
          <t>F12.length &gt; 3</t>
        </is>
      </c>
      <c r="N217" s="5" t="inlineStr"/>
      <c r="O217" s="5" t="inlineStr"/>
    </row>
    <row r="218">
      <c r="A218" s="5" t="n">
        <v>217</v>
      </c>
      <c r="B218" s="5" t="n">
        <v>3</v>
      </c>
      <c r="C218" s="5" t="inlineStr">
        <is>
          <t>14 row 4</t>
        </is>
      </c>
      <c r="D218" s="5" t="inlineStr">
        <is>
          <t>Balance</t>
        </is>
      </c>
      <c r="E218" s="5" t="inlineStr">
        <is>
          <t>FL-150[0].Page3[0].List14[0].L1[0].FillText8[0]</t>
        </is>
      </c>
      <c r="F218" s="5" t="inlineStr">
        <is>
          <t>text</t>
        </is>
      </c>
      <c r="G218" s="5" t="inlineStr"/>
      <c r="H218" s="5" t="inlineStr"/>
      <c r="I218" s="5" t="inlineStr">
        <is>
          <t>429, 526, 475, 539</t>
        </is>
      </c>
      <c r="J218" s="5" t="inlineStr">
        <is>
          <t>question</t>
        </is>
      </c>
      <c r="K218" s="5" t="inlineStr">
        <is>
          <t>F12</t>
        </is>
      </c>
      <c r="L218" s="5">
        <f> money(F12[3].balance)</f>
        <v/>
      </c>
      <c r="M218" s="5" t="inlineStr">
        <is>
          <t>F12.length &gt; 3</t>
        </is>
      </c>
      <c r="N218" s="5" t="inlineStr"/>
      <c r="O218" s="5" t="inlineStr"/>
    </row>
    <row r="219">
      <c r="A219" s="5" t="n">
        <v>218</v>
      </c>
      <c r="B219" s="5" t="n">
        <v>3</v>
      </c>
      <c r="C219" s="5" t="inlineStr">
        <is>
          <t>14 row 4</t>
        </is>
      </c>
      <c r="D219" s="5" t="inlineStr">
        <is>
          <t>Date of last payment</t>
        </is>
      </c>
      <c r="E219" s="5" t="inlineStr">
        <is>
          <t>FL-150[0].Page3[0].List14[0].L1[0].DateField4[0]</t>
        </is>
      </c>
      <c r="F219" s="5" t="inlineStr">
        <is>
          <t>text</t>
        </is>
      </c>
      <c r="G219" s="5" t="inlineStr"/>
      <c r="H219" s="5" t="inlineStr"/>
      <c r="I219" s="5" t="inlineStr">
        <is>
          <t>478, 527, 574, 539</t>
        </is>
      </c>
      <c r="J219" s="5" t="inlineStr">
        <is>
          <t>question</t>
        </is>
      </c>
      <c r="K219" s="5" t="inlineStr">
        <is>
          <t>F12</t>
        </is>
      </c>
      <c r="L219" s="5">
        <f> fmtDate(F12[3].lastPayment)</f>
        <v/>
      </c>
      <c r="M219" s="5" t="inlineStr">
        <is>
          <t>F12.length &gt; 3</t>
        </is>
      </c>
      <c r="N219" s="5" t="inlineStr"/>
      <c r="O219" s="5" t="inlineStr"/>
    </row>
    <row r="220">
      <c r="A220" s="5" t="n">
        <v>219</v>
      </c>
      <c r="B220" s="5" t="n">
        <v>3</v>
      </c>
      <c r="C220" s="5" t="inlineStr">
        <is>
          <t>14 row 5</t>
        </is>
      </c>
      <c r="D220" s="5" t="inlineStr">
        <is>
          <t>Paid to</t>
        </is>
      </c>
      <c r="E220" s="5" t="inlineStr">
        <is>
          <t>FL-150[0].Page3[0].List14[0].L1[0].TextField9[0]</t>
        </is>
      </c>
      <c r="F220" s="5" t="inlineStr">
        <is>
          <t>text</t>
        </is>
      </c>
      <c r="G220" s="5" t="inlineStr"/>
      <c r="H220" s="5" t="inlineStr"/>
      <c r="I220" s="5" t="inlineStr">
        <is>
          <t>53, 543, 212, 555</t>
        </is>
      </c>
      <c r="J220" s="5" t="inlineStr">
        <is>
          <t>question</t>
        </is>
      </c>
      <c r="K220" s="5" t="inlineStr">
        <is>
          <t>F12</t>
        </is>
      </c>
      <c r="L220" s="5">
        <f> F12[4].paidTo</f>
        <v/>
      </c>
      <c r="M220" s="5" t="inlineStr">
        <is>
          <t>F12.length &gt; 4</t>
        </is>
      </c>
      <c r="N220" s="5" t="inlineStr"/>
      <c r="O220" s="5" t="inlineStr"/>
    </row>
    <row r="221">
      <c r="A221" s="5" t="n">
        <v>220</v>
      </c>
      <c r="B221" s="5" t="n">
        <v>3</v>
      </c>
      <c r="C221" s="5" t="inlineStr">
        <is>
          <t>14 row 5</t>
        </is>
      </c>
      <c r="D221" s="5" t="inlineStr">
        <is>
          <t>For</t>
        </is>
      </c>
      <c r="E221" s="5" t="inlineStr">
        <is>
          <t>FL-150[0].Page3[0].List14[0].L1[0].TextField10[0]</t>
        </is>
      </c>
      <c r="F221" s="5" t="inlineStr">
        <is>
          <t>text</t>
        </is>
      </c>
      <c r="G221" s="5" t="inlineStr"/>
      <c r="H221" s="5" t="inlineStr"/>
      <c r="I221" s="5" t="inlineStr">
        <is>
          <t>216, 543, 358, 555</t>
        </is>
      </c>
      <c r="J221" s="5" t="inlineStr">
        <is>
          <t>question</t>
        </is>
      </c>
      <c r="K221" s="5" t="inlineStr">
        <is>
          <t>F12</t>
        </is>
      </c>
      <c r="L221" s="5">
        <f> F12[4].for</f>
        <v/>
      </c>
      <c r="M221" s="5" t="inlineStr">
        <is>
          <t>F12.length &gt; 4</t>
        </is>
      </c>
      <c r="N221" s="5" t="inlineStr"/>
      <c r="O221" s="5" t="inlineStr"/>
    </row>
    <row r="222">
      <c r="A222" s="5" t="n">
        <v>221</v>
      </c>
      <c r="B222" s="5" t="n">
        <v>3</v>
      </c>
      <c r="C222" s="5" t="inlineStr">
        <is>
          <t>14 row 5</t>
        </is>
      </c>
      <c r="D222" s="5" t="inlineStr">
        <is>
          <t>Amount</t>
        </is>
      </c>
      <c r="E222" s="5" t="inlineStr">
        <is>
          <t>FL-150[0].Page3[0].List14[0].L1[0].FillText9[0]</t>
        </is>
      </c>
      <c r="F222" s="5" t="inlineStr">
        <is>
          <t>text</t>
        </is>
      </c>
      <c r="G222" s="5" t="inlineStr"/>
      <c r="H222" s="5" t="inlineStr"/>
      <c r="I222" s="5" t="inlineStr">
        <is>
          <t>371, 542, 416, 554</t>
        </is>
      </c>
      <c r="J222" s="5" t="inlineStr">
        <is>
          <t>question</t>
        </is>
      </c>
      <c r="K222" s="5" t="inlineStr">
        <is>
          <t>F12</t>
        </is>
      </c>
      <c r="L222" s="5">
        <f> money(F12[4].amount)</f>
        <v/>
      </c>
      <c r="M222" s="5" t="inlineStr">
        <is>
          <t>F12.length &gt; 4</t>
        </is>
      </c>
      <c r="N222" s="5" t="inlineStr"/>
      <c r="O222" s="5" t="inlineStr"/>
    </row>
    <row r="223">
      <c r="A223" s="5" t="n">
        <v>222</v>
      </c>
      <c r="B223" s="5" t="n">
        <v>3</v>
      </c>
      <c r="C223" s="5" t="inlineStr">
        <is>
          <t>14 row 5</t>
        </is>
      </c>
      <c r="D223" s="5" t="inlineStr">
        <is>
          <t>Balance</t>
        </is>
      </c>
      <c r="E223" s="5" t="inlineStr">
        <is>
          <t>FL-150[0].Page3[0].List14[0].L1[0].FillText10[0]</t>
        </is>
      </c>
      <c r="F223" s="5" t="inlineStr">
        <is>
          <t>text</t>
        </is>
      </c>
      <c r="G223" s="5" t="inlineStr"/>
      <c r="H223" s="5" t="inlineStr"/>
      <c r="I223" s="5" t="inlineStr">
        <is>
          <t>429, 542, 475, 555</t>
        </is>
      </c>
      <c r="J223" s="5" t="inlineStr">
        <is>
          <t>question</t>
        </is>
      </c>
      <c r="K223" s="5" t="inlineStr">
        <is>
          <t>F12</t>
        </is>
      </c>
      <c r="L223" s="5">
        <f> money(F12[4].balance)</f>
        <v/>
      </c>
      <c r="M223" s="5" t="inlineStr">
        <is>
          <t>F12.length &gt; 4</t>
        </is>
      </c>
      <c r="N223" s="5" t="inlineStr"/>
      <c r="O223" s="5" t="inlineStr"/>
    </row>
    <row r="224">
      <c r="A224" s="5" t="n">
        <v>223</v>
      </c>
      <c r="B224" s="5" t="n">
        <v>3</v>
      </c>
      <c r="C224" s="5" t="inlineStr">
        <is>
          <t>14 row 5</t>
        </is>
      </c>
      <c r="D224" s="5" t="inlineStr">
        <is>
          <t>Date of last payment</t>
        </is>
      </c>
      <c r="E224" s="5" t="inlineStr">
        <is>
          <t>FL-150[0].Page3[0].List14[0].L1[0].DateField5[0]</t>
        </is>
      </c>
      <c r="F224" s="5" t="inlineStr">
        <is>
          <t>text</t>
        </is>
      </c>
      <c r="G224" s="5" t="inlineStr"/>
      <c r="H224" s="5" t="inlineStr"/>
      <c r="I224" s="5" t="inlineStr">
        <is>
          <t>478, 542, 574, 554</t>
        </is>
      </c>
      <c r="J224" s="5" t="inlineStr">
        <is>
          <t>question</t>
        </is>
      </c>
      <c r="K224" s="5" t="inlineStr">
        <is>
          <t>F12</t>
        </is>
      </c>
      <c r="L224" s="5">
        <f> fmtDate(F12[4].lastPayment)</f>
        <v/>
      </c>
      <c r="M224" s="5" t="inlineStr">
        <is>
          <t>F12.length &gt; 4</t>
        </is>
      </c>
      <c r="N224" s="5" t="inlineStr"/>
      <c r="O224" s="5" t="inlineStr"/>
    </row>
    <row r="225">
      <c r="A225" s="5" t="n">
        <v>224</v>
      </c>
      <c r="B225" s="5" t="n">
        <v>3</v>
      </c>
      <c r="C225" s="5" t="inlineStr">
        <is>
          <t>14 row 6</t>
        </is>
      </c>
      <c r="D225" s="5" t="inlineStr">
        <is>
          <t>Paid to</t>
        </is>
      </c>
      <c r="E225" s="5" t="inlineStr">
        <is>
          <t>FL-150[0].Page3[0].List14[0].L1[0].TextField11[0]</t>
        </is>
      </c>
      <c r="F225" s="5" t="inlineStr">
        <is>
          <t>text</t>
        </is>
      </c>
      <c r="G225" s="5" t="inlineStr"/>
      <c r="H225" s="5" t="inlineStr"/>
      <c r="I225" s="5" t="inlineStr">
        <is>
          <t>53, 559, 212, 571</t>
        </is>
      </c>
      <c r="J225" s="5" t="inlineStr">
        <is>
          <t>question</t>
        </is>
      </c>
      <c r="K225" s="5" t="inlineStr">
        <is>
          <t>F12</t>
        </is>
      </c>
      <c r="L225" s="5">
        <f> F12[5].paidTo</f>
        <v/>
      </c>
      <c r="M225" s="5" t="inlineStr">
        <is>
          <t>F12.length &gt; 5</t>
        </is>
      </c>
      <c r="N225" s="5" t="inlineStr"/>
      <c r="O225" s="5" t="inlineStr"/>
    </row>
    <row r="226">
      <c r="A226" s="5" t="n">
        <v>225</v>
      </c>
      <c r="B226" s="5" t="n">
        <v>3</v>
      </c>
      <c r="C226" s="5" t="inlineStr">
        <is>
          <t>14 row 6</t>
        </is>
      </c>
      <c r="D226" s="5" t="inlineStr">
        <is>
          <t>For</t>
        </is>
      </c>
      <c r="E226" s="5" t="inlineStr">
        <is>
          <t>FL-150[0].Page3[0].List14[0].L1[0].TextField12[0]</t>
        </is>
      </c>
      <c r="F226" s="5" t="inlineStr">
        <is>
          <t>text</t>
        </is>
      </c>
      <c r="G226" s="5" t="inlineStr"/>
      <c r="H226" s="5" t="inlineStr"/>
      <c r="I226" s="5" t="inlineStr">
        <is>
          <t>216, 559, 358, 571</t>
        </is>
      </c>
      <c r="J226" s="5" t="inlineStr">
        <is>
          <t>question</t>
        </is>
      </c>
      <c r="K226" s="5" t="inlineStr">
        <is>
          <t>F12</t>
        </is>
      </c>
      <c r="L226" s="5">
        <f> F12[5].for</f>
        <v/>
      </c>
      <c r="M226" s="5" t="inlineStr">
        <is>
          <t>F12.length &gt; 5</t>
        </is>
      </c>
      <c r="N226" s="5" t="inlineStr"/>
      <c r="O226" s="5" t="inlineStr"/>
    </row>
    <row r="227">
      <c r="A227" s="5" t="n">
        <v>226</v>
      </c>
      <c r="B227" s="5" t="n">
        <v>3</v>
      </c>
      <c r="C227" s="5" t="inlineStr">
        <is>
          <t>14 row 6</t>
        </is>
      </c>
      <c r="D227" s="5" t="inlineStr">
        <is>
          <t>Amount</t>
        </is>
      </c>
      <c r="E227" s="5" t="inlineStr">
        <is>
          <t>FL-150[0].Page3[0].List14[0].L1[0].FillText11[0]</t>
        </is>
      </c>
      <c r="F227" s="5" t="inlineStr">
        <is>
          <t>text</t>
        </is>
      </c>
      <c r="G227" s="5" t="inlineStr"/>
      <c r="H227" s="5" t="inlineStr"/>
      <c r="I227" s="5" t="inlineStr">
        <is>
          <t>371, 559, 416, 571</t>
        </is>
      </c>
      <c r="J227" s="5" t="inlineStr">
        <is>
          <t>question</t>
        </is>
      </c>
      <c r="K227" s="5" t="inlineStr">
        <is>
          <t>F12</t>
        </is>
      </c>
      <c r="L227" s="5">
        <f> money(F12[5].amount)</f>
        <v/>
      </c>
      <c r="M227" s="5" t="inlineStr">
        <is>
          <t>F12.length &gt; 5</t>
        </is>
      </c>
      <c r="N227" s="5" t="inlineStr"/>
      <c r="O227" s="5" t="inlineStr"/>
    </row>
    <row r="228">
      <c r="A228" s="5" t="n">
        <v>227</v>
      </c>
      <c r="B228" s="5" t="n">
        <v>3</v>
      </c>
      <c r="C228" s="5" t="inlineStr">
        <is>
          <t>14 row 6</t>
        </is>
      </c>
      <c r="D228" s="5" t="inlineStr">
        <is>
          <t>Balance</t>
        </is>
      </c>
      <c r="E228" s="5" t="inlineStr">
        <is>
          <t>FL-150[0].Page3[0].List14[0].L1[0].FillText12[0]</t>
        </is>
      </c>
      <c r="F228" s="5" t="inlineStr">
        <is>
          <t>text</t>
        </is>
      </c>
      <c r="G228" s="5" t="inlineStr"/>
      <c r="H228" s="5" t="inlineStr"/>
      <c r="I228" s="5" t="inlineStr">
        <is>
          <t>429, 558, 475, 570</t>
        </is>
      </c>
      <c r="J228" s="5" t="inlineStr">
        <is>
          <t>question</t>
        </is>
      </c>
      <c r="K228" s="5" t="inlineStr">
        <is>
          <t>F12</t>
        </is>
      </c>
      <c r="L228" s="5">
        <f> money(F12[5].balance)</f>
        <v/>
      </c>
      <c r="M228" s="5" t="inlineStr">
        <is>
          <t>F12.length &gt; 5</t>
        </is>
      </c>
      <c r="N228" s="5" t="inlineStr"/>
      <c r="O228" s="5" t="inlineStr"/>
    </row>
    <row r="229">
      <c r="A229" s="5" t="n">
        <v>228</v>
      </c>
      <c r="B229" s="5" t="n">
        <v>3</v>
      </c>
      <c r="C229" s="5" t="inlineStr">
        <is>
          <t>14 row 6</t>
        </is>
      </c>
      <c r="D229" s="5" t="inlineStr">
        <is>
          <t>Date of last payment</t>
        </is>
      </c>
      <c r="E229" s="5" t="inlineStr">
        <is>
          <t>FL-150[0].Page3[0].List14[0].L1[0].DateField6[0]</t>
        </is>
      </c>
      <c r="F229" s="5" t="inlineStr">
        <is>
          <t>text</t>
        </is>
      </c>
      <c r="G229" s="5" t="inlineStr"/>
      <c r="H229" s="5" t="inlineStr"/>
      <c r="I229" s="5" t="inlineStr">
        <is>
          <t>478, 559, 574, 570</t>
        </is>
      </c>
      <c r="J229" s="5" t="inlineStr">
        <is>
          <t>question</t>
        </is>
      </c>
      <c r="K229" s="5" t="inlineStr">
        <is>
          <t>F12</t>
        </is>
      </c>
      <c r="L229" s="5">
        <f> fmtDate(F12[5].lastPayment)</f>
        <v/>
      </c>
      <c r="M229" s="5" t="inlineStr">
        <is>
          <t>F12.length &gt; 5</t>
        </is>
      </c>
      <c r="N229" s="5" t="inlineStr"/>
      <c r="O229" s="5" t="inlineStr"/>
    </row>
    <row r="230">
      <c r="A230" s="5" t="n">
        <v>229</v>
      </c>
      <c r="B230" s="5" t="n">
        <v>3</v>
      </c>
      <c r="C230" s="5" t="inlineStr">
        <is>
          <t>15a</t>
        </is>
      </c>
      <c r="D230" s="5" t="inlineStr">
        <is>
          <t>To date, I have paid my attorney this amount for fees and costs (specify): $</t>
        </is>
      </c>
      <c r="E230" s="5" t="inlineStr">
        <is>
          <t>FL-150[0].Page3[0].List15[0].L1[0].FillText1[0]</t>
        </is>
      </c>
      <c r="F230" s="5" t="inlineStr">
        <is>
          <t>text</t>
        </is>
      </c>
      <c r="G230" s="5" t="inlineStr"/>
      <c r="H230" s="5" t="inlineStr"/>
      <c r="I230" s="5" t="inlineStr">
        <is>
          <t>365, 602, 480, 611</t>
        </is>
      </c>
      <c r="J230" s="5" t="inlineStr">
        <is>
          <t>question</t>
        </is>
      </c>
      <c r="K230" s="5" t="inlineStr">
        <is>
          <t>F13</t>
        </is>
      </c>
      <c r="L230" s="5">
        <f> money(F13.paid)</f>
        <v/>
      </c>
      <c r="M230" s="5" t="inlineStr">
        <is>
          <t>O26 and S5 == "Y"</t>
        </is>
      </c>
      <c r="N230" s="5" t="inlineStr"/>
      <c r="O230" s="5" t="inlineStr"/>
    </row>
    <row r="231">
      <c r="A231" s="5" t="n">
        <v>230</v>
      </c>
      <c r="B231" s="5" t="n">
        <v>3</v>
      </c>
      <c r="C231" s="5" t="inlineStr">
        <is>
          <t>15b</t>
        </is>
      </c>
      <c r="D231" s="5" t="inlineStr">
        <is>
          <t>The source of this money was (specify):</t>
        </is>
      </c>
      <c r="E231" s="5" t="inlineStr">
        <is>
          <t>FL-150[0].Page3[0].List15[0].L2[0].FillText1[0]</t>
        </is>
      </c>
      <c r="F231" s="5" t="inlineStr">
        <is>
          <t>text</t>
        </is>
      </c>
      <c r="G231" s="5" t="inlineStr"/>
      <c r="H231" s="5" t="inlineStr"/>
      <c r="I231" s="5" t="inlineStr">
        <is>
          <t>227, 615, 573, 624</t>
        </is>
      </c>
      <c r="J231" s="5" t="inlineStr">
        <is>
          <t>question</t>
        </is>
      </c>
      <c r="K231" s="5" t="inlineStr">
        <is>
          <t>F13</t>
        </is>
      </c>
      <c r="L231" s="5">
        <f> F13.source</f>
        <v/>
      </c>
      <c r="M231" s="5" t="inlineStr">
        <is>
          <t>O26 and S5 == "Y"</t>
        </is>
      </c>
      <c r="N231" s="5" t="inlineStr"/>
      <c r="O231" s="5" t="inlineStr"/>
    </row>
    <row r="232">
      <c r="A232" s="5" t="n">
        <v>231</v>
      </c>
      <c r="B232" s="5" t="n">
        <v>3</v>
      </c>
      <c r="C232" s="5" t="inlineStr">
        <is>
          <t>15c</t>
        </is>
      </c>
      <c r="D232" s="5" t="inlineStr">
        <is>
          <t>I still owe the following fees and costs to my attorney (specify total owed): $</t>
        </is>
      </c>
      <c r="E232" s="5" t="inlineStr">
        <is>
          <t>FL-150[0].Page3[0].List15[0].L3[0].FillText1[0]</t>
        </is>
      </c>
      <c r="F232" s="5" t="inlineStr">
        <is>
          <t>text</t>
        </is>
      </c>
      <c r="G232" s="5" t="inlineStr"/>
      <c r="H232" s="5" t="inlineStr"/>
      <c r="I232" s="5" t="inlineStr">
        <is>
          <t>366, 627, 481, 637</t>
        </is>
      </c>
      <c r="J232" s="5" t="inlineStr">
        <is>
          <t>question</t>
        </is>
      </c>
      <c r="K232" s="5" t="inlineStr">
        <is>
          <t>F13</t>
        </is>
      </c>
      <c r="L232" s="5">
        <f> money(F13.owed)</f>
        <v/>
      </c>
      <c r="M232" s="5" t="inlineStr">
        <is>
          <t>O26 and S5 == "Y"</t>
        </is>
      </c>
      <c r="N232" s="5" t="inlineStr"/>
      <c r="O232" s="5" t="inlineStr"/>
    </row>
    <row r="233">
      <c r="A233" s="5" t="n">
        <v>232</v>
      </c>
      <c r="B233" s="5" t="n">
        <v>3</v>
      </c>
      <c r="C233" s="5" t="inlineStr">
        <is>
          <t>15d</t>
        </is>
      </c>
      <c r="D233" s="5" t="inlineStr">
        <is>
          <t>My attorney's hourly rate is (specify):</t>
        </is>
      </c>
      <c r="E233" s="5" t="inlineStr">
        <is>
          <t>FL-150[0].Page3[0].List15[0].L4[0].FillText1[0]</t>
        </is>
      </c>
      <c r="F233" s="5" t="inlineStr">
        <is>
          <t>text</t>
        </is>
      </c>
      <c r="G233" s="5" t="inlineStr"/>
      <c r="H233" s="5" t="inlineStr"/>
      <c r="I233" s="5" t="inlineStr">
        <is>
          <t>214, 640, 368, 649</t>
        </is>
      </c>
      <c r="J233" s="5" t="inlineStr">
        <is>
          <t>question</t>
        </is>
      </c>
      <c r="K233" s="5" t="inlineStr">
        <is>
          <t>L6</t>
        </is>
      </c>
      <c r="L233" s="5">
        <f> money(L6)</f>
        <v/>
      </c>
      <c r="M233" s="5" t="inlineStr">
        <is>
          <t>O26 and S5 == "Y"</t>
        </is>
      </c>
      <c r="N233" s="5" t="inlineStr"/>
      <c r="O233" s="5" t="inlineStr"/>
    </row>
    <row r="234">
      <c r="A234" s="5" t="n">
        <v>233</v>
      </c>
      <c r="B234" s="5" t="n">
        <v>3</v>
      </c>
      <c r="C234" s="5" t="inlineStr">
        <is>
          <t>15 attorney</t>
        </is>
      </c>
      <c r="D234" s="5" t="inlineStr">
        <is>
          <t>Date:</t>
        </is>
      </c>
      <c r="E234" s="5" t="inlineStr">
        <is>
          <t>FL-150[0].Page3[0].Signsub[0].FillText1140[0]</t>
        </is>
      </c>
      <c r="F234" s="5" t="inlineStr">
        <is>
          <t>text</t>
        </is>
      </c>
      <c r="G234" s="5" t="inlineStr"/>
      <c r="H234" s="5" t="inlineStr"/>
      <c r="I234" s="5" t="inlineStr">
        <is>
          <t>61, 680, 169, 690</t>
        </is>
      </c>
      <c r="J234" s="5" t="inlineStr">
        <is>
          <t>question</t>
        </is>
      </c>
      <c r="K234" s="5" t="inlineStr">
        <is>
          <t>G1,G2</t>
        </is>
      </c>
      <c r="L234" s="5">
        <f> fmtDate(stage == 3 ? G2 : G1)</f>
        <v/>
      </c>
      <c r="M234" s="5" t="inlineStr">
        <is>
          <t>O26 and S5 == "Y"</t>
        </is>
      </c>
      <c r="N234" s="5" t="inlineStr"/>
      <c r="O234" s="5" t="inlineStr"/>
    </row>
    <row r="235">
      <c r="A235" s="5" t="n">
        <v>234</v>
      </c>
      <c r="B235" s="5" t="n">
        <v>3</v>
      </c>
      <c r="C235" s="5" t="inlineStr">
        <is>
          <t>15 attorney</t>
        </is>
      </c>
      <c r="D235" s="5" t="inlineStr">
        <is>
          <t>(TYPE OR PRINT NAME OF ATTORNEY)</t>
        </is>
      </c>
      <c r="E235" s="5" t="inlineStr">
        <is>
          <t>FL-150[0].Page3[0].Signsub[0].FillText56[0]</t>
        </is>
      </c>
      <c r="F235" s="5" t="inlineStr">
        <is>
          <t>text</t>
        </is>
      </c>
      <c r="G235" s="5" t="inlineStr"/>
      <c r="H235" s="5" t="inlineStr"/>
      <c r="I235" s="5" t="inlineStr">
        <is>
          <t>36, 693, 276, 708</t>
        </is>
      </c>
      <c r="J235" s="5" t="inlineStr">
        <is>
          <t>question</t>
        </is>
      </c>
      <c r="K235" s="5" t="inlineStr">
        <is>
          <t>L1</t>
        </is>
      </c>
      <c r="L235" s="5">
        <f> L1</f>
        <v/>
      </c>
      <c r="M235" s="5" t="inlineStr">
        <is>
          <t>O26 and S5 == "Y"</t>
        </is>
      </c>
      <c r="N235" s="5" t="inlineStr"/>
      <c r="O235" s="5" t="inlineStr"/>
    </row>
    <row r="236">
      <c r="A236" s="7" t="n">
        <v>235</v>
      </c>
      <c r="B236" s="7" t="n">
        <v>4</v>
      </c>
      <c r="C236" s="7" t="inlineStr">
        <is>
          <t>—</t>
        </is>
      </c>
      <c r="D236" s="7" t="inlineStr">
        <is>
          <t>For your protection and privacy, please press the Clear This Form button after you have printed the form.</t>
        </is>
      </c>
      <c r="E236" s="7" t="inlineStr">
        <is>
          <t>FL-150[0].#pageSet[0].LastPage[0].T23[0]</t>
        </is>
      </c>
      <c r="F236" s="7" t="inlineStr">
        <is>
          <t>button</t>
        </is>
      </c>
      <c r="G236" s="7" t="inlineStr"/>
      <c r="H236" s="7" t="inlineStr"/>
      <c r="I236" s="7" t="inlineStr">
        <is>
          <t>36, 756, 247, 779</t>
        </is>
      </c>
      <c r="J236" s="7" t="inlineStr">
        <is>
          <t>ignore (UI button)</t>
        </is>
      </c>
      <c r="K236" s="7" t="inlineStr"/>
      <c r="L236" s="7" t="inlineStr"/>
      <c r="M236" s="7" t="inlineStr"/>
      <c r="N236" s="7" t="inlineStr">
        <is>
          <t>Print/Save/Clear button. Do not fill.</t>
        </is>
      </c>
      <c r="O236" s="7" t="inlineStr"/>
    </row>
    <row r="237">
      <c r="A237" s="7" t="n">
        <v>236</v>
      </c>
      <c r="B237" s="7" t="n">
        <v>4</v>
      </c>
      <c r="C237" s="7" t="inlineStr">
        <is>
          <t>—</t>
        </is>
      </c>
      <c r="D237" s="7" t="inlineStr">
        <is>
          <t>Print this form</t>
        </is>
      </c>
      <c r="E237" s="7" t="inlineStr">
        <is>
          <t>FL-150[0].#pageSet[0].LastPage[0].Print_bt[0]</t>
        </is>
      </c>
      <c r="F237" s="7" t="inlineStr">
        <is>
          <t>button</t>
        </is>
      </c>
      <c r="G237" s="7" t="inlineStr"/>
      <c r="H237" s="7" t="inlineStr"/>
      <c r="I237" s="7" t="inlineStr">
        <is>
          <t>258, 756, 339, 773</t>
        </is>
      </c>
      <c r="J237" s="7" t="inlineStr">
        <is>
          <t>ignore (UI button)</t>
        </is>
      </c>
      <c r="K237" s="7" t="inlineStr"/>
      <c r="L237" s="7" t="inlineStr"/>
      <c r="M237" s="7" t="inlineStr"/>
      <c r="N237" s="7" t="inlineStr">
        <is>
          <t>Print/Save/Clear button. Do not fill.</t>
        </is>
      </c>
      <c r="O237" s="7" t="inlineStr"/>
    </row>
    <row r="238">
      <c r="A238" s="7" t="n">
        <v>237</v>
      </c>
      <c r="B238" s="7" t="n">
        <v>4</v>
      </c>
      <c r="C238" s="7" t="inlineStr">
        <is>
          <t>—</t>
        </is>
      </c>
      <c r="D238" s="7" t="inlineStr">
        <is>
          <t>Save this form</t>
        </is>
      </c>
      <c r="E238" s="7" t="inlineStr">
        <is>
          <t>FL-150[0].#pageSet[0].LastPage[0].Save_bt[0]</t>
        </is>
      </c>
      <c r="F238" s="7" t="inlineStr">
        <is>
          <t>button</t>
        </is>
      </c>
      <c r="G238" s="7" t="inlineStr"/>
      <c r="H238" s="7" t="inlineStr"/>
      <c r="I238" s="7" t="inlineStr">
        <is>
          <t>345, 756, 426, 773</t>
        </is>
      </c>
      <c r="J238" s="7" t="inlineStr">
        <is>
          <t>ignore (UI button)</t>
        </is>
      </c>
      <c r="K238" s="7" t="inlineStr"/>
      <c r="L238" s="7" t="inlineStr"/>
      <c r="M238" s="7" t="inlineStr"/>
      <c r="N238" s="7" t="inlineStr">
        <is>
          <t>Print/Save/Clear button. Do not fill.</t>
        </is>
      </c>
      <c r="O238" s="7" t="inlineStr"/>
    </row>
    <row r="239">
      <c r="A239" s="7" t="n">
        <v>238</v>
      </c>
      <c r="B239" s="7" t="n">
        <v>4</v>
      </c>
      <c r="C239" s="7" t="inlineStr">
        <is>
          <t>—</t>
        </is>
      </c>
      <c r="D239" s="7" t="inlineStr">
        <is>
          <t>Clear this form</t>
        </is>
      </c>
      <c r="E239" s="7" t="inlineStr">
        <is>
          <t>FL-150[0].#pageSet[0].LastPage[0].Reset_bt[0]</t>
        </is>
      </c>
      <c r="F239" s="7" t="inlineStr">
        <is>
          <t>button</t>
        </is>
      </c>
      <c r="G239" s="7" t="inlineStr"/>
      <c r="H239" s="7" t="inlineStr"/>
      <c r="I239" s="7" t="inlineStr">
        <is>
          <t>494, 756, 575, 773</t>
        </is>
      </c>
      <c r="J239" s="7" t="inlineStr">
        <is>
          <t>ignore (UI button)</t>
        </is>
      </c>
      <c r="K239" s="7" t="inlineStr"/>
      <c r="L239" s="7" t="inlineStr"/>
      <c r="M239" s="7" t="inlineStr"/>
      <c r="N239" s="7" t="inlineStr">
        <is>
          <t>Print/Save/Clear button. Do not fill.</t>
        </is>
      </c>
      <c r="O239" s="7" t="inlineStr"/>
    </row>
    <row r="240">
      <c r="A240" s="5" t="n">
        <v>239</v>
      </c>
      <c r="B240" s="5" t="n">
        <v>4</v>
      </c>
      <c r="C240" s="5" t="inlineStr">
        <is>
          <t>Caption</t>
        </is>
      </c>
      <c r="D240" s="5" t="inlineStr">
        <is>
          <t>CASE NUMBER:</t>
        </is>
      </c>
      <c r="E240" s="5" t="inlineStr">
        <is>
          <t>FL-150[0].Page4[0].PxCaption_sf[0].CaseNumber[0].CaseNumber_ft[0]</t>
        </is>
      </c>
      <c r="F240" s="5" t="inlineStr">
        <is>
          <t>text</t>
        </is>
      </c>
      <c r="G240" s="5" t="inlineStr"/>
      <c r="H240" s="5" t="inlineStr"/>
      <c r="I240" s="5" t="inlineStr">
        <is>
          <t>400, 57, 572, 71</t>
        </is>
      </c>
      <c r="J240" s="5" t="inlineStr">
        <is>
          <t>question</t>
        </is>
      </c>
      <c r="K240" s="5" t="inlineStr">
        <is>
          <t>S4,X0</t>
        </is>
      </c>
      <c r="L240" s="5">
        <f> X0 ?? S4</f>
        <v/>
      </c>
      <c r="M240" s="5" t="inlineStr">
        <is>
          <t>known; otherwise blank for clerk</t>
        </is>
      </c>
      <c r="N240" s="5" t="inlineStr"/>
      <c r="O240" s="5" t="inlineStr"/>
    </row>
    <row r="241">
      <c r="A241" s="5" t="n">
        <v>240</v>
      </c>
      <c r="B241" s="5" t="n">
        <v>4</v>
      </c>
      <c r="C241" s="5" t="inlineStr">
        <is>
          <t>Caption</t>
        </is>
      </c>
      <c r="D241" s="5" t="inlineStr">
        <is>
          <t>PETITIONER:</t>
        </is>
      </c>
      <c r="E241" s="5" t="inlineStr">
        <is>
          <t>FL-150[0].Page4[0].PxCaption_sf[0].TitlePartyName[0].Party1_ft[0]</t>
        </is>
      </c>
      <c r="F241" s="5" t="inlineStr">
        <is>
          <t>text</t>
        </is>
      </c>
      <c r="G241" s="5" t="inlineStr"/>
      <c r="H241" s="5" t="inlineStr"/>
      <c r="I241" s="5" t="inlineStr">
        <is>
          <t>191, 49, 394, 60</t>
        </is>
      </c>
      <c r="J241" s="5" t="inlineStr">
        <is>
          <t>question</t>
        </is>
      </c>
      <c r="K241" s="5" t="inlineStr">
        <is>
          <t>P1</t>
        </is>
      </c>
      <c r="L241" s="5">
        <f> P1</f>
        <v/>
      </c>
      <c r="M241" s="5" t="inlineStr"/>
      <c r="N241" s="5" t="inlineStr"/>
      <c r="O241" s="5" t="inlineStr"/>
    </row>
    <row r="242">
      <c r="A242" s="5" t="n">
        <v>241</v>
      </c>
      <c r="B242" s="5" t="n">
        <v>4</v>
      </c>
      <c r="C242" s="5" t="inlineStr">
        <is>
          <t>Caption</t>
        </is>
      </c>
      <c r="D242" s="5" t="inlineStr">
        <is>
          <t>RESPONDENT:</t>
        </is>
      </c>
      <c r="E242" s="5" t="inlineStr">
        <is>
          <t>FL-150[0].Page4[0].PxCaption_sf[0].TitlePartyName[0].Party2_ft[0]</t>
        </is>
      </c>
      <c r="F242" s="5" t="inlineStr">
        <is>
          <t>text</t>
        </is>
      </c>
      <c r="G242" s="5" t="inlineStr"/>
      <c r="H242" s="5" t="inlineStr"/>
      <c r="I242" s="5" t="inlineStr">
        <is>
          <t>192, 62, 394, 74</t>
        </is>
      </c>
      <c r="J242" s="5" t="inlineStr">
        <is>
          <t>question</t>
        </is>
      </c>
      <c r="K242" s="5" t="inlineStr">
        <is>
          <t>R1</t>
        </is>
      </c>
      <c r="L242" s="5">
        <f> R1</f>
        <v/>
      </c>
      <c r="M242" s="5" t="inlineStr"/>
      <c r="N242" s="5" t="inlineStr"/>
      <c r="O242" s="5" t="inlineStr"/>
    </row>
    <row r="243">
      <c r="A243" s="5" t="n">
        <v>242</v>
      </c>
      <c r="B243" s="5" t="n">
        <v>4</v>
      </c>
      <c r="C243" s="5" t="inlineStr">
        <is>
          <t>Caption</t>
        </is>
      </c>
      <c r="D243" s="5" t="inlineStr">
        <is>
          <t>OTHER PARTY/PARENT/CLAIMANT:</t>
        </is>
      </c>
      <c r="E243" s="5" t="inlineStr">
        <is>
          <t>FL-150[0].Page4[0].PxCaption_sf[0].TitlePartyName[0].Party3_ft[0]</t>
        </is>
      </c>
      <c r="F243" s="5" t="inlineStr">
        <is>
          <t>text</t>
        </is>
      </c>
      <c r="G243" s="5" t="inlineStr"/>
      <c r="H243" s="5" t="inlineStr"/>
      <c r="I243" s="5" t="inlineStr">
        <is>
          <t>192, 76, 394, 87</t>
        </is>
      </c>
      <c r="J243" s="5" t="inlineStr">
        <is>
          <t>question</t>
        </is>
      </c>
      <c r="K243" s="5" t="inlineStr">
        <is>
          <t>PR13</t>
        </is>
      </c>
      <c r="L243" s="5">
        <f> PR13.name</f>
        <v/>
      </c>
      <c r="M243" s="5" t="inlineStr">
        <is>
          <t>PR13 given</t>
        </is>
      </c>
      <c r="N243" s="5" t="inlineStr"/>
      <c r="O243" s="5" t="inlineStr"/>
    </row>
    <row r="244">
      <c r="A244" s="5" t="n">
        <v>243</v>
      </c>
      <c r="B244" s="5" t="n">
        <v>4</v>
      </c>
      <c r="C244" s="5" t="inlineStr">
        <is>
          <t>17a</t>
        </is>
      </c>
      <c r="D244" s="5" t="inlineStr">
        <is>
          <t>I do</t>
        </is>
      </c>
      <c r="E244" s="5" t="inlineStr">
        <is>
          <t>FL-150[0].Page4[0].List17[0].L1[0].ChildHC_cb[0]</t>
        </is>
      </c>
      <c r="F244" s="5" t="inlineStr">
        <is>
          <t>checkbox</t>
        </is>
      </c>
      <c r="G244" s="5" t="inlineStr">
        <is>
          <t>1</t>
        </is>
      </c>
      <c r="H244" s="5" t="inlineStr"/>
      <c r="I244" s="5" t="inlineStr">
        <is>
          <t>70, 259, 79, 268</t>
        </is>
      </c>
      <c r="J244" s="5" t="inlineStr">
        <is>
          <t>question</t>
        </is>
      </c>
      <c r="K244" s="5" t="inlineStr">
        <is>
          <t>F17</t>
        </is>
      </c>
      <c r="L244" s="5" t="inlineStr">
        <is>
          <t>check if F17.available == "Y"</t>
        </is>
      </c>
      <c r="M244" s="5" t="inlineStr">
        <is>
          <t>O24</t>
        </is>
      </c>
      <c r="N244" s="5" t="inlineStr"/>
      <c r="O244" s="5" t="inlineStr"/>
    </row>
    <row r="245">
      <c r="A245" s="5" t="n">
        <v>244</v>
      </c>
      <c r="B245" s="5" t="n">
        <v>4</v>
      </c>
      <c r="C245" s="5" t="inlineStr">
        <is>
          <t>17a</t>
        </is>
      </c>
      <c r="D245" s="5" t="inlineStr">
        <is>
          <t>I do not</t>
        </is>
      </c>
      <c r="E245" s="5" t="inlineStr">
        <is>
          <t>FL-150[0].Page4[0].List17[0].L1[0].ChildHC_cb[1]</t>
        </is>
      </c>
      <c r="F245" s="5" t="inlineStr">
        <is>
          <t>checkbox</t>
        </is>
      </c>
      <c r="G245" s="5" t="inlineStr">
        <is>
          <t>3</t>
        </is>
      </c>
      <c r="H245" s="5" t="inlineStr"/>
      <c r="I245" s="5" t="inlineStr">
        <is>
          <t>127, 259, 136, 268</t>
        </is>
      </c>
      <c r="J245" s="5" t="inlineStr">
        <is>
          <t>question</t>
        </is>
      </c>
      <c r="K245" s="5" t="inlineStr">
        <is>
          <t>F17</t>
        </is>
      </c>
      <c r="L245" s="5" t="inlineStr">
        <is>
          <t>check if F17.available == "N"</t>
        </is>
      </c>
      <c r="M245" s="5" t="inlineStr">
        <is>
          <t>O24</t>
        </is>
      </c>
      <c r="N245" s="5" t="inlineStr"/>
      <c r="O245" s="5" t="inlineStr"/>
    </row>
    <row r="246">
      <c r="A246" s="5" t="n">
        <v>245</v>
      </c>
      <c r="B246" s="5" t="n">
        <v>4</v>
      </c>
      <c r="C246" s="5" t="inlineStr">
        <is>
          <t>17b</t>
        </is>
      </c>
      <c r="D246" s="5" t="inlineStr">
        <is>
          <t>Name of insurance company:</t>
        </is>
      </c>
      <c r="E246" s="5" t="inlineStr">
        <is>
          <t>FL-150[0].Page4[0].List17[0].L2[0].FillText1[0]</t>
        </is>
      </c>
      <c r="F246" s="5" t="inlineStr">
        <is>
          <t>text</t>
        </is>
      </c>
      <c r="G246" s="5" t="inlineStr"/>
      <c r="H246" s="5" t="inlineStr"/>
      <c r="I246" s="5" t="inlineStr">
        <is>
          <t>186, 273, 573, 282</t>
        </is>
      </c>
      <c r="J246" s="5" t="inlineStr">
        <is>
          <t>question</t>
        </is>
      </c>
      <c r="K246" s="5" t="inlineStr">
        <is>
          <t>F17</t>
        </is>
      </c>
      <c r="L246" s="5">
        <f> F17.company</f>
        <v/>
      </c>
      <c r="M246" s="5" t="inlineStr">
        <is>
          <t>F17.available == "Y"</t>
        </is>
      </c>
      <c r="N246" s="5" t="inlineStr"/>
      <c r="O246" s="5" t="inlineStr"/>
    </row>
    <row r="247">
      <c r="A247" s="5" t="n">
        <v>246</v>
      </c>
      <c r="B247" s="5" t="n">
        <v>4</v>
      </c>
      <c r="C247" s="5" t="inlineStr">
        <is>
          <t>17c</t>
        </is>
      </c>
      <c r="D247" s="5" t="inlineStr">
        <is>
          <t>Address of insurance company:</t>
        </is>
      </c>
      <c r="E247" s="5" t="inlineStr">
        <is>
          <t>FL-150[0].Page4[0].List17[0].L3[0].TextField6[0]</t>
        </is>
      </c>
      <c r="F247" s="5" t="inlineStr">
        <is>
          <t>text</t>
        </is>
      </c>
      <c r="G247" s="5" t="inlineStr"/>
      <c r="H247" s="5" t="inlineStr"/>
      <c r="I247" s="5" t="inlineStr">
        <is>
          <t>64, 297, 575, 333</t>
        </is>
      </c>
      <c r="J247" s="5" t="inlineStr">
        <is>
          <t>question</t>
        </is>
      </c>
      <c r="K247" s="5" t="inlineStr">
        <is>
          <t>F17</t>
        </is>
      </c>
      <c r="L247" s="5">
        <f> oneLine(F17.address)</f>
        <v/>
      </c>
      <c r="M247" s="5" t="inlineStr">
        <is>
          <t>F17.available == "Y"</t>
        </is>
      </c>
      <c r="N247" s="5" t="inlineStr"/>
      <c r="O247" s="5" t="inlineStr"/>
    </row>
    <row r="248">
      <c r="A248" s="5" t="n">
        <v>247</v>
      </c>
      <c r="B248" s="5" t="n">
        <v>4</v>
      </c>
      <c r="C248" s="5" t="inlineStr">
        <is>
          <t>17d</t>
        </is>
      </c>
      <c r="D248" s="5" t="inlineStr">
        <is>
          <t>The monthly cost for the children's health insurance is or would be (specify): $</t>
        </is>
      </c>
      <c r="E248" s="5" t="inlineStr">
        <is>
          <t>FL-150[0].Page4[0].List17[0].L4[0].FillText1[0]</t>
        </is>
      </c>
      <c r="F248" s="5" t="inlineStr">
        <is>
          <t>text</t>
        </is>
      </c>
      <c r="G248" s="5" t="inlineStr"/>
      <c r="H248" s="5" t="inlineStr"/>
      <c r="I248" s="5" t="inlineStr">
        <is>
          <t>383, 335, 481, 344</t>
        </is>
      </c>
      <c r="J248" s="5" t="inlineStr">
        <is>
          <t>question</t>
        </is>
      </c>
      <c r="K248" s="5" t="inlineStr">
        <is>
          <t>F17</t>
        </is>
      </c>
      <c r="L248" s="5">
        <f> money(F17.cost)</f>
        <v/>
      </c>
      <c r="M248" s="5" t="inlineStr">
        <is>
          <t>F17.available == "Y"</t>
        </is>
      </c>
      <c r="N248" s="5" t="inlineStr"/>
      <c r="O248" s="5" t="inlineStr"/>
    </row>
    <row r="249">
      <c r="A249" s="6" t="n">
        <v>248</v>
      </c>
      <c r="B249" s="6" t="n">
        <v>4</v>
      </c>
      <c r="C249" s="6" t="inlineStr">
        <is>
          <t>16a</t>
        </is>
      </c>
      <c r="D249" s="6" t="inlineStr">
        <is>
          <t>(specify number):</t>
        </is>
      </c>
      <c r="E249" s="6" t="inlineStr">
        <is>
          <t>FL-150[0].Page4[0].List16[0].L1[0].TextField6[0]</t>
        </is>
      </c>
      <c r="F249" s="6" t="inlineStr">
        <is>
          <t>text</t>
        </is>
      </c>
      <c r="G249" s="6" t="inlineStr"/>
      <c r="H249" s="6" t="inlineStr"/>
      <c r="I249" s="6" t="inlineStr">
        <is>
          <t>164, 147, 278, 158</t>
        </is>
      </c>
      <c r="J249" s="6" t="inlineStr">
        <is>
          <t>derived</t>
        </is>
      </c>
      <c r="K249" s="6" t="inlineStr">
        <is>
          <t>PR7</t>
        </is>
      </c>
      <c r="L249" s="6">
        <f> kids.length</f>
        <v/>
      </c>
      <c r="M249" s="6" t="inlineStr">
        <is>
          <t>O24</t>
        </is>
      </c>
      <c r="N249" s="6" t="inlineStr"/>
      <c r="O249" s="6" t="inlineStr"/>
    </row>
    <row r="250">
      <c r="A250" s="5" t="n">
        <v>249</v>
      </c>
      <c r="B250" s="5" t="n">
        <v>4</v>
      </c>
      <c r="C250" s="5" t="inlineStr">
        <is>
          <t>16b</t>
        </is>
      </c>
      <c r="D250" s="5" t="inlineStr">
        <is>
          <t>percent of their time with me and</t>
        </is>
      </c>
      <c r="E250" s="5" t="inlineStr">
        <is>
          <t>FL-150[0].Page4[0].List16[0].L2[0].TextField[0]</t>
        </is>
      </c>
      <c r="F250" s="5" t="inlineStr">
        <is>
          <t>text</t>
        </is>
      </c>
      <c r="G250" s="5" t="inlineStr"/>
      <c r="H250" s="5" t="inlineStr"/>
      <c r="I250" s="5" t="inlineStr">
        <is>
          <t>145, 161, 199, 171</t>
        </is>
      </c>
      <c r="J250" s="5" t="inlineStr">
        <is>
          <t>question</t>
        </is>
      </c>
      <c r="K250" s="5" t="inlineStr">
        <is>
          <t>F16</t>
        </is>
      </c>
      <c r="L250" s="5">
        <f> F16.percentMe</f>
        <v/>
      </c>
      <c r="M250" s="5" t="inlineStr">
        <is>
          <t>O24</t>
        </is>
      </c>
      <c r="N250" s="5" t="inlineStr"/>
      <c r="O250" s="5" t="inlineStr"/>
    </row>
    <row r="251">
      <c r="A251" s="5" t="n">
        <v>250</v>
      </c>
      <c r="B251" s="5" t="n">
        <v>4</v>
      </c>
      <c r="C251" s="5" t="inlineStr">
        <is>
          <t>16b</t>
        </is>
      </c>
      <c r="D251" s="5" t="inlineStr">
        <is>
          <t>percent of their time with the other parent.</t>
        </is>
      </c>
      <c r="E251" s="5" t="inlineStr">
        <is>
          <t>FL-150[0].Page4[0].List16[0].L2[0].TextField1[0]</t>
        </is>
      </c>
      <c r="F251" s="5" t="inlineStr">
        <is>
          <t>text</t>
        </is>
      </c>
      <c r="G251" s="5" t="inlineStr"/>
      <c r="H251" s="5" t="inlineStr"/>
      <c r="I251" s="5" t="inlineStr">
        <is>
          <t>335, 161, 392, 171</t>
        </is>
      </c>
      <c r="J251" s="5" t="inlineStr">
        <is>
          <t>question</t>
        </is>
      </c>
      <c r="K251" s="5" t="inlineStr">
        <is>
          <t>F16</t>
        </is>
      </c>
      <c r="L251" s="5">
        <f> F16.percentRespondent</f>
        <v/>
      </c>
      <c r="M251" s="5" t="inlineStr">
        <is>
          <t>O24</t>
        </is>
      </c>
      <c r="N251" s="5" t="inlineStr"/>
      <c r="O251" s="5" t="inlineStr"/>
    </row>
    <row r="252">
      <c r="A252" s="5" t="n">
        <v>251</v>
      </c>
      <c r="B252" s="5" t="n">
        <v>4</v>
      </c>
      <c r="C252" s="5" t="inlineStr">
        <is>
          <t>16b</t>
        </is>
      </c>
      <c r="D252" s="5" t="inlineStr">
        <is>
          <t>(If you're not sure about percentage or it has not been agreed on, please describe your parenting schedule here.)</t>
        </is>
      </c>
      <c r="E252" s="5" t="inlineStr">
        <is>
          <t>FL-150[0].Page4[0].List16[0].L2[0].TextField6[0]</t>
        </is>
      </c>
      <c r="F252" s="5" t="inlineStr">
        <is>
          <t>text</t>
        </is>
      </c>
      <c r="G252" s="5" t="inlineStr"/>
      <c r="H252" s="5" t="inlineStr"/>
      <c r="I252" s="5" t="inlineStr">
        <is>
          <t>65, 183, 576, 241</t>
        </is>
      </c>
      <c r="J252" s="5" t="inlineStr">
        <is>
          <t>question</t>
        </is>
      </c>
      <c r="K252" s="5" t="inlineStr">
        <is>
          <t>F16</t>
        </is>
      </c>
      <c r="L252" s="5">
        <f> F16.schedule</f>
        <v/>
      </c>
      <c r="M252" s="5" t="inlineStr">
        <is>
          <t>O24</t>
        </is>
      </c>
      <c r="N252" s="5" t="inlineStr"/>
      <c r="O252" s="5" t="inlineStr"/>
    </row>
    <row r="253">
      <c r="A253" s="5" t="n">
        <v>252</v>
      </c>
      <c r="B253" s="5" t="n">
        <v>4</v>
      </c>
      <c r="C253" s="5" t="inlineStr">
        <is>
          <t>18a</t>
        </is>
      </c>
      <c r="D253" s="5" t="inlineStr">
        <is>
          <t>Amount per month</t>
        </is>
      </c>
      <c r="E253" s="5" t="inlineStr">
        <is>
          <t>FL-150[0].Page4[0].List18[0].L1[0].FillText1[0]</t>
        </is>
      </c>
      <c r="F253" s="5" t="inlineStr">
        <is>
          <t>text</t>
        </is>
      </c>
      <c r="G253" s="5" t="inlineStr"/>
      <c r="H253" s="5" t="inlineStr"/>
      <c r="I253" s="5" t="inlineStr">
        <is>
          <t>415, 381, 493, 391</t>
        </is>
      </c>
      <c r="J253" s="5" t="inlineStr">
        <is>
          <t>question</t>
        </is>
      </c>
      <c r="K253" s="5" t="inlineStr">
        <is>
          <t>F18</t>
        </is>
      </c>
      <c r="L253" s="5">
        <f> money(F18["childcare for work"])</f>
        <v/>
      </c>
      <c r="M253" s="5" t="inlineStr">
        <is>
          <t>O24</t>
        </is>
      </c>
      <c r="N253" s="5" t="inlineStr"/>
      <c r="O253" s="5" t="inlineStr"/>
    </row>
    <row r="254">
      <c r="A254" s="5" t="n">
        <v>253</v>
      </c>
      <c r="B254" s="5" t="n">
        <v>4</v>
      </c>
      <c r="C254" s="5" t="inlineStr">
        <is>
          <t>18b</t>
        </is>
      </c>
      <c r="D254" s="5" t="inlineStr">
        <is>
          <t>Amount per month</t>
        </is>
      </c>
      <c r="E254" s="5" t="inlineStr">
        <is>
          <t>FL-150[0].Page4[0].List18[0].L2[0].FillText1[0]</t>
        </is>
      </c>
      <c r="F254" s="5" t="inlineStr">
        <is>
          <t>text</t>
        </is>
      </c>
      <c r="G254" s="5" t="inlineStr"/>
      <c r="H254" s="5" t="inlineStr"/>
      <c r="I254" s="5" t="inlineStr">
        <is>
          <t>415, 393, 493, 403</t>
        </is>
      </c>
      <c r="J254" s="5" t="inlineStr">
        <is>
          <t>question</t>
        </is>
      </c>
      <c r="K254" s="5" t="inlineStr">
        <is>
          <t>F18</t>
        </is>
      </c>
      <c r="L254" s="5">
        <f> money(F18["uninsured health care"])</f>
        <v/>
      </c>
      <c r="M254" s="5" t="inlineStr">
        <is>
          <t>O24</t>
        </is>
      </c>
      <c r="N254" s="5" t="inlineStr"/>
      <c r="O254" s="5" t="inlineStr"/>
    </row>
    <row r="255">
      <c r="A255" s="5" t="n">
        <v>254</v>
      </c>
      <c r="B255" s="5" t="n">
        <v>4</v>
      </c>
      <c r="C255" s="5" t="inlineStr">
        <is>
          <t>18c</t>
        </is>
      </c>
      <c r="D255" s="5" t="inlineStr">
        <is>
          <t>Amount per month</t>
        </is>
      </c>
      <c r="E255" s="5" t="inlineStr">
        <is>
          <t>FL-150[0].Page4[0].List18[0].L3[0].FillText1[0]</t>
        </is>
      </c>
      <c r="F255" s="5" t="inlineStr">
        <is>
          <t>text</t>
        </is>
      </c>
      <c r="G255" s="5" t="inlineStr"/>
      <c r="H255" s="5" t="inlineStr"/>
      <c r="I255" s="5" t="inlineStr">
        <is>
          <t>415, 406, 493, 416</t>
        </is>
      </c>
      <c r="J255" s="5" t="inlineStr">
        <is>
          <t>question</t>
        </is>
      </c>
      <c r="K255" s="5" t="inlineStr">
        <is>
          <t>F18</t>
        </is>
      </c>
      <c r="L255" s="5">
        <f> money(F18["visitation travel"])</f>
        <v/>
      </c>
      <c r="M255" s="5" t="inlineStr">
        <is>
          <t>O24</t>
        </is>
      </c>
      <c r="N255" s="5" t="inlineStr"/>
      <c r="O255" s="5" t="inlineStr"/>
    </row>
    <row r="256">
      <c r="A256" s="5" t="n">
        <v>255</v>
      </c>
      <c r="B256" s="5" t="n">
        <v>4</v>
      </c>
      <c r="C256" s="5" t="inlineStr">
        <is>
          <t>18d</t>
        </is>
      </c>
      <c r="D256" s="5" t="inlineStr">
        <is>
          <t>Children's educational or other special needs (specify below):.....................................</t>
        </is>
      </c>
      <c r="E256" s="5" t="inlineStr">
        <is>
          <t>FL-150[0].Page4[0].List18[0].L4[0].FillText1[0]</t>
        </is>
      </c>
      <c r="F256" s="5" t="inlineStr">
        <is>
          <t>text</t>
        </is>
      </c>
      <c r="G256" s="5" t="inlineStr"/>
      <c r="H256" s="5" t="inlineStr"/>
      <c r="I256" s="5" t="inlineStr">
        <is>
          <t>67, 430, 404, 441</t>
        </is>
      </c>
      <c r="J256" s="5" t="inlineStr">
        <is>
          <t>question</t>
        </is>
      </c>
      <c r="K256" s="5" t="inlineStr">
        <is>
          <t>F18</t>
        </is>
      </c>
      <c r="L256" s="5">
        <f> F18.specialNeedsDescribe</f>
        <v/>
      </c>
      <c r="M256" s="5" t="inlineStr">
        <is>
          <t>O24</t>
        </is>
      </c>
      <c r="N256" s="5" t="inlineStr"/>
      <c r="O256" s="5" t="inlineStr"/>
    </row>
    <row r="257">
      <c r="A257" s="5" t="n">
        <v>256</v>
      </c>
      <c r="B257" s="5" t="n">
        <v>4</v>
      </c>
      <c r="C257" s="5" t="inlineStr">
        <is>
          <t>18d</t>
        </is>
      </c>
      <c r="D257" s="5" t="inlineStr">
        <is>
          <t>Amount per month</t>
        </is>
      </c>
      <c r="E257" s="5" t="inlineStr">
        <is>
          <t>FL-150[0].Page4[0].List18[0].L4[0].FillText2[0]</t>
        </is>
      </c>
      <c r="F257" s="5" t="inlineStr">
        <is>
          <t>text</t>
        </is>
      </c>
      <c r="G257" s="5" t="inlineStr"/>
      <c r="H257" s="5" t="inlineStr"/>
      <c r="I257" s="5" t="inlineStr">
        <is>
          <t>415, 420, 493, 430</t>
        </is>
      </c>
      <c r="J257" s="5" t="inlineStr">
        <is>
          <t>question</t>
        </is>
      </c>
      <c r="K257" s="5" t="inlineStr">
        <is>
          <t>F18</t>
        </is>
      </c>
      <c r="L257" s="5">
        <f> money(F18["special needs"])</f>
        <v/>
      </c>
      <c r="M257" s="5" t="inlineStr">
        <is>
          <t>O24</t>
        </is>
      </c>
      <c r="N257" s="5" t="inlineStr"/>
      <c r="O257" s="5" t="inlineStr"/>
    </row>
    <row r="258">
      <c r="A258" s="5" t="n">
        <v>257</v>
      </c>
      <c r="B258" s="5" t="n">
        <v>4</v>
      </c>
      <c r="C258" s="5" t="inlineStr">
        <is>
          <t>19a</t>
        </is>
      </c>
      <c r="D258" s="5" t="inlineStr">
        <is>
          <t>Amount per month</t>
        </is>
      </c>
      <c r="E258" s="5" t="inlineStr">
        <is>
          <t>FL-150[0].Page4[0].List19[0].L1[0].FillText1[0]</t>
        </is>
      </c>
      <c r="F258" s="5" t="inlineStr">
        <is>
          <t>text</t>
        </is>
      </c>
      <c r="G258" s="5" t="inlineStr"/>
      <c r="H258" s="5" t="inlineStr"/>
      <c r="I258" s="5" t="inlineStr">
        <is>
          <t>392, 473, 469, 483</t>
        </is>
      </c>
      <c r="J258" s="5" t="inlineStr">
        <is>
          <t>question</t>
        </is>
      </c>
      <c r="K258" s="5" t="inlineStr">
        <is>
          <t>F19</t>
        </is>
      </c>
      <c r="L258" s="5">
        <f> money(F19.health.amount)</f>
        <v/>
      </c>
      <c r="M258" s="5" t="inlineStr">
        <is>
          <t>O24</t>
        </is>
      </c>
      <c r="N258" s="5" t="inlineStr"/>
      <c r="O258" s="5" t="inlineStr"/>
    </row>
    <row r="259">
      <c r="A259" s="5" t="n">
        <v>258</v>
      </c>
      <c r="B259" s="5" t="n">
        <v>4</v>
      </c>
      <c r="C259" s="5" t="inlineStr">
        <is>
          <t>19a</t>
        </is>
      </c>
      <c r="D259" s="5" t="inlineStr">
        <is>
          <t>For how many months?</t>
        </is>
      </c>
      <c r="E259" s="5" t="inlineStr">
        <is>
          <t>FL-150[0].Page4[0].List19[0].L1[0].TextField24[0]</t>
        </is>
      </c>
      <c r="F259" s="5" t="inlineStr">
        <is>
          <t>text</t>
        </is>
      </c>
      <c r="G259" s="5" t="inlineStr"/>
      <c r="H259" s="5" t="inlineStr"/>
      <c r="I259" s="5" t="inlineStr">
        <is>
          <t>480, 473, 576, 485</t>
        </is>
      </c>
      <c r="J259" s="5" t="inlineStr">
        <is>
          <t>question</t>
        </is>
      </c>
      <c r="K259" s="5" t="inlineStr">
        <is>
          <t>F19</t>
        </is>
      </c>
      <c r="L259" s="5">
        <f> F19.health.months</f>
        <v/>
      </c>
      <c r="M259" s="5" t="inlineStr">
        <is>
          <t>O24</t>
        </is>
      </c>
      <c r="N259" s="5" t="inlineStr"/>
      <c r="O259" s="5" t="inlineStr"/>
    </row>
    <row r="260">
      <c r="A260" s="5" t="n">
        <v>259</v>
      </c>
      <c r="B260" s="5" t="n">
        <v>4</v>
      </c>
      <c r="C260" s="5" t="inlineStr">
        <is>
          <t>19b</t>
        </is>
      </c>
      <c r="D260" s="5" t="inlineStr">
        <is>
          <t>Amount per month</t>
        </is>
      </c>
      <c r="E260" s="5" t="inlineStr">
        <is>
          <t>FL-150[0].Page4[0].List19[0].L2[0].FillText1[0]</t>
        </is>
      </c>
      <c r="F260" s="5" t="inlineStr">
        <is>
          <t>text</t>
        </is>
      </c>
      <c r="G260" s="5" t="inlineStr"/>
      <c r="H260" s="5" t="inlineStr"/>
      <c r="I260" s="5" t="inlineStr">
        <is>
          <t>392, 494, 469, 504</t>
        </is>
      </c>
      <c r="J260" s="5" t="inlineStr">
        <is>
          <t>question</t>
        </is>
      </c>
      <c r="K260" s="5" t="inlineStr">
        <is>
          <t>F19</t>
        </is>
      </c>
      <c r="L260" s="5">
        <f> money(F19.losses.amount)</f>
        <v/>
      </c>
      <c r="M260" s="5" t="inlineStr">
        <is>
          <t>O24</t>
        </is>
      </c>
      <c r="N260" s="5" t="inlineStr"/>
      <c r="O260" s="5" t="inlineStr"/>
    </row>
    <row r="261">
      <c r="A261" s="5" t="n">
        <v>260</v>
      </c>
      <c r="B261" s="5" t="n">
        <v>4</v>
      </c>
      <c r="C261" s="5" t="inlineStr">
        <is>
          <t>19b</t>
        </is>
      </c>
      <c r="D261" s="5" t="inlineStr">
        <is>
          <t>For how many months?</t>
        </is>
      </c>
      <c r="E261" s="5" t="inlineStr">
        <is>
          <t>FL-150[0].Page4[0].List19[0].L2[0].TextField25[0]</t>
        </is>
      </c>
      <c r="F261" s="5" t="inlineStr">
        <is>
          <t>text</t>
        </is>
      </c>
      <c r="G261" s="5" t="inlineStr"/>
      <c r="H261" s="5" t="inlineStr"/>
      <c r="I261" s="5" t="inlineStr">
        <is>
          <t>480, 494, 576, 506</t>
        </is>
      </c>
      <c r="J261" s="5" t="inlineStr">
        <is>
          <t>question</t>
        </is>
      </c>
      <c r="K261" s="5" t="inlineStr">
        <is>
          <t>F19</t>
        </is>
      </c>
      <c r="L261" s="5">
        <f> F19.losses.months</f>
        <v/>
      </c>
      <c r="M261" s="5" t="inlineStr">
        <is>
          <t>O24</t>
        </is>
      </c>
      <c r="N261" s="5" t="inlineStr"/>
      <c r="O261" s="5" t="inlineStr"/>
    </row>
    <row r="262">
      <c r="A262" s="5" t="n">
        <v>261</v>
      </c>
      <c r="B262" s="5" t="n">
        <v>4</v>
      </c>
      <c r="C262" s="5" t="inlineStr">
        <is>
          <t>19c(1)</t>
        </is>
      </c>
      <c r="D262" s="5" t="inlineStr">
        <is>
          <t>Amount per month</t>
        </is>
      </c>
      <c r="E262" s="5" t="inlineStr">
        <is>
          <t>FL-150[0].Page4[0].List19[0].L3[0].List[0].L1[0].FillText1[0]</t>
        </is>
      </c>
      <c r="F262" s="5" t="inlineStr">
        <is>
          <t>text</t>
        </is>
      </c>
      <c r="G262" s="5" t="inlineStr"/>
      <c r="H262" s="5" t="inlineStr"/>
      <c r="I262" s="5" t="inlineStr">
        <is>
          <t>392, 517, 469, 527</t>
        </is>
      </c>
      <c r="J262" s="5" t="inlineStr">
        <is>
          <t>question</t>
        </is>
      </c>
      <c r="K262" s="5" t="inlineStr">
        <is>
          <t>F19</t>
        </is>
      </c>
      <c r="L262" s="5">
        <f> money(F19.otherChildren.amount)</f>
        <v/>
      </c>
      <c r="M262" s="5" t="inlineStr">
        <is>
          <t>O24</t>
        </is>
      </c>
      <c r="N262" s="5" t="inlineStr"/>
      <c r="O262" s="5" t="inlineStr"/>
    </row>
    <row r="263">
      <c r="A263" s="5" t="n">
        <v>262</v>
      </c>
      <c r="B263" s="5" t="n">
        <v>4</v>
      </c>
      <c r="C263" s="5" t="inlineStr">
        <is>
          <t>19c(1)</t>
        </is>
      </c>
      <c r="D263" s="5" t="inlineStr">
        <is>
          <t>For how many months?</t>
        </is>
      </c>
      <c r="E263" s="5" t="inlineStr">
        <is>
          <t>FL-150[0].Page4[0].List19[0].L3[0].List[0].L1[0].TextField26[0]</t>
        </is>
      </c>
      <c r="F263" s="5" t="inlineStr">
        <is>
          <t>text</t>
        </is>
      </c>
      <c r="G263" s="5" t="inlineStr"/>
      <c r="H263" s="5" t="inlineStr"/>
      <c r="I263" s="5" t="inlineStr">
        <is>
          <t>480, 517, 576, 529</t>
        </is>
      </c>
      <c r="J263" s="5" t="inlineStr">
        <is>
          <t>question</t>
        </is>
      </c>
      <c r="K263" s="5" t="inlineStr">
        <is>
          <t>F19</t>
        </is>
      </c>
      <c r="L263" s="5">
        <f> F19.otherChildren.months</f>
        <v/>
      </c>
      <c r="M263" s="5" t="inlineStr">
        <is>
          <t>O24</t>
        </is>
      </c>
      <c r="N263" s="5" t="inlineStr"/>
      <c r="O263" s="5" t="inlineStr"/>
    </row>
    <row r="264">
      <c r="A264" s="6" t="n">
        <v>263</v>
      </c>
      <c r="B264" s="6" t="n">
        <v>4</v>
      </c>
      <c r="C264" s="6" t="inlineStr">
        <is>
          <t>19c(2)</t>
        </is>
      </c>
      <c r="D264" s="6" t="inlineStr">
        <is>
          <t>Names and ages of those children (specify):</t>
        </is>
      </c>
      <c r="E264" s="6" t="inlineStr">
        <is>
          <t>FL-150[0].Page4[0].List19[0].L3[0].List[0].L2[0].TextField6[0]</t>
        </is>
      </c>
      <c r="F264" s="6" t="inlineStr">
        <is>
          <t>text</t>
        </is>
      </c>
      <c r="G264" s="6" t="inlineStr"/>
      <c r="H264" s="6" t="inlineStr"/>
      <c r="I264" s="6" t="inlineStr">
        <is>
          <t>83, 545, 576, 585</t>
        </is>
      </c>
      <c r="J264" s="6" t="inlineStr">
        <is>
          <t>derived</t>
        </is>
      </c>
      <c r="K264" s="6" t="inlineStr">
        <is>
          <t>PR1,PR2</t>
        </is>
      </c>
      <c r="L264" s="6">
        <f> join(roster.where(PR6=="Y" and PR7=="N" and age&lt;18).map(p =&gt; p.PR1 + " (" + age(p.PR2) + ")"), ", ")</f>
        <v/>
      </c>
      <c r="M264" s="6" t="inlineStr">
        <is>
          <t>O24</t>
        </is>
      </c>
      <c r="N264" s="6" t="inlineStr"/>
      <c r="O264" s="6" t="inlineStr"/>
    </row>
    <row r="265">
      <c r="A265" s="5" t="n">
        <v>264</v>
      </c>
      <c r="B265" s="5" t="n">
        <v>4</v>
      </c>
      <c r="C265" s="5" t="inlineStr">
        <is>
          <t>19c(3)</t>
        </is>
      </c>
      <c r="D265" s="5" t="inlineStr">
        <is>
          <t>Amount per month</t>
        </is>
      </c>
      <c r="E265" s="5" t="inlineStr">
        <is>
          <t>FL-150[0].Page4[0].List19[0].L3[0].List[0].L3[0].FillText1[0]</t>
        </is>
      </c>
      <c r="F265" s="5" t="inlineStr">
        <is>
          <t>text</t>
        </is>
      </c>
      <c r="G265" s="5" t="inlineStr"/>
      <c r="H265" s="5" t="inlineStr"/>
      <c r="I265" s="5" t="inlineStr">
        <is>
          <t>392, 589, 466, 599</t>
        </is>
      </c>
      <c r="J265" s="5" t="inlineStr">
        <is>
          <t>question</t>
        </is>
      </c>
      <c r="K265" s="5" t="inlineStr">
        <is>
          <t>F19</t>
        </is>
      </c>
      <c r="L265" s="5">
        <f> money(F19.supportReceived)</f>
        <v/>
      </c>
      <c r="M265" s="5" t="inlineStr">
        <is>
          <t>O24</t>
        </is>
      </c>
      <c r="N265" s="5" t="inlineStr"/>
      <c r="O265" s="5" t="inlineStr"/>
    </row>
    <row r="266">
      <c r="A266" s="5" t="n">
        <v>265</v>
      </c>
      <c r="B266" s="5" t="n">
        <v>4</v>
      </c>
      <c r="C266" s="5" t="inlineStr">
        <is>
          <t>19</t>
        </is>
      </c>
      <c r="D266" s="5" t="inlineStr">
        <is>
          <t>The expenses listed in a, b, and c create an extreme financial hardship because (explain):</t>
        </is>
      </c>
      <c r="E266" s="5" t="inlineStr">
        <is>
          <t>FL-150[0].Page4[0].List19[0].L3[0].TextField6[0]</t>
        </is>
      </c>
      <c r="F266" s="5" t="inlineStr">
        <is>
          <t>text</t>
        </is>
      </c>
      <c r="G266" s="5" t="inlineStr"/>
      <c r="H266" s="5" t="inlineStr"/>
      <c r="I266" s="5" t="inlineStr">
        <is>
          <t>50, 613, 575, 667</t>
        </is>
      </c>
      <c r="J266" s="5" t="inlineStr">
        <is>
          <t>question</t>
        </is>
      </c>
      <c r="K266" s="5" t="inlineStr">
        <is>
          <t>F19</t>
        </is>
      </c>
      <c r="L266" s="5">
        <f> F19.why</f>
        <v/>
      </c>
      <c r="M266" s="5" t="inlineStr">
        <is>
          <t>O24</t>
        </is>
      </c>
      <c r="N266" s="5" t="inlineStr"/>
      <c r="O266" s="5" t="inlineStr"/>
    </row>
    <row r="267">
      <c r="A267" s="5" t="n">
        <v>266</v>
      </c>
      <c r="B267" s="5" t="n">
        <v>4</v>
      </c>
      <c r="C267" s="5" t="inlineStr">
        <is>
          <t>20</t>
        </is>
      </c>
      <c r="D267" s="5" t="inlineStr">
        <is>
          <t>Other information I want the court to know concerning support in my case (specify):</t>
        </is>
      </c>
      <c r="E267" s="5" t="inlineStr">
        <is>
          <t>FL-150[0].Page4[0].List20[0].L1[0].TextField6[0]</t>
        </is>
      </c>
      <c r="F267" s="5" t="inlineStr">
        <is>
          <t>text</t>
        </is>
      </c>
      <c r="G267" s="5" t="inlineStr"/>
      <c r="H267" s="5" t="inlineStr"/>
      <c r="I267" s="5" t="inlineStr">
        <is>
          <t>50, 680, 575, 720</t>
        </is>
      </c>
      <c r="J267" s="5" t="inlineStr">
        <is>
          <t>question</t>
        </is>
      </c>
      <c r="K267" s="5" t="inlineStr">
        <is>
          <t>F20</t>
        </is>
      </c>
      <c r="L267" s="5">
        <f> F20</f>
        <v/>
      </c>
      <c r="M267" s="5" t="inlineStr">
        <is>
          <t>O24</t>
        </is>
      </c>
      <c r="N267" s="5" t="inlineStr"/>
      <c r="O267" s="5" t="inlineStr"/>
    </row>
  </sheetData>
  <autoFilter ref="A1:O267"/>
  <dataValidations count="1">
    <dataValidation sqref="J2:J267" showDropDown="0" showInputMessage="0" showErrorMessage="0" allowBlank="1" type="list">
      <formula1>"question,derived,court/clerk,server,ignore (UI button)"</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5" t="n">
        <v>1</v>
      </c>
      <c r="B2" s="5" t="n">
        <v>1</v>
      </c>
      <c r="C2" s="5" t="inlineStr">
        <is>
          <t>Caption</t>
        </is>
      </c>
      <c r="D2" s="5" t="inlineStr"/>
      <c r="E2" s="5" t="inlineStr">
        <is>
          <t>TEXT.0.0</t>
        </is>
      </c>
      <c r="F2" s="5" t="inlineStr">
        <is>
          <t>text</t>
        </is>
      </c>
      <c r="G2" s="5" t="inlineStr"/>
      <c r="H2" s="5" t="inlineStr"/>
      <c r="I2" s="5" t="inlineStr">
        <is>
          <t>45, 44, 318, 59</t>
        </is>
      </c>
      <c r="J2" s="5" t="inlineStr">
        <is>
          <t>question</t>
        </is>
      </c>
      <c r="K2" s="5" t="inlineStr">
        <is>
          <t>S5,L1-L4,P1,P6</t>
        </is>
      </c>
      <c r="L2" s="5">
        <f> S5=="Y" ? L1 + ", SBN " + L2 : P1</f>
        <v/>
      </c>
      <c r="M2" s="5" t="inlineStr"/>
      <c r="N2" s="5" t="inlineStr">
        <is>
          <t>Unlabeled name-and-address lines; field names are numeric ("0.0" …), so this form is keyed by widget order.</t>
        </is>
      </c>
      <c r="O2" s="5" t="inlineStr"/>
    </row>
    <row r="3">
      <c r="A3" s="5" t="n">
        <v>2</v>
      </c>
      <c r="B3" s="5" t="n">
        <v>1</v>
      </c>
      <c r="C3" s="5" t="inlineStr">
        <is>
          <t>Caption</t>
        </is>
      </c>
      <c r="D3" s="5" t="inlineStr"/>
      <c r="E3" s="5" t="inlineStr">
        <is>
          <t>TEXT.0.1</t>
        </is>
      </c>
      <c r="F3" s="5" t="inlineStr">
        <is>
          <t>text</t>
        </is>
      </c>
      <c r="G3" s="5" t="inlineStr"/>
      <c r="H3" s="5" t="inlineStr"/>
      <c r="I3" s="5" t="inlineStr">
        <is>
          <t>45, 56, 318, 71</t>
        </is>
      </c>
      <c r="J3" s="5" t="inlineStr">
        <is>
          <t>question</t>
        </is>
      </c>
      <c r="K3" s="5" t="inlineStr">
        <is>
          <t>S5,L1-L4,P1,P6</t>
        </is>
      </c>
      <c r="L3" s="5">
        <f> S5=="Y" ? L3 : P6.street</f>
        <v/>
      </c>
      <c r="M3" s="5" t="inlineStr"/>
      <c r="N3" s="5" t="inlineStr"/>
      <c r="O3" s="5" t="inlineStr"/>
    </row>
    <row r="4">
      <c r="A4" s="5" t="n">
        <v>3</v>
      </c>
      <c r="B4" s="5" t="n">
        <v>1</v>
      </c>
      <c r="C4" s="5" t="inlineStr">
        <is>
          <t>Caption</t>
        </is>
      </c>
      <c r="D4" s="5" t="inlineStr"/>
      <c r="E4" s="5" t="inlineStr">
        <is>
          <t>TEXT.0.2</t>
        </is>
      </c>
      <c r="F4" s="5" t="inlineStr">
        <is>
          <t>text</t>
        </is>
      </c>
      <c r="G4" s="5" t="inlineStr"/>
      <c r="H4" s="5" t="inlineStr"/>
      <c r="I4" s="5" t="inlineStr">
        <is>
          <t>45, 68, 318, 83</t>
        </is>
      </c>
      <c r="J4" s="5" t="inlineStr">
        <is>
          <t>question</t>
        </is>
      </c>
      <c r="K4" s="5" t="inlineStr">
        <is>
          <t>S5,L1-L4,P1,P6</t>
        </is>
      </c>
      <c r="L4" s="5">
        <f> S5=="Y" ? L4.street : P6.city + ", " + P6.state + " " + P6.zip</f>
        <v/>
      </c>
      <c r="M4" s="5" t="inlineStr"/>
      <c r="N4" s="5" t="inlineStr"/>
      <c r="O4" s="5" t="inlineStr"/>
    </row>
    <row r="5">
      <c r="A5" s="5" t="n">
        <v>4</v>
      </c>
      <c r="B5" s="5" t="n">
        <v>1</v>
      </c>
      <c r="C5" s="5" t="inlineStr">
        <is>
          <t>Caption</t>
        </is>
      </c>
      <c r="D5" s="5" t="inlineStr"/>
      <c r="E5" s="5" t="inlineStr">
        <is>
          <t>TEXT.0.3.0</t>
        </is>
      </c>
      <c r="F5" s="5" t="inlineStr">
        <is>
          <t>text</t>
        </is>
      </c>
      <c r="G5" s="5" t="inlineStr"/>
      <c r="H5" s="5" t="inlineStr"/>
      <c r="I5" s="5" t="inlineStr">
        <is>
          <t>45, 80, 318, 95</t>
        </is>
      </c>
      <c r="J5" s="5" t="inlineStr">
        <is>
          <t>question</t>
        </is>
      </c>
      <c r="K5" s="5" t="inlineStr">
        <is>
          <t>S5,L1-L4,P1,P6</t>
        </is>
      </c>
      <c r="L5" s="5">
        <f> S5=="Y" ? L4.city + ", " + L4.state + " " + L4.zip : ""</f>
        <v/>
      </c>
      <c r="M5" s="5" t="inlineStr"/>
      <c r="N5" s="5" t="inlineStr"/>
      <c r="O5" s="5" t="inlineStr"/>
    </row>
    <row r="6">
      <c r="A6" s="5" t="n">
        <v>5</v>
      </c>
      <c r="B6" s="5" t="n">
        <v>1</v>
      </c>
      <c r="C6" s="5" t="inlineStr">
        <is>
          <t>Caption</t>
        </is>
      </c>
      <c r="D6" s="5" t="inlineStr"/>
      <c r="E6" s="5" t="inlineStr">
        <is>
          <t>Telephone.0</t>
        </is>
      </c>
      <c r="F6" s="5" t="inlineStr">
        <is>
          <t>text</t>
        </is>
      </c>
      <c r="G6" s="5" t="inlineStr"/>
      <c r="H6" s="5" t="inlineStr"/>
      <c r="I6" s="5" t="inlineStr">
        <is>
          <t>318, 44, 394, 59</t>
        </is>
      </c>
      <c r="J6" s="5" t="inlineStr">
        <is>
          <t>question</t>
        </is>
      </c>
      <c r="K6" s="5" t="inlineStr">
        <is>
          <t>S5,L5,P7</t>
        </is>
      </c>
      <c r="L6" s="5">
        <f> S5=="Y" ? L5.phone : P7</f>
        <v/>
      </c>
      <c r="M6" s="5" t="inlineStr"/>
      <c r="N6" s="5" t="inlineStr">
        <is>
          <t>Telephone. Lines 5–6 sit under it unlabeled: used for fax and email.</t>
        </is>
      </c>
      <c r="O6" s="5" t="inlineStr"/>
    </row>
    <row r="7">
      <c r="A7" s="5" t="n">
        <v>6</v>
      </c>
      <c r="B7" s="5" t="n">
        <v>1</v>
      </c>
      <c r="C7" s="5" t="inlineStr">
        <is>
          <t>Caption</t>
        </is>
      </c>
      <c r="D7" s="5" t="inlineStr"/>
      <c r="E7" s="5" t="inlineStr">
        <is>
          <t>Telephone.1</t>
        </is>
      </c>
      <c r="F7" s="5" t="inlineStr">
        <is>
          <t>text</t>
        </is>
      </c>
      <c r="G7" s="5" t="inlineStr"/>
      <c r="H7" s="5" t="inlineStr"/>
      <c r="I7" s="5" t="inlineStr">
        <is>
          <t>318, 56, 394, 71</t>
        </is>
      </c>
      <c r="J7" s="5" t="inlineStr">
        <is>
          <t>question</t>
        </is>
      </c>
      <c r="K7" s="5" t="inlineStr">
        <is>
          <t>S5,L5,P8</t>
        </is>
      </c>
      <c r="L7" s="5">
        <f> S5=="Y" ? L5.fax : P8.fax</f>
        <v/>
      </c>
      <c r="M7" s="5" t="inlineStr">
        <is>
          <t>optional</t>
        </is>
      </c>
      <c r="N7" s="5" t="inlineStr"/>
      <c r="O7" s="5" t="inlineStr"/>
    </row>
    <row r="8">
      <c r="A8" s="5" t="n">
        <v>7</v>
      </c>
      <c r="B8" s="5" t="n">
        <v>1</v>
      </c>
      <c r="C8" s="5" t="inlineStr">
        <is>
          <t>Caption</t>
        </is>
      </c>
      <c r="D8" s="5" t="inlineStr"/>
      <c r="E8" s="5" t="inlineStr">
        <is>
          <t>Telephone.2</t>
        </is>
      </c>
      <c r="F8" s="5" t="inlineStr">
        <is>
          <t>text</t>
        </is>
      </c>
      <c r="G8" s="5" t="inlineStr"/>
      <c r="H8" s="5" t="inlineStr"/>
      <c r="I8" s="5" t="inlineStr">
        <is>
          <t>318, 68, 394, 83</t>
        </is>
      </c>
      <c r="J8" s="5" t="inlineStr">
        <is>
          <t>question</t>
        </is>
      </c>
      <c r="K8" s="5" t="inlineStr">
        <is>
          <t>S5,L5,P8</t>
        </is>
      </c>
      <c r="L8" s="5">
        <f> S5=="Y" ? L5.email : P8.email</f>
        <v/>
      </c>
      <c r="M8" s="5" t="inlineStr">
        <is>
          <t>optional</t>
        </is>
      </c>
      <c r="N8" s="5" t="inlineStr"/>
      <c r="O8" s="5" t="inlineStr"/>
    </row>
    <row r="9">
      <c r="A9" s="5" t="n">
        <v>8</v>
      </c>
      <c r="B9" s="5" t="n">
        <v>1</v>
      </c>
      <c r="C9" s="5" t="inlineStr">
        <is>
          <t>Caption</t>
        </is>
      </c>
      <c r="D9" s="5" t="inlineStr">
        <is>
          <t>ATTORNEY FOR (Name):</t>
        </is>
      </c>
      <c r="E9" s="5" t="inlineStr">
        <is>
          <t>TEXT.0.3.1.0</t>
        </is>
      </c>
      <c r="F9" s="5" t="inlineStr">
        <is>
          <t>text</t>
        </is>
      </c>
      <c r="G9" s="5" t="inlineStr"/>
      <c r="H9" s="5" t="inlineStr"/>
      <c r="I9" s="5" t="inlineStr">
        <is>
          <t>110, 91, 394, 107</t>
        </is>
      </c>
      <c r="J9" s="5" t="inlineStr">
        <is>
          <t>question</t>
        </is>
      </c>
      <c r="K9" s="5" t="inlineStr">
        <is>
          <t>S5,P1</t>
        </is>
      </c>
      <c r="L9" s="5">
        <f> S5=="Y" ? P1 : "Self-represented"</f>
        <v/>
      </c>
      <c r="M9" s="5" t="inlineStr"/>
      <c r="N9" s="5" t="inlineStr"/>
      <c r="O9" s="5" t="inlineStr"/>
    </row>
    <row r="10">
      <c r="A10" s="6" t="n">
        <v>9</v>
      </c>
      <c r="B10" s="6" t="n">
        <v>1</v>
      </c>
      <c r="C10" s="6" t="inlineStr">
        <is>
          <t>Caption</t>
        </is>
      </c>
      <c r="D10" s="6" t="inlineStr">
        <is>
          <t>SUPERIOR COURT OF CALIFORNIA, COUNTY OF</t>
        </is>
      </c>
      <c r="E10" s="6" t="inlineStr">
        <is>
          <t>TEXT.0.3.1.1</t>
        </is>
      </c>
      <c r="F10" s="6" t="inlineStr">
        <is>
          <t>text</t>
        </is>
      </c>
      <c r="G10" s="6" t="inlineStr"/>
      <c r="H10" s="6" t="inlineStr"/>
      <c r="I10" s="6" t="inlineStr">
        <is>
          <t>231, 102, 394, 118</t>
        </is>
      </c>
      <c r="J10" s="6" t="inlineStr">
        <is>
          <t>derived</t>
        </is>
      </c>
      <c r="K10" s="6" t="inlineStr">
        <is>
          <t>S1</t>
        </is>
      </c>
      <c r="L10" s="6">
        <f> S1.countyName</f>
        <v/>
      </c>
      <c r="M10" s="6" t="inlineStr"/>
      <c r="N10" s="6" t="inlineStr"/>
      <c r="O10" s="6" t="inlineStr"/>
    </row>
    <row r="11">
      <c r="A11" s="6" t="n">
        <v>10</v>
      </c>
      <c r="B11" s="6" t="n">
        <v>1</v>
      </c>
      <c r="C11" s="6" t="inlineStr">
        <is>
          <t>Caption</t>
        </is>
      </c>
      <c r="D11" s="6" t="inlineStr">
        <is>
          <t>STREET ADDRESS:</t>
        </is>
      </c>
      <c r="E11" s="6" t="inlineStr">
        <is>
          <t>TEXT.0.3.1.2</t>
        </is>
      </c>
      <c r="F11" s="6" t="inlineStr">
        <is>
          <t>text</t>
        </is>
      </c>
      <c r="G11" s="6" t="inlineStr"/>
      <c r="H11" s="6" t="inlineStr"/>
      <c r="I11" s="6" t="inlineStr">
        <is>
          <t>108, 116, 394, 131</t>
        </is>
      </c>
      <c r="J11" s="6" t="inlineStr">
        <is>
          <t>derived</t>
        </is>
      </c>
      <c r="K11" s="6" t="inlineStr">
        <is>
          <t>S1,S2</t>
        </is>
      </c>
      <c r="L11" s="6">
        <f> courthouse(S1,S2).streetAddress</f>
        <v/>
      </c>
      <c r="M11" s="6" t="inlineStr"/>
      <c r="N11" s="6" t="inlineStr"/>
      <c r="O11" s="6" t="inlineStr"/>
    </row>
    <row r="12">
      <c r="A12" s="6" t="n">
        <v>11</v>
      </c>
      <c r="B12" s="6" t="n">
        <v>1</v>
      </c>
      <c r="C12" s="6" t="inlineStr">
        <is>
          <t>Caption</t>
        </is>
      </c>
      <c r="D12" s="6" t="inlineStr">
        <is>
          <t>MAILING ADDRESS:</t>
        </is>
      </c>
      <c r="E12" s="6" t="inlineStr">
        <is>
          <t>TEXT.0.3.1.3</t>
        </is>
      </c>
      <c r="F12" s="6" t="inlineStr">
        <is>
          <t>text</t>
        </is>
      </c>
      <c r="G12" s="6" t="inlineStr"/>
      <c r="H12" s="6" t="inlineStr"/>
      <c r="I12" s="6" t="inlineStr">
        <is>
          <t>108, 128, 394, 143</t>
        </is>
      </c>
      <c r="J12" s="6" t="inlineStr">
        <is>
          <t>derived</t>
        </is>
      </c>
      <c r="K12" s="6" t="inlineStr">
        <is>
          <t>S1,S2</t>
        </is>
      </c>
      <c r="L12" s="6">
        <f> courthouse(S1,S2).mailingAddress</f>
        <v/>
      </c>
      <c r="M12" s="6" t="inlineStr"/>
      <c r="N12" s="6" t="inlineStr"/>
      <c r="O12" s="6" t="inlineStr"/>
    </row>
    <row r="13">
      <c r="A13" s="6" t="n">
        <v>12</v>
      </c>
      <c r="B13" s="6" t="n">
        <v>1</v>
      </c>
      <c r="C13" s="6" t="inlineStr">
        <is>
          <t>Caption</t>
        </is>
      </c>
      <c r="D13" s="6" t="inlineStr">
        <is>
          <t>CITY AND ZIP CODE:</t>
        </is>
      </c>
      <c r="E13" s="6" t="inlineStr">
        <is>
          <t>TEXT.0.3.1.4.0</t>
        </is>
      </c>
      <c r="F13" s="6" t="inlineStr">
        <is>
          <t>text</t>
        </is>
      </c>
      <c r="G13" s="6" t="inlineStr"/>
      <c r="H13" s="6" t="inlineStr"/>
      <c r="I13" s="6" t="inlineStr">
        <is>
          <t>108, 140, 394, 155</t>
        </is>
      </c>
      <c r="J13" s="6" t="inlineStr">
        <is>
          <t>derived</t>
        </is>
      </c>
      <c r="K13" s="6" t="inlineStr">
        <is>
          <t>S1,S2</t>
        </is>
      </c>
      <c r="L13" s="6">
        <f> courthouse(S1,S2).cityZip</f>
        <v/>
      </c>
      <c r="M13" s="6" t="inlineStr"/>
      <c r="N13" s="6" t="inlineStr"/>
      <c r="O13" s="6" t="inlineStr"/>
    </row>
    <row r="14">
      <c r="A14" s="6" t="n">
        <v>13</v>
      </c>
      <c r="B14" s="6" t="n">
        <v>1</v>
      </c>
      <c r="C14" s="6" t="inlineStr">
        <is>
          <t>Caption</t>
        </is>
      </c>
      <c r="D14" s="6" t="inlineStr">
        <is>
          <t>BRANCH NAME:</t>
        </is>
      </c>
      <c r="E14" s="6" t="inlineStr">
        <is>
          <t>TEXT.0.3.1.4.1.0</t>
        </is>
      </c>
      <c r="F14" s="6" t="inlineStr">
        <is>
          <t>text</t>
        </is>
      </c>
      <c r="G14" s="6" t="inlineStr"/>
      <c r="H14" s="6" t="inlineStr"/>
      <c r="I14" s="6" t="inlineStr">
        <is>
          <t>108, 152, 394, 167</t>
        </is>
      </c>
      <c r="J14" s="6" t="inlineStr">
        <is>
          <t>derived</t>
        </is>
      </c>
      <c r="K14" s="6" t="inlineStr">
        <is>
          <t>S1,S2</t>
        </is>
      </c>
      <c r="L14" s="6">
        <f> courthouse(S1,S2).branchName</f>
        <v/>
      </c>
      <c r="M14" s="6" t="inlineStr"/>
      <c r="N14" s="6" t="inlineStr"/>
      <c r="O14" s="6" t="inlineStr"/>
    </row>
    <row r="15">
      <c r="A15" s="5" t="n">
        <v>14</v>
      </c>
      <c r="B15" s="5" t="n">
        <v>1</v>
      </c>
      <c r="C15" s="5" t="inlineStr">
        <is>
          <t>Caption</t>
        </is>
      </c>
      <c r="D15" s="5" t="inlineStr">
        <is>
          <t>PETITIONER/PLAINTIFF:</t>
        </is>
      </c>
      <c r="E15" s="5" t="inlineStr">
        <is>
          <t>TEXT.0.3.1.4.1.1</t>
        </is>
      </c>
      <c r="F15" s="5" t="inlineStr">
        <is>
          <t>text</t>
        </is>
      </c>
      <c r="G15" s="5" t="inlineStr"/>
      <c r="H15" s="5" t="inlineStr"/>
      <c r="I15" s="5" t="inlineStr">
        <is>
          <t>163, 164, 394, 179</t>
        </is>
      </c>
      <c r="J15" s="5" t="inlineStr">
        <is>
          <t>question</t>
        </is>
      </c>
      <c r="K15" s="5" t="inlineStr">
        <is>
          <t>P1</t>
        </is>
      </c>
      <c r="L15" s="5">
        <f> P1</f>
        <v/>
      </c>
      <c r="M15" s="5" t="inlineStr"/>
      <c r="N15" s="5" t="inlineStr"/>
      <c r="O15" s="5" t="inlineStr"/>
    </row>
    <row r="16">
      <c r="A16" s="5" t="n">
        <v>15</v>
      </c>
      <c r="B16" s="5" t="n">
        <v>1</v>
      </c>
      <c r="C16" s="5" t="inlineStr">
        <is>
          <t>Caption</t>
        </is>
      </c>
      <c r="D16" s="5" t="inlineStr">
        <is>
          <t>RESPONDENT/DEFENDANT:</t>
        </is>
      </c>
      <c r="E16" s="5" t="inlineStr">
        <is>
          <t>TEXT.0.3.1.4.1.3.0</t>
        </is>
      </c>
      <c r="F16" s="5" t="inlineStr">
        <is>
          <t>text</t>
        </is>
      </c>
      <c r="G16" s="5" t="inlineStr"/>
      <c r="H16" s="5" t="inlineStr"/>
      <c r="I16" s="5" t="inlineStr">
        <is>
          <t>163, 176, 394, 191</t>
        </is>
      </c>
      <c r="J16" s="5" t="inlineStr">
        <is>
          <t>question</t>
        </is>
      </c>
      <c r="K16" s="5" t="inlineStr">
        <is>
          <t>R1</t>
        </is>
      </c>
      <c r="L16" s="5">
        <f> R1</f>
        <v/>
      </c>
      <c r="M16" s="5" t="inlineStr"/>
      <c r="N16" s="5" t="inlineStr"/>
      <c r="O16" s="5" t="inlineStr"/>
    </row>
    <row r="17">
      <c r="A17" s="5" t="n">
        <v>16</v>
      </c>
      <c r="B17" s="5" t="n">
        <v>1</v>
      </c>
      <c r="C17" s="5" t="inlineStr">
        <is>
          <t>Caption</t>
        </is>
      </c>
      <c r="D17" s="5" t="inlineStr">
        <is>
          <t>OTHER PARENT:</t>
        </is>
      </c>
      <c r="E17" s="5" t="inlineStr">
        <is>
          <t>TEXT.0.3.156564.3.0</t>
        </is>
      </c>
      <c r="F17" s="5" t="inlineStr">
        <is>
          <t>text (no /FT)</t>
        </is>
      </c>
      <c r="G17" s="5" t="inlineStr"/>
      <c r="H17" s="5" t="inlineStr"/>
      <c r="I17" s="5" t="inlineStr">
        <is>
          <t>163, 188, 395, 203</t>
        </is>
      </c>
      <c r="J17" s="5" t="inlineStr">
        <is>
          <t>question</t>
        </is>
      </c>
      <c r="K17" s="5" t="inlineStr">
        <is>
          <t>PR13</t>
        </is>
      </c>
      <c r="L17" s="5">
        <f> PR13.name</f>
        <v/>
      </c>
      <c r="M17" s="5" t="inlineStr">
        <is>
          <t>PR13 given</t>
        </is>
      </c>
      <c r="N17" s="5" t="inlineStr">
        <is>
          <t>This field has no /FT type; set /FT /Tx before filling.</t>
        </is>
      </c>
      <c r="O17" s="5" t="inlineStr"/>
    </row>
    <row r="18">
      <c r="A18" s="7" t="n">
        <v>17</v>
      </c>
      <c r="B18" s="7" t="n">
        <v>1</v>
      </c>
      <c r="C18" s="7" t="inlineStr">
        <is>
          <t>—</t>
        </is>
      </c>
      <c r="D18" s="7" t="inlineStr"/>
      <c r="E18" s="7" t="inlineStr">
        <is>
          <t>WhiteOut</t>
        </is>
      </c>
      <c r="F18" s="7" t="inlineStr">
        <is>
          <t>text</t>
        </is>
      </c>
      <c r="G18" s="7" t="inlineStr"/>
      <c r="H18" s="7" t="inlineStr"/>
      <c r="I18" s="7" t="inlineStr">
        <is>
          <t>430, 37, 539, 80</t>
        </is>
      </c>
      <c r="J18" s="7" t="inlineStr">
        <is>
          <t>ignore (UI button)</t>
        </is>
      </c>
      <c r="K18" s="7" t="inlineStr"/>
      <c r="L18" s="7" t="inlineStr"/>
      <c r="M18" s="7" t="inlineStr"/>
      <c r="N18" s="7" t="inlineStr">
        <is>
          <t>On-screen notice text, not a form field.</t>
        </is>
      </c>
      <c r="O18" s="7" t="inlineStr"/>
    </row>
    <row r="19">
      <c r="A19" s="7" t="n">
        <v>18</v>
      </c>
      <c r="B19" s="7" t="n">
        <v>1</v>
      </c>
      <c r="C19" s="7" t="inlineStr">
        <is>
          <t>—</t>
        </is>
      </c>
      <c r="D19" s="7" t="inlineStr"/>
      <c r="E19" s="7" t="inlineStr">
        <is>
          <t>NoticeHeaderMulti2</t>
        </is>
      </c>
      <c r="F19" s="7" t="inlineStr">
        <is>
          <t>text</t>
        </is>
      </c>
      <c r="G19" s="7" t="inlineStr"/>
      <c r="H19" s="7" t="inlineStr"/>
      <c r="I19" s="7" t="inlineStr">
        <is>
          <t>405, 44, 567, 122</t>
        </is>
      </c>
      <c r="J19" s="7" t="inlineStr">
        <is>
          <t>ignore (UI button)</t>
        </is>
      </c>
      <c r="K19" s="7" t="inlineStr"/>
      <c r="L19" s="7" t="inlineStr"/>
      <c r="M19" s="7" t="inlineStr"/>
      <c r="N19" s="7" t="inlineStr">
        <is>
          <t>On-screen notice text, not a form field.</t>
        </is>
      </c>
      <c r="O19" s="7" t="inlineStr"/>
    </row>
    <row r="20">
      <c r="A20" s="5" t="n">
        <v>19</v>
      </c>
      <c r="B20" s="5" t="n">
        <v>1</v>
      </c>
      <c r="C20" s="5" t="inlineStr">
        <is>
          <t>Caption</t>
        </is>
      </c>
      <c r="D20" s="5" t="inlineStr">
        <is>
          <t>FINANCIAL STATEMENT (SIMPLIFIED)</t>
        </is>
      </c>
      <c r="E20" s="5" t="inlineStr">
        <is>
          <t>TEXT.0.3.1.4.1.3.1.0</t>
        </is>
      </c>
      <c r="F20" s="5" t="inlineStr">
        <is>
          <t>text</t>
        </is>
      </c>
      <c r="G20" s="5" t="inlineStr"/>
      <c r="H20" s="5" t="inlineStr"/>
      <c r="I20" s="5" t="inlineStr">
        <is>
          <t>394, 213, 574, 228</t>
        </is>
      </c>
      <c r="J20" s="5" t="inlineStr">
        <is>
          <t>question</t>
        </is>
      </c>
      <c r="K20" s="5" t="inlineStr">
        <is>
          <t>S4,X0</t>
        </is>
      </c>
      <c r="L20" s="5">
        <f> X0 ?? S4</f>
        <v/>
      </c>
      <c r="M20" s="5" t="inlineStr">
        <is>
          <t>known; otherwise blank for clerk</t>
        </is>
      </c>
      <c r="N20" s="5" t="inlineStr"/>
      <c r="O20" s="5" t="inlineStr"/>
    </row>
    <row r="21">
      <c r="A21" s="5" t="n">
        <v>20</v>
      </c>
      <c r="B21" s="5" t="n">
        <v>1</v>
      </c>
      <c r="C21" s="5" t="inlineStr">
        <is>
          <t>1a</t>
        </is>
      </c>
      <c r="D21" s="5" t="inlineStr">
        <is>
          <t>1. a.</t>
        </is>
      </c>
      <c r="E21" s="5" t="inlineStr">
        <is>
          <t>CB.0.0.0</t>
        </is>
      </c>
      <c r="F21" s="5" t="inlineStr">
        <is>
          <t>checkbox</t>
        </is>
      </c>
      <c r="G21" s="5" t="inlineStr">
        <is>
          <t>Yes</t>
        </is>
      </c>
      <c r="H21" s="5" t="inlineStr"/>
      <c r="I21" s="5" t="inlineStr">
        <is>
          <t>65, 253, 84, 265</t>
        </is>
      </c>
      <c r="J21" s="5" t="inlineStr">
        <is>
          <t>question</t>
        </is>
      </c>
      <c r="K21" s="5" t="inlineStr">
        <is>
          <t>F2</t>
        </is>
      </c>
      <c r="L21" s="5" t="inlineStr">
        <is>
          <t>check if F2 only has public assistance or SSI</t>
        </is>
      </c>
      <c r="M21" s="5" t="inlineStr"/>
      <c r="N21" s="5" t="inlineStr"/>
      <c r="O21" s="5" t="inlineStr"/>
    </row>
    <row r="22">
      <c r="A22" s="5" t="n">
        <v>21</v>
      </c>
      <c r="B22" s="5" t="n">
        <v>1</v>
      </c>
      <c r="C22" s="5" t="inlineStr">
        <is>
          <t>1b</t>
        </is>
      </c>
      <c r="D22" s="5" t="inlineStr">
        <is>
          <t>b.</t>
        </is>
      </c>
      <c r="E22" s="5" t="inlineStr">
        <is>
          <t>CB.0.1.0</t>
        </is>
      </c>
      <c r="F22" s="5" t="inlineStr">
        <is>
          <t>checkbox</t>
        </is>
      </c>
      <c r="G22" s="5" t="inlineStr">
        <is>
          <t>Yes</t>
        </is>
      </c>
      <c r="H22" s="5" t="inlineStr"/>
      <c r="I22" s="5" t="inlineStr">
        <is>
          <t>65, 265, 84, 277</t>
        </is>
      </c>
      <c r="J22" s="5" t="inlineStr">
        <is>
          <t>question</t>
        </is>
      </c>
      <c r="K22" s="5" t="inlineStr">
        <is>
          <t>O24</t>
        </is>
      </c>
      <c r="L22" s="5" t="inlineStr">
        <is>
          <t>check if O24.status has "TANF/CalWORKs" (applied)</t>
        </is>
      </c>
      <c r="M22" s="5" t="inlineStr"/>
      <c r="N22" s="5" t="inlineStr">
        <is>
          <t>Map: the O24 TANF answer fills FL-155 1.</t>
        </is>
      </c>
      <c r="O22" s="5" t="inlineStr"/>
    </row>
    <row r="23">
      <c r="A23" s="6" t="n">
        <v>22</v>
      </c>
      <c r="B23" s="6" t="n">
        <v>1</v>
      </c>
      <c r="C23" s="6" t="inlineStr">
        <is>
          <t>2</t>
        </is>
      </c>
      <c r="D23" s="6" t="inlineStr">
        <is>
          <t>adopted children from this relationship . . . . . . . . . . . . . . . . . .</t>
        </is>
      </c>
      <c r="E23" s="6" t="inlineStr">
        <is>
          <t>TEXT.0.3.1.4.1.3.1.1.0</t>
        </is>
      </c>
      <c r="F23" s="6" t="inlineStr">
        <is>
          <t>text</t>
        </is>
      </c>
      <c r="G23" s="6" t="inlineStr"/>
      <c r="H23" s="6" t="inlineStr"/>
      <c r="I23" s="6" t="inlineStr">
        <is>
          <t>510, 273, 574, 288</t>
        </is>
      </c>
      <c r="J23" s="6" t="inlineStr">
        <is>
          <t>derived</t>
        </is>
      </c>
      <c r="K23" s="6" t="inlineStr">
        <is>
          <t>PR7</t>
        </is>
      </c>
      <c r="L23" s="6">
        <f> kids.length</f>
        <v/>
      </c>
      <c r="M23" s="6" t="inlineStr"/>
      <c r="N23" s="6" t="inlineStr"/>
      <c r="O23" s="6" t="inlineStr"/>
    </row>
    <row r="24">
      <c r="A24" s="5" t="n">
        <v>23</v>
      </c>
      <c r="B24" s="5" t="n">
        <v>1</v>
      </c>
      <c r="C24" s="5" t="inlineStr">
        <is>
          <t>3a</t>
        </is>
      </c>
      <c r="D24" s="5" t="inlineStr">
        <is>
          <t>f time . . . . . . . . . . . . . . . . . . . . . . . . . . . . . . . . . . . . .</t>
        </is>
      </c>
      <c r="E24" s="5" t="inlineStr">
        <is>
          <t>TEXT.0.3.1.4.1.3.1.1.1.0</t>
        </is>
      </c>
      <c r="F24" s="5" t="inlineStr">
        <is>
          <t>text</t>
        </is>
      </c>
      <c r="G24" s="5" t="inlineStr"/>
      <c r="H24" s="5" t="inlineStr"/>
      <c r="I24" s="5" t="inlineStr">
        <is>
          <t>510, 285, 565, 300</t>
        </is>
      </c>
      <c r="J24" s="5" t="inlineStr">
        <is>
          <t>question</t>
        </is>
      </c>
      <c r="K24" s="5" t="inlineStr">
        <is>
          <t>F16</t>
        </is>
      </c>
      <c r="L24" s="5">
        <f> F16.percentMe</f>
        <v/>
      </c>
      <c r="M24" s="5" t="inlineStr"/>
      <c r="N24" s="5" t="inlineStr"/>
      <c r="O24" s="5" t="inlineStr"/>
    </row>
    <row r="25">
      <c r="A25" s="5" t="n">
        <v>24</v>
      </c>
      <c r="B25" s="5" t="n">
        <v>1</v>
      </c>
      <c r="C25" s="5" t="inlineStr">
        <is>
          <t>3b</t>
        </is>
      </c>
      <c r="D25" s="5" t="inlineStr">
        <is>
          <t>parent this amount of time . . . . . . . . . . . . . . . . . . . . . . . . . .</t>
        </is>
      </c>
      <c r="E25" s="5" t="inlineStr">
        <is>
          <t>TEXT.0.3.1.4.1.3.1.1.1.1.0</t>
        </is>
      </c>
      <c r="F25" s="5" t="inlineStr">
        <is>
          <t>text</t>
        </is>
      </c>
      <c r="G25" s="5" t="inlineStr"/>
      <c r="H25" s="5" t="inlineStr"/>
      <c r="I25" s="5" t="inlineStr">
        <is>
          <t>510, 297, 565, 312</t>
        </is>
      </c>
      <c r="J25" s="5" t="inlineStr">
        <is>
          <t>question</t>
        </is>
      </c>
      <c r="K25" s="5" t="inlineStr">
        <is>
          <t>F16</t>
        </is>
      </c>
      <c r="L25" s="5">
        <f> F16.percentRespondent</f>
        <v/>
      </c>
      <c r="M25" s="5" t="inlineStr"/>
      <c r="N25" s="5" t="inlineStr"/>
      <c r="O25" s="5" t="inlineStr"/>
    </row>
    <row r="26">
      <c r="A26" s="5" t="n">
        <v>25</v>
      </c>
      <c r="B26" s="5" t="n">
        <v>1</v>
      </c>
      <c r="C26" s="5" t="inlineStr">
        <is>
          <t>3c</t>
        </is>
      </c>
      <c r="D26" s="5" t="inlineStr">
        <is>
          <t>and visitation is (specify, using extra sheet if necessary):</t>
        </is>
      </c>
      <c r="E26" s="5" t="inlineStr">
        <is>
          <t>TEXT.0.3.1.4.1.3.1.1.1.1.1.0</t>
        </is>
      </c>
      <c r="F26" s="5" t="inlineStr">
        <is>
          <t>text</t>
        </is>
      </c>
      <c r="G26" s="5" t="inlineStr"/>
      <c r="H26" s="5" t="inlineStr"/>
      <c r="I26" s="5" t="inlineStr">
        <is>
          <t>406, 310, 576, 326</t>
        </is>
      </c>
      <c r="J26" s="5" t="inlineStr">
        <is>
          <t>question</t>
        </is>
      </c>
      <c r="K26" s="5" t="inlineStr">
        <is>
          <t>F16</t>
        </is>
      </c>
      <c r="L26" s="5">
        <f> F16.schedule [line 1]</f>
        <v/>
      </c>
      <c r="M26" s="5" t="inlineStr"/>
      <c r="N26" s="5" t="inlineStr"/>
      <c r="O26" s="5" t="inlineStr"/>
    </row>
    <row r="27">
      <c r="A27" s="5" t="n">
        <v>26</v>
      </c>
      <c r="B27" s="5" t="n">
        <v>1</v>
      </c>
      <c r="C27" s="5" t="inlineStr">
        <is>
          <t>3c</t>
        </is>
      </c>
      <c r="D27" s="5" t="inlineStr"/>
      <c r="E27" s="5" t="inlineStr">
        <is>
          <t>TEXT.0.3.1.4.1.3.1.1.1.1.1.1.0.0</t>
        </is>
      </c>
      <c r="F27" s="5" t="inlineStr">
        <is>
          <t>text</t>
        </is>
      </c>
      <c r="G27" s="5" t="inlineStr"/>
      <c r="H27" s="5" t="inlineStr"/>
      <c r="I27" s="5" t="inlineStr">
        <is>
          <t>60, 319, 576, 335</t>
        </is>
      </c>
      <c r="J27" s="5" t="inlineStr">
        <is>
          <t>question</t>
        </is>
      </c>
      <c r="K27" s="5" t="inlineStr">
        <is>
          <t>F16</t>
        </is>
      </c>
      <c r="L27" s="5">
        <f> F16.schedule [line 2]</f>
        <v/>
      </c>
      <c r="M27" s="5" t="inlineStr"/>
      <c r="N27" s="5" t="inlineStr"/>
      <c r="O27" s="5" t="inlineStr"/>
    </row>
    <row r="28">
      <c r="A28" s="5" t="n">
        <v>27</v>
      </c>
      <c r="B28" s="5" t="n">
        <v>1</v>
      </c>
      <c r="C28" s="5" t="inlineStr">
        <is>
          <t>4</t>
        </is>
      </c>
      <c r="D28" s="5" t="inlineStr">
        <is>
          <t>4. My tax filing status is:</t>
        </is>
      </c>
      <c r="E28" s="5" t="inlineStr">
        <is>
          <t>CB.0.0.1.0a</t>
        </is>
      </c>
      <c r="F28" s="5" t="inlineStr">
        <is>
          <t>checkbox</t>
        </is>
      </c>
      <c r="G28" s="5" t="inlineStr">
        <is>
          <t>Yes</t>
        </is>
      </c>
      <c r="H28" s="5" t="inlineStr"/>
      <c r="I28" s="5" t="inlineStr">
        <is>
          <t>151, 332, 170, 344</t>
        </is>
      </c>
      <c r="J28" s="5" t="inlineStr">
        <is>
          <t>question</t>
        </is>
      </c>
      <c r="K28" s="5" t="inlineStr">
        <is>
          <t>F6</t>
        </is>
      </c>
      <c r="L28" s="5" t="inlineStr">
        <is>
          <t>check if F6.status == "single"</t>
        </is>
      </c>
      <c r="M28" s="5" t="inlineStr"/>
      <c r="N28" s="5" t="inlineStr">
        <is>
          <t>The four boxes share one field name; exports are Yes / 1 / 2 / 3.</t>
        </is>
      </c>
      <c r="O28" s="5" t="inlineStr"/>
    </row>
    <row r="29">
      <c r="A29" s="5" t="n">
        <v>28</v>
      </c>
      <c r="B29" s="5" t="n">
        <v>1</v>
      </c>
      <c r="C29" s="5" t="inlineStr">
        <is>
          <t>4</t>
        </is>
      </c>
      <c r="D29" s="5" t="inlineStr">
        <is>
          <t>4. My tax filing status is: single</t>
        </is>
      </c>
      <c r="E29" s="5" t="inlineStr">
        <is>
          <t>CB.0.0.1.0a</t>
        </is>
      </c>
      <c r="F29" s="5" t="inlineStr">
        <is>
          <t>checkbox</t>
        </is>
      </c>
      <c r="G29" s="5" t="inlineStr">
        <is>
          <t>1</t>
        </is>
      </c>
      <c r="H29" s="5" t="inlineStr"/>
      <c r="I29" s="5" t="inlineStr">
        <is>
          <t>208, 332, 227, 344</t>
        </is>
      </c>
      <c r="J29" s="5" t="inlineStr">
        <is>
          <t>question</t>
        </is>
      </c>
      <c r="K29" s="5" t="inlineStr">
        <is>
          <t>F6</t>
        </is>
      </c>
      <c r="L29" s="5" t="inlineStr">
        <is>
          <t>check if F6.status == "married filing jointly"</t>
        </is>
      </c>
      <c r="M29" s="5" t="inlineStr"/>
      <c r="N29" s="5" t="inlineStr"/>
      <c r="O29" s="5" t="inlineStr"/>
    </row>
    <row r="30">
      <c r="A30" s="5" t="n">
        <v>29</v>
      </c>
      <c r="B30" s="5" t="n">
        <v>1</v>
      </c>
      <c r="C30" s="5" t="inlineStr">
        <is>
          <t>4</t>
        </is>
      </c>
      <c r="D30" s="5" t="inlineStr">
        <is>
          <t>filing status is: single married filing jointly</t>
        </is>
      </c>
      <c r="E30" s="5" t="inlineStr">
        <is>
          <t>CB.0.0.1.0a</t>
        </is>
      </c>
      <c r="F30" s="5" t="inlineStr">
        <is>
          <t>checkbox</t>
        </is>
      </c>
      <c r="G30" s="5" t="inlineStr">
        <is>
          <t>2</t>
        </is>
      </c>
      <c r="H30" s="5" t="inlineStr"/>
      <c r="I30" s="5" t="inlineStr">
        <is>
          <t>318, 332, 337, 343</t>
        </is>
      </c>
      <c r="J30" s="5" t="inlineStr">
        <is>
          <t>question</t>
        </is>
      </c>
      <c r="K30" s="5" t="inlineStr">
        <is>
          <t>F6</t>
        </is>
      </c>
      <c r="L30" s="5" t="inlineStr">
        <is>
          <t>check if F6.status == "head of household"</t>
        </is>
      </c>
      <c r="M30" s="5" t="inlineStr"/>
      <c r="N30" s="5" t="inlineStr"/>
      <c r="O30" s="5" t="inlineStr"/>
    </row>
    <row r="31">
      <c r="A31" s="5" t="n">
        <v>30</v>
      </c>
      <c r="B31" s="5" t="n">
        <v>1</v>
      </c>
      <c r="C31" s="5" t="inlineStr">
        <is>
          <t>4</t>
        </is>
      </c>
      <c r="D31" s="5" t="inlineStr">
        <is>
          <t>married filing jointly head of household</t>
        </is>
      </c>
      <c r="E31" s="5" t="inlineStr">
        <is>
          <t>CB.0.0.1.0a</t>
        </is>
      </c>
      <c r="F31" s="5" t="inlineStr">
        <is>
          <t>checkbox</t>
        </is>
      </c>
      <c r="G31" s="5" t="inlineStr">
        <is>
          <t>3</t>
        </is>
      </c>
      <c r="H31" s="5" t="inlineStr"/>
      <c r="I31" s="5" t="inlineStr">
        <is>
          <t>424, 331, 443, 343</t>
        </is>
      </c>
      <c r="J31" s="5" t="inlineStr">
        <is>
          <t>question</t>
        </is>
      </c>
      <c r="K31" s="5" t="inlineStr">
        <is>
          <t>F6</t>
        </is>
      </c>
      <c r="L31" s="5" t="inlineStr">
        <is>
          <t>check if F6.status == "married filing separately"</t>
        </is>
      </c>
      <c r="M31" s="5" t="inlineStr"/>
      <c r="N31" s="5" t="inlineStr"/>
      <c r="O31" s="5" t="inlineStr"/>
    </row>
    <row r="32">
      <c r="A32" s="6" t="n">
        <v>31</v>
      </c>
      <c r="B32" s="6" t="n">
        <v>1</v>
      </c>
      <c r="C32" s="6" t="inlineStr">
        <is>
          <t>5</t>
        </is>
      </c>
      <c r="D32" s="6" t="inlineStr">
        <is>
          <t xml:space="preserve"> . . . . . . . . . . . . . . . . . . . . . . . . . . . . . . . . . . . . . . . $</t>
        </is>
      </c>
      <c r="E32" s="6" t="inlineStr">
        <is>
          <t>TEXT.0.3.1.4.1.3.1.1.1.1.1.1.1.0</t>
        </is>
      </c>
      <c r="F32" s="6" t="inlineStr">
        <is>
          <t>text</t>
        </is>
      </c>
      <c r="G32" s="6" t="inlineStr"/>
      <c r="H32" s="6" t="inlineStr"/>
      <c r="I32" s="6" t="inlineStr">
        <is>
          <t>517, 341, 574, 356</t>
        </is>
      </c>
      <c r="J32" s="6" t="inlineStr">
        <is>
          <t>derived</t>
        </is>
      </c>
      <c r="K32" s="6" t="inlineStr">
        <is>
          <t>F3</t>
        </is>
      </c>
      <c r="L32" s="6">
        <f> money(sum of item 5 amounts)</f>
        <v/>
      </c>
      <c r="M32" s="6" t="inlineStr"/>
      <c r="N32" s="6" t="inlineStr"/>
      <c r="O32" s="6" t="inlineStr"/>
    </row>
    <row r="33">
      <c r="A33" s="5" t="n">
        <v>32</v>
      </c>
      <c r="B33" s="5" t="n">
        <v>1</v>
      </c>
      <c r="C33" s="5" t="inlineStr">
        <is>
          <t>5</t>
        </is>
      </c>
      <c r="D33" s="5" t="inlineStr">
        <is>
          <t>copy of pay</t>
        </is>
      </c>
      <c r="E33" s="5" t="inlineStr">
        <is>
          <t>CB.0.0.1.1.0</t>
        </is>
      </c>
      <c r="F33" s="5" t="inlineStr">
        <is>
          <t>checkbox</t>
        </is>
      </c>
      <c r="G33" s="5" t="inlineStr">
        <is>
          <t>Yes</t>
        </is>
      </c>
      <c r="H33" s="5" t="inlineStr"/>
      <c r="I33" s="5" t="inlineStr">
        <is>
          <t>113, 367, 132, 380</t>
        </is>
      </c>
      <c r="J33" s="5" t="inlineStr">
        <is>
          <t>question</t>
        </is>
      </c>
      <c r="K33" s="5" t="inlineStr">
        <is>
          <t>F2</t>
        </is>
      </c>
      <c r="L33" s="5" t="inlineStr">
        <is>
          <t>check if F2 has "wages"</t>
        </is>
      </c>
      <c r="M33" s="5" t="inlineStr"/>
      <c r="N33" s="5" t="inlineStr"/>
      <c r="O33" s="5" t="inlineStr"/>
    </row>
    <row r="34">
      <c r="A34" s="5" t="n">
        <v>33</v>
      </c>
      <c r="B34" s="5" t="n">
        <v>1</v>
      </c>
      <c r="C34" s="5" t="inlineStr">
        <is>
          <t>5</t>
        </is>
      </c>
      <c r="D34" s="5" t="inlineStr">
        <is>
          <t>th . . . . . . . . . . . . . . . . . . . . . . . . . . . . . . . . . . . . . . $</t>
        </is>
      </c>
      <c r="E34" s="5" t="inlineStr">
        <is>
          <t>TEXT.0.3.1.4.1.3.1.1.1.1.1.1.1.1.0b</t>
        </is>
      </c>
      <c r="F34" s="5" t="inlineStr">
        <is>
          <t>text</t>
        </is>
      </c>
      <c r="G34" s="5" t="inlineStr"/>
      <c r="H34" s="5" t="inlineStr"/>
      <c r="I34" s="5" t="inlineStr">
        <is>
          <t>517, 364, 574, 379</t>
        </is>
      </c>
      <c r="J34" s="5" t="inlineStr">
        <is>
          <t>question</t>
        </is>
      </c>
      <c r="K34" s="5" t="inlineStr">
        <is>
          <t>F3</t>
        </is>
      </c>
      <c r="L34" s="5">
        <f> money(F3["wages"].average)</f>
        <v/>
      </c>
      <c r="M34" s="5" t="inlineStr">
        <is>
          <t>F2 has "wages"</t>
        </is>
      </c>
      <c r="N34" s="5" t="inlineStr"/>
      <c r="O34" s="5" t="inlineStr"/>
    </row>
    <row r="35">
      <c r="A35" s="5" t="n">
        <v>34</v>
      </c>
      <c r="B35" s="5" t="n">
        <v>1</v>
      </c>
      <c r="C35" s="5" t="inlineStr">
        <is>
          <t>5</t>
        </is>
      </c>
      <c r="D35" s="5" t="inlineStr">
        <is>
          <t>stubs for</t>
        </is>
      </c>
      <c r="E35" s="5" t="inlineStr">
        <is>
          <t>CB.0.0.1.1.1.0</t>
        </is>
      </c>
      <c r="F35" s="5" t="inlineStr">
        <is>
          <t>checkbox</t>
        </is>
      </c>
      <c r="G35" s="5" t="inlineStr">
        <is>
          <t>Yes</t>
        </is>
      </c>
      <c r="H35" s="5" t="inlineStr"/>
      <c r="I35" s="5" t="inlineStr">
        <is>
          <t>113, 380, 132, 392</t>
        </is>
      </c>
      <c r="J35" s="5" t="inlineStr">
        <is>
          <t>question</t>
        </is>
      </c>
      <c r="K35" s="5" t="inlineStr">
        <is>
          <t>F2</t>
        </is>
      </c>
      <c r="L35" s="5" t="inlineStr">
        <is>
          <t>check if F2 has "pension"</t>
        </is>
      </c>
      <c r="M35" s="5" t="inlineStr"/>
      <c r="N35" s="5" t="inlineStr"/>
      <c r="O35" s="5" t="inlineStr"/>
    </row>
    <row r="36">
      <c r="A36" s="5" t="n">
        <v>35</v>
      </c>
      <c r="B36" s="5" t="n">
        <v>1</v>
      </c>
      <c r="C36" s="5" t="inlineStr">
        <is>
          <t>5</t>
        </is>
      </c>
      <c r="D36" s="5" t="inlineStr">
        <is>
          <t xml:space="preserve"> . . . . . . . . . . . . . . . . . . . . . . . . . . . . . . . . . . . . . . . $</t>
        </is>
      </c>
      <c r="E36" s="5" t="inlineStr">
        <is>
          <t>TEXT.0.3.1.4.1.3.1.1.1.1.1.1.1.1.0</t>
        </is>
      </c>
      <c r="F36" s="5" t="inlineStr">
        <is>
          <t>text</t>
        </is>
      </c>
      <c r="G36" s="5" t="inlineStr"/>
      <c r="H36" s="5" t="inlineStr"/>
      <c r="I36" s="5" t="inlineStr">
        <is>
          <t>517, 376, 574, 391</t>
        </is>
      </c>
      <c r="J36" s="5" t="inlineStr">
        <is>
          <t>question</t>
        </is>
      </c>
      <c r="K36" s="5" t="inlineStr">
        <is>
          <t>F3</t>
        </is>
      </c>
      <c r="L36" s="5">
        <f> money(F3["pension"].average)</f>
        <v/>
      </c>
      <c r="M36" s="5" t="inlineStr">
        <is>
          <t>F2 has "pension"</t>
        </is>
      </c>
      <c r="N36" s="5" t="inlineStr"/>
      <c r="O36" s="5" t="inlineStr"/>
    </row>
    <row r="37">
      <c r="A37" s="5" t="n">
        <v>36</v>
      </c>
      <c r="B37" s="5" t="n">
        <v>1</v>
      </c>
      <c r="C37" s="5" t="inlineStr">
        <is>
          <t>5</t>
        </is>
      </c>
      <c r="D37" s="5" t="inlineStr">
        <is>
          <t>last 2</t>
        </is>
      </c>
      <c r="E37" s="5" t="inlineStr">
        <is>
          <t>CB.0.0.1.1.1.1.0</t>
        </is>
      </c>
      <c r="F37" s="5" t="inlineStr">
        <is>
          <t>checkbox</t>
        </is>
      </c>
      <c r="G37" s="5" t="inlineStr">
        <is>
          <t>Yes</t>
        </is>
      </c>
      <c r="H37" s="5" t="inlineStr"/>
      <c r="I37" s="5" t="inlineStr">
        <is>
          <t>113, 392, 132, 404</t>
        </is>
      </c>
      <c r="J37" s="5" t="inlineStr">
        <is>
          <t>question</t>
        </is>
      </c>
      <c r="K37" s="5" t="inlineStr">
        <is>
          <t>F2</t>
        </is>
      </c>
      <c r="L37" s="5" t="inlineStr">
        <is>
          <t>check if F2 has "unemployment"</t>
        </is>
      </c>
      <c r="M37" s="5" t="inlineStr"/>
      <c r="N37" s="5" t="inlineStr"/>
      <c r="O37" s="5" t="inlineStr"/>
    </row>
    <row r="38">
      <c r="A38" s="5" t="n">
        <v>37</v>
      </c>
      <c r="B38" s="5" t="n">
        <v>1</v>
      </c>
      <c r="C38" s="5" t="inlineStr">
        <is>
          <t>5</t>
        </is>
      </c>
      <c r="D38" s="5" t="inlineStr">
        <is>
          <t>er month . . . . . . . . . . . . . . . . . . . . . . . . . . . . . . . . . . . $</t>
        </is>
      </c>
      <c r="E38" s="5" t="inlineStr">
        <is>
          <t>TEXT.0.3.1.4.1.3.1.1.1.1.1.1.1.1.1.0</t>
        </is>
      </c>
      <c r="F38" s="5" t="inlineStr">
        <is>
          <t>text</t>
        </is>
      </c>
      <c r="G38" s="5" t="inlineStr"/>
      <c r="H38" s="5" t="inlineStr"/>
      <c r="I38" s="5" t="inlineStr">
        <is>
          <t>517, 388, 574, 403</t>
        </is>
      </c>
      <c r="J38" s="5" t="inlineStr">
        <is>
          <t>question</t>
        </is>
      </c>
      <c r="K38" s="5" t="inlineStr">
        <is>
          <t>F3</t>
        </is>
      </c>
      <c r="L38" s="5">
        <f> money(F3["unemployment"].average)</f>
        <v/>
      </c>
      <c r="M38" s="5" t="inlineStr">
        <is>
          <t>F2 has "unemployment"</t>
        </is>
      </c>
      <c r="N38" s="5" t="inlineStr"/>
      <c r="O38" s="5" t="inlineStr"/>
    </row>
    <row r="39">
      <c r="A39" s="5" t="n">
        <v>38</v>
      </c>
      <c r="B39" s="5" t="n">
        <v>1</v>
      </c>
      <c r="C39" s="5" t="inlineStr">
        <is>
          <t>5</t>
        </is>
      </c>
      <c r="D39" s="5" t="inlineStr">
        <is>
          <t>months here</t>
        </is>
      </c>
      <c r="E39" s="5" t="inlineStr">
        <is>
          <t>CB.0.0.1.1.1.1.1.0</t>
        </is>
      </c>
      <c r="F39" s="5" t="inlineStr">
        <is>
          <t>checkbox</t>
        </is>
      </c>
      <c r="G39" s="5" t="inlineStr">
        <is>
          <t>Yes</t>
        </is>
      </c>
      <c r="H39" s="5" t="inlineStr"/>
      <c r="I39" s="5" t="inlineStr">
        <is>
          <t>113, 404, 132, 416</t>
        </is>
      </c>
      <c r="J39" s="5" t="inlineStr">
        <is>
          <t>question</t>
        </is>
      </c>
      <c r="K39" s="5" t="inlineStr">
        <is>
          <t>F2</t>
        </is>
      </c>
      <c r="L39" s="5" t="inlineStr">
        <is>
          <t>check if F2 has "workers' comp"</t>
        </is>
      </c>
      <c r="M39" s="5" t="inlineStr"/>
      <c r="N39" s="5" t="inlineStr"/>
      <c r="O39" s="5" t="inlineStr"/>
    </row>
    <row r="40">
      <c r="A40" s="5" t="n">
        <v>39</v>
      </c>
      <c r="B40" s="5" t="n">
        <v>1</v>
      </c>
      <c r="C40" s="5" t="inlineStr">
        <is>
          <t>5</t>
        </is>
      </c>
      <c r="D40" s="5" t="inlineStr">
        <is>
          <t xml:space="preserve"> . . . . . . . . . . . . . . . . . . . . . . . . . . . . . . . . . . . . . . . $</t>
        </is>
      </c>
      <c r="E40" s="5" t="inlineStr">
        <is>
          <t>TEXT.0.3.1.4.1.3.1.1.1.1.1.1.1.1.1.1.0</t>
        </is>
      </c>
      <c r="F40" s="5" t="inlineStr">
        <is>
          <t>text</t>
        </is>
      </c>
      <c r="G40" s="5" t="inlineStr"/>
      <c r="H40" s="5" t="inlineStr"/>
      <c r="I40" s="5" t="inlineStr">
        <is>
          <t>517, 400, 574, 415</t>
        </is>
      </c>
      <c r="J40" s="5" t="inlineStr">
        <is>
          <t>question</t>
        </is>
      </c>
      <c r="K40" s="5" t="inlineStr">
        <is>
          <t>F3</t>
        </is>
      </c>
      <c r="L40" s="5">
        <f> money(F3["workers' comp"].average)</f>
        <v/>
      </c>
      <c r="M40" s="5" t="inlineStr">
        <is>
          <t>F2 has "workers' comp"</t>
        </is>
      </c>
      <c r="N40" s="5" t="inlineStr"/>
      <c r="O40" s="5" t="inlineStr"/>
    </row>
    <row r="41">
      <c r="A41" s="5" t="n">
        <v>40</v>
      </c>
      <c r="B41" s="5" t="n">
        <v>1</v>
      </c>
      <c r="C41" s="5" t="inlineStr">
        <is>
          <t>5</t>
        </is>
      </c>
      <c r="D41" s="5" t="inlineStr">
        <is>
          <t>(cross out</t>
        </is>
      </c>
      <c r="E41" s="5" t="inlineStr">
        <is>
          <t>CB.0.0.1.1.1.1.1.1</t>
        </is>
      </c>
      <c r="F41" s="5" t="inlineStr">
        <is>
          <t>checkbox</t>
        </is>
      </c>
      <c r="G41" s="5" t="inlineStr">
        <is>
          <t>Yes</t>
        </is>
      </c>
      <c r="H41" s="5" t="inlineStr"/>
      <c r="I41" s="5" t="inlineStr">
        <is>
          <t>113, 416, 132, 428</t>
        </is>
      </c>
      <c r="J41" s="5" t="inlineStr">
        <is>
          <t>question</t>
        </is>
      </c>
      <c r="K41" s="5" t="inlineStr">
        <is>
          <t>F2</t>
        </is>
      </c>
      <c r="L41" s="5" t="inlineStr">
        <is>
          <t>check if F2 has "Social Security"</t>
        </is>
      </c>
      <c r="M41" s="5" t="inlineStr"/>
      <c r="N41" s="5" t="inlineStr"/>
      <c r="O41" s="5" t="inlineStr"/>
    </row>
    <row r="42">
      <c r="A42" s="5" t="n">
        <v>41</v>
      </c>
      <c r="B42" s="5" t="n">
        <v>1</v>
      </c>
      <c r="C42" s="5" t="inlineStr">
        <is>
          <t>5</t>
        </is>
      </c>
      <c r="D42" s="5" t="inlineStr">
        <is>
          <t>(cross out Social security:</t>
        </is>
      </c>
      <c r="E42" s="5" t="inlineStr">
        <is>
          <t>CB.0.0.1.1.1.1.1.2</t>
        </is>
      </c>
      <c r="F42" s="5" t="inlineStr">
        <is>
          <t>checkbox</t>
        </is>
      </c>
      <c r="G42" s="5" t="inlineStr">
        <is>
          <t>Yes</t>
        </is>
      </c>
      <c r="H42" s="5" t="inlineStr"/>
      <c r="I42" s="5" t="inlineStr">
        <is>
          <t>208, 415, 227, 427</t>
        </is>
      </c>
      <c r="J42" s="5" t="inlineStr">
        <is>
          <t>question</t>
        </is>
      </c>
      <c r="K42" s="5" t="inlineStr">
        <is>
          <t>F3</t>
        </is>
      </c>
      <c r="L42" s="5" t="inlineStr">
        <is>
          <t>check if F3["Social Security"].kind == "SSI"</t>
        </is>
      </c>
      <c r="M42" s="5" t="inlineStr">
        <is>
          <t>F2 has "Social Security"</t>
        </is>
      </c>
      <c r="N42" s="5" t="inlineStr"/>
      <c r="O42" s="5" t="inlineStr"/>
    </row>
    <row r="43">
      <c r="A43" s="5" t="n">
        <v>42</v>
      </c>
      <c r="B43" s="5" t="n">
        <v>1</v>
      </c>
      <c r="C43" s="5" t="inlineStr">
        <is>
          <t>5</t>
        </is>
      </c>
      <c r="D43" s="5" t="inlineStr">
        <is>
          <t>(cross out Social security: SSI</t>
        </is>
      </c>
      <c r="E43" s="5" t="inlineStr">
        <is>
          <t>CB.0.0.1.1.1.1.1.3.0</t>
        </is>
      </c>
      <c r="F43" s="5" t="inlineStr">
        <is>
          <t>checkbox</t>
        </is>
      </c>
      <c r="G43" s="5" t="inlineStr">
        <is>
          <t>Yes</t>
        </is>
      </c>
      <c r="H43" s="5" t="inlineStr"/>
      <c r="I43" s="5" t="inlineStr">
        <is>
          <t>253, 415, 272, 427</t>
        </is>
      </c>
      <c r="J43" s="5" t="inlineStr">
        <is>
          <t>question</t>
        </is>
      </c>
      <c r="K43" s="5" t="inlineStr">
        <is>
          <t>F3</t>
        </is>
      </c>
      <c r="L43" s="5" t="inlineStr">
        <is>
          <t>check if F3["Social Security"].kind == "other"</t>
        </is>
      </c>
      <c r="M43" s="5" t="inlineStr">
        <is>
          <t>F2 has "Social Security"</t>
        </is>
      </c>
      <c r="N43" s="5" t="inlineStr"/>
      <c r="O43" s="5" t="inlineStr"/>
    </row>
    <row r="44">
      <c r="A44" s="5" t="n">
        <v>43</v>
      </c>
      <c r="B44" s="5" t="n">
        <v>1</v>
      </c>
      <c r="C44" s="5" t="inlineStr">
        <is>
          <t>5</t>
        </is>
      </c>
      <c r="D44" s="5" t="inlineStr">
        <is>
          <t>Other Amount per month . . . . . . . . . . . . . . . . . . . . . . . . . . $</t>
        </is>
      </c>
      <c r="E44" s="5" t="inlineStr">
        <is>
          <t>TEXT.0.3.1.4.1.3.1.1.1.1.1.1.1.1.1.1.1.0</t>
        </is>
      </c>
      <c r="F44" s="5" t="inlineStr">
        <is>
          <t>text</t>
        </is>
      </c>
      <c r="G44" s="5" t="inlineStr"/>
      <c r="H44" s="5" t="inlineStr"/>
      <c r="I44" s="5" t="inlineStr">
        <is>
          <t>517, 412, 574, 426</t>
        </is>
      </c>
      <c r="J44" s="5" t="inlineStr">
        <is>
          <t>question</t>
        </is>
      </c>
      <c r="K44" s="5" t="inlineStr">
        <is>
          <t>F3</t>
        </is>
      </c>
      <c r="L44" s="5">
        <f> money(F3["Social Security"].average)</f>
        <v/>
      </c>
      <c r="M44" s="5" t="inlineStr">
        <is>
          <t>F2 has "Social Security"</t>
        </is>
      </c>
      <c r="N44" s="5" t="inlineStr"/>
      <c r="O44" s="5" t="inlineStr"/>
    </row>
    <row r="45">
      <c r="A45" s="5" t="n">
        <v>44</v>
      </c>
      <c r="B45" s="5" t="n">
        <v>1</v>
      </c>
      <c r="C45" s="5" t="inlineStr">
        <is>
          <t>5</t>
        </is>
      </c>
      <c r="D45" s="5" t="inlineStr">
        <is>
          <t>social</t>
        </is>
      </c>
      <c r="E45" s="5" t="inlineStr">
        <is>
          <t>CB.0.0.1.1.1.1.1.3.1.0</t>
        </is>
      </c>
      <c r="F45" s="5" t="inlineStr">
        <is>
          <t>checkbox</t>
        </is>
      </c>
      <c r="G45" s="5" t="inlineStr">
        <is>
          <t>Yes</t>
        </is>
      </c>
      <c r="H45" s="5" t="inlineStr"/>
      <c r="I45" s="5" t="inlineStr">
        <is>
          <t>113, 427, 132, 439</t>
        </is>
      </c>
      <c r="J45" s="5" t="inlineStr">
        <is>
          <t>question</t>
        </is>
      </c>
      <c r="K45" s="5" t="inlineStr">
        <is>
          <t>F2</t>
        </is>
      </c>
      <c r="L45" s="5" t="inlineStr">
        <is>
          <t>check if F2 has "disability"</t>
        </is>
      </c>
      <c r="M45" s="5" t="inlineStr"/>
      <c r="N45" s="5" t="inlineStr"/>
      <c r="O45" s="5" t="inlineStr"/>
    </row>
    <row r="46">
      <c r="A46" s="5" t="n">
        <v>45</v>
      </c>
      <c r="B46" s="5" t="n">
        <v>1</v>
      </c>
      <c r="C46" s="5" t="inlineStr">
        <is>
          <t>5</t>
        </is>
      </c>
      <c r="D46" s="5" t="inlineStr">
        <is>
          <t xml:space="preserve"> . . . . . . . . . . . . . . . . . . . . . . . . . . . . . . . . . . . . . . . $</t>
        </is>
      </c>
      <c r="E46" s="5" t="inlineStr">
        <is>
          <t>TEXT.0.3.1.4.1.3.1.1.1.1.1.1.1.1.1.1.1.1.0</t>
        </is>
      </c>
      <c r="F46" s="5" t="inlineStr">
        <is>
          <t>text</t>
        </is>
      </c>
      <c r="G46" s="5" t="inlineStr"/>
      <c r="H46" s="5" t="inlineStr"/>
      <c r="I46" s="5" t="inlineStr">
        <is>
          <t>517, 424, 574, 439</t>
        </is>
      </c>
      <c r="J46" s="5" t="inlineStr">
        <is>
          <t>question</t>
        </is>
      </c>
      <c r="K46" s="5" t="inlineStr">
        <is>
          <t>F3</t>
        </is>
      </c>
      <c r="L46" s="5">
        <f> money(F3["disability"].average)</f>
        <v/>
      </c>
      <c r="M46" s="5" t="inlineStr">
        <is>
          <t>F2 has "disability"</t>
        </is>
      </c>
      <c r="N46" s="5" t="inlineStr"/>
      <c r="O46" s="5" t="inlineStr"/>
    </row>
    <row r="47">
      <c r="A47" s="5" t="n">
        <v>46</v>
      </c>
      <c r="B47" s="5" t="n">
        <v>1</v>
      </c>
      <c r="C47" s="5" t="inlineStr">
        <is>
          <t>5</t>
        </is>
      </c>
      <c r="D47" s="5" t="inlineStr">
        <is>
          <t>security</t>
        </is>
      </c>
      <c r="E47" s="5" t="inlineStr">
        <is>
          <t>CB.0.0.1.1.1.k1.1.3.1.0</t>
        </is>
      </c>
      <c r="F47" s="5" t="inlineStr">
        <is>
          <t>checkbox</t>
        </is>
      </c>
      <c r="G47" s="5" t="inlineStr">
        <is>
          <t>Yes</t>
        </is>
      </c>
      <c r="H47" s="5" t="inlineStr"/>
      <c r="I47" s="5" t="inlineStr">
        <is>
          <t>113, 439, 132, 451</t>
        </is>
      </c>
      <c r="J47" s="5" t="inlineStr">
        <is>
          <t>question</t>
        </is>
      </c>
      <c r="K47" s="5" t="inlineStr">
        <is>
          <t>F2</t>
        </is>
      </c>
      <c r="L47" s="5" t="inlineStr">
        <is>
          <t>check if F2 has "interest or dividends"</t>
        </is>
      </c>
      <c r="M47" s="5" t="inlineStr"/>
      <c r="N47" s="5" t="inlineStr"/>
      <c r="O47" s="5" t="inlineStr"/>
    </row>
    <row r="48">
      <c r="A48" s="5" t="n">
        <v>47</v>
      </c>
      <c r="B48" s="5" t="n">
        <v>1</v>
      </c>
      <c r="C48" s="5" t="inlineStr">
        <is>
          <t>5</t>
        </is>
      </c>
      <c r="D48" s="5" t="inlineStr">
        <is>
          <t>other): Amount per month . . . . . . . . . . . . . . . . . . . . . $</t>
        </is>
      </c>
      <c r="E48" s="5" t="inlineStr">
        <is>
          <t>TEXT.0.3.1.4.1.3.1.1.1.1.1.1.1.1.1.1.1.1.1.0</t>
        </is>
      </c>
      <c r="F48" s="5" t="inlineStr">
        <is>
          <t>text</t>
        </is>
      </c>
      <c r="G48" s="5" t="inlineStr"/>
      <c r="H48" s="5" t="inlineStr"/>
      <c r="I48" s="5" t="inlineStr">
        <is>
          <t>517, 436, 574, 451</t>
        </is>
      </c>
      <c r="J48" s="5" t="inlineStr">
        <is>
          <t>question</t>
        </is>
      </c>
      <c r="K48" s="5" t="inlineStr">
        <is>
          <t>F3</t>
        </is>
      </c>
      <c r="L48" s="5">
        <f> money(F3["interest or dividends"].average)</f>
        <v/>
      </c>
      <c r="M48" s="5" t="inlineStr">
        <is>
          <t>F2 has "interest or dividends"</t>
        </is>
      </c>
      <c r="N48" s="5" t="inlineStr"/>
      <c r="O48" s="5" t="inlineStr"/>
    </row>
    <row r="49">
      <c r="A49" s="5" t="n">
        <v>48</v>
      </c>
      <c r="B49" s="5" t="n">
        <v>1</v>
      </c>
      <c r="C49" s="5" t="inlineStr">
        <is>
          <t>6a</t>
        </is>
      </c>
      <c r="D49" s="5" t="inlineStr">
        <is>
          <t>a.</t>
        </is>
      </c>
      <c r="E49" s="5" t="inlineStr">
        <is>
          <t>CB.0.0.1.1.1.1.1.3.1.1.0</t>
        </is>
      </c>
      <c r="F49" s="5" t="inlineStr">
        <is>
          <t>checkbox</t>
        </is>
      </c>
      <c r="G49" s="5" t="inlineStr">
        <is>
          <t>Yes</t>
        </is>
      </c>
      <c r="H49" s="5" t="inlineStr"/>
      <c r="I49" s="5" t="inlineStr">
        <is>
          <t>64, 475, 83, 488</t>
        </is>
      </c>
      <c r="J49" s="5" t="inlineStr">
        <is>
          <t>question</t>
        </is>
      </c>
      <c r="K49" s="5" t="inlineStr">
        <is>
          <t>F18</t>
        </is>
      </c>
      <c r="L49" s="5" t="inlineStr">
        <is>
          <t>check if F18["childcare for work"] &gt; 0</t>
        </is>
      </c>
      <c r="M49" s="5" t="inlineStr"/>
      <c r="N49" s="5" t="inlineStr"/>
      <c r="O49" s="5" t="inlineStr"/>
    </row>
    <row r="50">
      <c r="A50" s="5" t="n">
        <v>49</v>
      </c>
      <c r="B50" s="5" t="n">
        <v>1</v>
      </c>
      <c r="C50" s="5" t="inlineStr">
        <is>
          <t>6a</t>
        </is>
      </c>
      <c r="D50" s="5" t="inlineStr">
        <is>
          <t>hool . . . . . . . . . . . . . . . . . . . . . . . . . . . . . . . . . . . . . $</t>
        </is>
      </c>
      <c r="E50" s="5" t="inlineStr">
        <is>
          <t>TEXT.0.3.1.4.1.3.1.1.1.1.1.1.1.1.1.1.1.1.1.1.0</t>
        </is>
      </c>
      <c r="F50" s="5" t="inlineStr">
        <is>
          <t>text</t>
        </is>
      </c>
      <c r="G50" s="5" t="inlineStr"/>
      <c r="H50" s="5" t="inlineStr"/>
      <c r="I50" s="5" t="inlineStr">
        <is>
          <t>517, 473, 574, 488</t>
        </is>
      </c>
      <c r="J50" s="5" t="inlineStr">
        <is>
          <t>question</t>
        </is>
      </c>
      <c r="K50" s="5" t="inlineStr">
        <is>
          <t>F18</t>
        </is>
      </c>
      <c r="L50" s="5">
        <f> money(F18["childcare for work"])</f>
        <v/>
      </c>
      <c r="M50" s="5" t="inlineStr"/>
      <c r="N50" s="5" t="inlineStr"/>
      <c r="O50" s="5" t="inlineStr"/>
    </row>
    <row r="51">
      <c r="A51" s="5" t="n">
        <v>50</v>
      </c>
      <c r="B51" s="5" t="n">
        <v>1</v>
      </c>
      <c r="C51" s="5" t="inlineStr">
        <is>
          <t>6b</t>
        </is>
      </c>
      <c r="D51" s="5" t="inlineStr">
        <is>
          <t>b.</t>
        </is>
      </c>
      <c r="E51" s="5" t="inlineStr">
        <is>
          <t>CB.0.0.1.1.1.1.1.3.1.1.1.0</t>
        </is>
      </c>
      <c r="F51" s="5" t="inlineStr">
        <is>
          <t>checkbox</t>
        </is>
      </c>
      <c r="G51" s="5" t="inlineStr">
        <is>
          <t>Yes</t>
        </is>
      </c>
      <c r="H51" s="5" t="inlineStr"/>
      <c r="I51" s="5" t="inlineStr">
        <is>
          <t>64, 488, 83, 500</t>
        </is>
      </c>
      <c r="J51" s="5" t="inlineStr">
        <is>
          <t>question</t>
        </is>
      </c>
      <c r="K51" s="5" t="inlineStr">
        <is>
          <t>F18</t>
        </is>
      </c>
      <c r="L51" s="5" t="inlineStr">
        <is>
          <t>check if F18["uninsured health care"] &gt; 0</t>
        </is>
      </c>
      <c r="M51" s="5" t="inlineStr"/>
      <c r="N51" s="5" t="inlineStr"/>
      <c r="O51" s="5" t="inlineStr"/>
    </row>
    <row r="52">
      <c r="A52" s="5" t="n">
        <v>51</v>
      </c>
      <c r="B52" s="5" t="n">
        <v>1</v>
      </c>
      <c r="C52" s="5" t="inlineStr">
        <is>
          <t>6b</t>
        </is>
      </c>
      <c r="D52" s="5" t="inlineStr">
        <is>
          <t xml:space="preserve"> . . . . . . . . . . . . . . . . . . . . . . . . . . . . . . . . . . . . . . . $</t>
        </is>
      </c>
      <c r="E52" s="5" t="inlineStr">
        <is>
          <t>TEXT.0.3.1.4.1.3.1.1.1.1.1.1.1.1.1.1.1.1.1.1.1.0</t>
        </is>
      </c>
      <c r="F52" s="5" t="inlineStr">
        <is>
          <t>text</t>
        </is>
      </c>
      <c r="G52" s="5" t="inlineStr"/>
      <c r="H52" s="5" t="inlineStr"/>
      <c r="I52" s="5" t="inlineStr">
        <is>
          <t>517, 485, 574, 501</t>
        </is>
      </c>
      <c r="J52" s="5" t="inlineStr">
        <is>
          <t>question</t>
        </is>
      </c>
      <c r="K52" s="5" t="inlineStr">
        <is>
          <t>F18</t>
        </is>
      </c>
      <c r="L52" s="5">
        <f> money(F18["uninsured health care"])</f>
        <v/>
      </c>
      <c r="M52" s="5" t="inlineStr"/>
      <c r="N52" s="5" t="inlineStr"/>
      <c r="O52" s="5" t="inlineStr"/>
    </row>
    <row r="53">
      <c r="A53" s="5" t="n">
        <v>52</v>
      </c>
      <c r="B53" s="5" t="n">
        <v>1</v>
      </c>
      <c r="C53" s="5" t="inlineStr">
        <is>
          <t>6c</t>
        </is>
      </c>
      <c r="D53" s="5" t="inlineStr">
        <is>
          <t>c.</t>
        </is>
      </c>
      <c r="E53" s="5" t="inlineStr">
        <is>
          <t>CB.0.0.1.1.1.1.1.3.1.1.1.1.0</t>
        </is>
      </c>
      <c r="F53" s="5" t="inlineStr">
        <is>
          <t>checkbox</t>
        </is>
      </c>
      <c r="G53" s="5" t="inlineStr">
        <is>
          <t>Yes</t>
        </is>
      </c>
      <c r="H53" s="5" t="inlineStr"/>
      <c r="I53" s="5" t="inlineStr">
        <is>
          <t>64, 499, 83, 511</t>
        </is>
      </c>
      <c r="J53" s="5" t="inlineStr">
        <is>
          <t>question</t>
        </is>
      </c>
      <c r="K53" s="5" t="inlineStr">
        <is>
          <t>F18</t>
        </is>
      </c>
      <c r="L53" s="5" t="inlineStr">
        <is>
          <t>check if F18["special needs"] &gt; 0</t>
        </is>
      </c>
      <c r="M53" s="5" t="inlineStr"/>
      <c r="N53" s="5" t="inlineStr"/>
      <c r="O53" s="5" t="inlineStr"/>
    </row>
    <row r="54">
      <c r="A54" s="5" t="n">
        <v>53</v>
      </c>
      <c r="B54" s="5" t="n">
        <v>1</v>
      </c>
      <c r="C54" s="5" t="inlineStr">
        <is>
          <t>6c</t>
        </is>
      </c>
      <c r="D54" s="5" t="inlineStr">
        <is>
          <t>e child . . . . . . . . . . . . . . .. . . . . . . . . . . . . . . . . . . . . $</t>
        </is>
      </c>
      <c r="E54" s="5" t="inlineStr">
        <is>
          <t>TEXT.0.3.1.4.1.3.1.1.1.1.1.1.1.1.1.1.1.1.1.1.1.1.0</t>
        </is>
      </c>
      <c r="F54" s="5" t="inlineStr">
        <is>
          <t>text</t>
        </is>
      </c>
      <c r="G54" s="5" t="inlineStr"/>
      <c r="H54" s="5" t="inlineStr"/>
      <c r="I54" s="5" t="inlineStr">
        <is>
          <t>517, 496, 574, 512</t>
        </is>
      </c>
      <c r="J54" s="5" t="inlineStr">
        <is>
          <t>question</t>
        </is>
      </c>
      <c r="K54" s="5" t="inlineStr">
        <is>
          <t>F18</t>
        </is>
      </c>
      <c r="L54" s="5">
        <f> money(F18["special needs"])</f>
        <v/>
      </c>
      <c r="M54" s="5" t="inlineStr"/>
      <c r="N54" s="5" t="inlineStr"/>
      <c r="O54" s="5" t="inlineStr"/>
    </row>
    <row r="55">
      <c r="A55" s="5" t="n">
        <v>54</v>
      </c>
      <c r="B55" s="5" t="n">
        <v>1</v>
      </c>
      <c r="C55" s="5" t="inlineStr">
        <is>
          <t>6d</t>
        </is>
      </c>
      <c r="D55" s="5" t="inlineStr">
        <is>
          <t>d.</t>
        </is>
      </c>
      <c r="E55" s="5" t="inlineStr">
        <is>
          <t>CB.0.0.1.1.1.1.1.3.1.1.1.1.1.0</t>
        </is>
      </c>
      <c r="F55" s="5" t="inlineStr">
        <is>
          <t>checkbox</t>
        </is>
      </c>
      <c r="G55" s="5" t="inlineStr">
        <is>
          <t>Yes</t>
        </is>
      </c>
      <c r="H55" s="5" t="inlineStr"/>
      <c r="I55" s="5" t="inlineStr">
        <is>
          <t>64, 511, 83, 523</t>
        </is>
      </c>
      <c r="J55" s="5" t="inlineStr">
        <is>
          <t>question</t>
        </is>
      </c>
      <c r="K55" s="5" t="inlineStr">
        <is>
          <t>F18</t>
        </is>
      </c>
      <c r="L55" s="5" t="inlineStr">
        <is>
          <t>check if F18["visitation travel"] &gt; 0</t>
        </is>
      </c>
      <c r="M55" s="5" t="inlineStr"/>
      <c r="N55" s="5" t="inlineStr"/>
      <c r="O55" s="5" t="inlineStr"/>
    </row>
    <row r="56">
      <c r="A56" s="5" t="n">
        <v>55</v>
      </c>
      <c r="B56" s="5" t="n">
        <v>1</v>
      </c>
      <c r="C56" s="5" t="inlineStr">
        <is>
          <t>6d</t>
        </is>
      </c>
      <c r="D56" s="5" t="inlineStr">
        <is>
          <t xml:space="preserve"> . . . . . . . . . . . . . . . . . . . . . . . . . . . . . . . . . . . . . . . $</t>
        </is>
      </c>
      <c r="E56" s="5" t="inlineStr">
        <is>
          <t>TEXT.0.3.1.4.1.3.1.1.1.1.1.1.1.1.1.1.1.1.1.1.1.1.1.0.0</t>
        </is>
      </c>
      <c r="F56" s="5" t="inlineStr">
        <is>
          <t>text</t>
        </is>
      </c>
      <c r="G56" s="5" t="inlineStr"/>
      <c r="H56" s="5" t="inlineStr"/>
      <c r="I56" s="5" t="inlineStr">
        <is>
          <t>517, 509, 574, 524</t>
        </is>
      </c>
      <c r="J56" s="5" t="inlineStr">
        <is>
          <t>question</t>
        </is>
      </c>
      <c r="K56" s="5" t="inlineStr">
        <is>
          <t>F18</t>
        </is>
      </c>
      <c r="L56" s="5">
        <f> money(F18["visitation travel"])</f>
        <v/>
      </c>
      <c r="M56" s="5" t="inlineStr"/>
      <c r="N56" s="5" t="inlineStr"/>
      <c r="O56" s="5" t="inlineStr"/>
    </row>
    <row r="57">
      <c r="A57" s="6" t="n">
        <v>56</v>
      </c>
      <c r="B57" s="6" t="n">
        <v>1</v>
      </c>
      <c r="C57" s="6" t="inlineStr">
        <is>
          <t>7</t>
        </is>
      </c>
      <c r="D57" s="6" t="inlineStr">
        <is>
          <t>7.</t>
        </is>
      </c>
      <c r="E57" s="6" t="inlineStr">
        <is>
          <t>CB.0.0.1.1.1.1.1.3.1.1.1.1.1.1.0</t>
        </is>
      </c>
      <c r="F57" s="6" t="inlineStr">
        <is>
          <t>checkbox</t>
        </is>
      </c>
      <c r="G57" s="6" t="inlineStr">
        <is>
          <t>Yes</t>
        </is>
      </c>
      <c r="H57" s="6" t="inlineStr"/>
      <c r="I57" s="6" t="inlineStr">
        <is>
          <t>49, 527, 68, 539</t>
        </is>
      </c>
      <c r="J57" s="6" t="inlineStr">
        <is>
          <t>derived</t>
        </is>
      </c>
      <c r="K57" s="6" t="inlineStr">
        <is>
          <t>PR7</t>
        </is>
      </c>
      <c r="L57" s="6" t="inlineStr">
        <is>
          <t>check if otherKids.length &gt; 0</t>
        </is>
      </c>
      <c r="M57" s="6" t="inlineStr"/>
      <c r="N57" s="6" t="inlineStr">
        <is>
          <t>otherKids = roster.where(PR6=="Y" and PR7=="N" and age&lt;18)</t>
        </is>
      </c>
      <c r="O57" s="6" t="inlineStr"/>
    </row>
    <row r="58">
      <c r="A58" s="6" t="n">
        <v>57</v>
      </c>
      <c r="B58" s="6" t="n">
        <v>1</v>
      </c>
      <c r="C58" s="6" t="inlineStr">
        <is>
          <t>7</t>
        </is>
      </c>
      <c r="D58" s="6" t="inlineStr">
        <is>
          <t>7. There are (specify number)</t>
        </is>
      </c>
      <c r="E58" s="6" t="inlineStr">
        <is>
          <t>TEXT.0.3.1.4.1.3.1.1.1.1.1.1.1.1.1.1.1.1.1.1.1.1.1.1</t>
        </is>
      </c>
      <c r="F58" s="6" t="inlineStr">
        <is>
          <t>text</t>
        </is>
      </c>
      <c r="G58" s="6" t="inlineStr"/>
      <c r="H58" s="6" t="inlineStr"/>
      <c r="I58" s="6" t="inlineStr">
        <is>
          <t>186, 524, 239, 539</t>
        </is>
      </c>
      <c r="J58" s="6" t="inlineStr">
        <is>
          <t>derived</t>
        </is>
      </c>
      <c r="K58" s="6" t="inlineStr">
        <is>
          <t>PR7</t>
        </is>
      </c>
      <c r="L58" s="6">
        <f> otherKids.length</f>
        <v/>
      </c>
      <c r="M58" s="6" t="inlineStr"/>
      <c r="N58" s="6" t="inlineStr"/>
      <c r="O58" s="6" t="inlineStr"/>
    </row>
    <row r="59">
      <c r="A59" s="5" t="n">
        <v>58</v>
      </c>
      <c r="B59" s="5" t="n">
        <v>1</v>
      </c>
      <c r="C59" s="5" t="inlineStr">
        <is>
          <t>7</t>
        </is>
      </c>
      <c r="D59" s="5" t="inlineStr">
        <is>
          <t xml:space="preserve"> . . . . . . . . . . . . . . . . . . . . . . . . . . . . . . . . . . . . . . . $</t>
        </is>
      </c>
      <c r="E59" s="5" t="inlineStr">
        <is>
          <t>TEXT.0.3.1.4.1.3.1.1.1.1.1.1.1.1.1.1.1.1.1.1.1.1.1.0.1.0</t>
        </is>
      </c>
      <c r="F59" s="5" t="inlineStr">
        <is>
          <t>text</t>
        </is>
      </c>
      <c r="G59" s="5" t="inlineStr"/>
      <c r="H59" s="5" t="inlineStr"/>
      <c r="I59" s="5" t="inlineStr">
        <is>
          <t>517, 535, 574, 550</t>
        </is>
      </c>
      <c r="J59" s="5" t="inlineStr">
        <is>
          <t>question</t>
        </is>
      </c>
      <c r="K59" s="5" t="inlineStr">
        <is>
          <t>F19</t>
        </is>
      </c>
      <c r="L59" s="5">
        <f> money(F19.otherChildren.amount)</f>
        <v/>
      </c>
      <c r="M59" s="5" t="inlineStr"/>
      <c r="N59" s="5" t="inlineStr"/>
      <c r="O59" s="5" t="inlineStr"/>
    </row>
    <row r="60">
      <c r="A60" s="5" t="n">
        <v>59</v>
      </c>
      <c r="B60" s="5" t="n">
        <v>1</v>
      </c>
      <c r="C60" s="5" t="inlineStr">
        <is>
          <t>8a</t>
        </is>
      </c>
      <c r="D60" s="5" t="inlineStr">
        <is>
          <t>a.</t>
        </is>
      </c>
      <c r="E60" s="5" t="inlineStr">
        <is>
          <t>CB.0.0.1.1.1.1.1.3.1.1.1.1.1.1.1.0</t>
        </is>
      </c>
      <c r="F60" s="5" t="inlineStr">
        <is>
          <t>checkbox</t>
        </is>
      </c>
      <c r="G60" s="5" t="inlineStr">
        <is>
          <t>Yes</t>
        </is>
      </c>
      <c r="H60" s="5" t="inlineStr"/>
      <c r="I60" s="5" t="inlineStr">
        <is>
          <t>63, 563, 82, 575</t>
        </is>
      </c>
      <c r="J60" s="5" t="inlineStr">
        <is>
          <t>question</t>
        </is>
      </c>
      <c r="K60" s="5" t="inlineStr">
        <is>
          <t>F9</t>
        </is>
      </c>
      <c r="L60" s="5" t="inlineStr">
        <is>
          <t>check if F9["job expenses"] &gt; 0</t>
        </is>
      </c>
      <c r="M60" s="5" t="inlineStr"/>
      <c r="N60" s="5" t="inlineStr"/>
      <c r="O60" s="5" t="inlineStr"/>
    </row>
    <row r="61">
      <c r="A61" s="5" t="n">
        <v>60</v>
      </c>
      <c r="B61" s="5" t="n">
        <v>1</v>
      </c>
      <c r="C61" s="5" t="inlineStr">
        <is>
          <t>8a</t>
        </is>
      </c>
      <c r="D61" s="5" t="inlineStr">
        <is>
          <t>employer (specify reasons for expenses on separate sheet) $</t>
        </is>
      </c>
      <c r="E61" s="5" t="inlineStr">
        <is>
          <t>TEXT.0.3.1.4.1.3.1.1.1.1.1.1.1.1.1.1.1.1.1.1.1.1.1.0.1.1.0</t>
        </is>
      </c>
      <c r="F61" s="5" t="inlineStr">
        <is>
          <t>text</t>
        </is>
      </c>
      <c r="G61" s="5" t="inlineStr"/>
      <c r="H61" s="5" t="inlineStr"/>
      <c r="I61" s="5" t="inlineStr">
        <is>
          <t>517, 560, 574, 576</t>
        </is>
      </c>
      <c r="J61" s="5" t="inlineStr">
        <is>
          <t>question</t>
        </is>
      </c>
      <c r="K61" s="5" t="inlineStr">
        <is>
          <t>F9</t>
        </is>
      </c>
      <c r="L61" s="5">
        <f> money(F9["job expenses"])</f>
        <v/>
      </c>
      <c r="M61" s="5" t="inlineStr"/>
      <c r="N61" s="5" t="inlineStr"/>
      <c r="O61" s="5" t="inlineStr"/>
    </row>
    <row r="62">
      <c r="A62" s="5" t="n">
        <v>61</v>
      </c>
      <c r="B62" s="5" t="n">
        <v>1</v>
      </c>
      <c r="C62" s="5" t="inlineStr">
        <is>
          <t>8b</t>
        </is>
      </c>
      <c r="D62" s="5" t="inlineStr">
        <is>
          <t>b.</t>
        </is>
      </c>
      <c r="E62" s="5" t="inlineStr">
        <is>
          <t>CB.0.0.1.1.1.1.1.3.1.1.1.1.1.1.1.1.0</t>
        </is>
      </c>
      <c r="F62" s="5" t="inlineStr">
        <is>
          <t>checkbox</t>
        </is>
      </c>
      <c r="G62" s="5" t="inlineStr">
        <is>
          <t>Yes</t>
        </is>
      </c>
      <c r="H62" s="5" t="inlineStr"/>
      <c r="I62" s="5" t="inlineStr">
        <is>
          <t>63, 575, 82, 587</t>
        </is>
      </c>
      <c r="J62" s="5" t="inlineStr">
        <is>
          <t>question</t>
        </is>
      </c>
      <c r="K62" s="5" t="inlineStr">
        <is>
          <t>F9</t>
        </is>
      </c>
      <c r="L62" s="5" t="inlineStr">
        <is>
          <t>check if F9["union dues"] &gt; 0</t>
        </is>
      </c>
      <c r="M62" s="5" t="inlineStr"/>
      <c r="N62" s="5" t="inlineStr"/>
      <c r="O62" s="5" t="inlineStr"/>
    </row>
    <row r="63">
      <c r="A63" s="5" t="n">
        <v>62</v>
      </c>
      <c r="B63" s="5" t="n">
        <v>1</v>
      </c>
      <c r="C63" s="5" t="inlineStr">
        <is>
          <t>8b</t>
        </is>
      </c>
      <c r="D63" s="5" t="inlineStr">
        <is>
          <t xml:space="preserve"> . . . . . . . . . . . . . . . . . . . . . . . . . . . . . . . . . . . . . . . $</t>
        </is>
      </c>
      <c r="E63" s="5" t="inlineStr">
        <is>
          <t>TEXT.0.3.1.4.1.3.1.1.1.1.1.1.1.1.1.1.1.1.1.1.1.1.1.0.1.1.1.0</t>
        </is>
      </c>
      <c r="F63" s="5" t="inlineStr">
        <is>
          <t>text</t>
        </is>
      </c>
      <c r="G63" s="5" t="inlineStr"/>
      <c r="H63" s="5" t="inlineStr"/>
      <c r="I63" s="5" t="inlineStr">
        <is>
          <t>517, 572, 574, 587</t>
        </is>
      </c>
      <c r="J63" s="5" t="inlineStr">
        <is>
          <t>question</t>
        </is>
      </c>
      <c r="K63" s="5" t="inlineStr">
        <is>
          <t>F9</t>
        </is>
      </c>
      <c r="L63" s="5">
        <f> money(F9["union dues"])</f>
        <v/>
      </c>
      <c r="M63" s="5" t="inlineStr"/>
      <c r="N63" s="5" t="inlineStr"/>
      <c r="O63" s="5" t="inlineStr"/>
    </row>
    <row r="64">
      <c r="A64" s="5" t="n">
        <v>63</v>
      </c>
      <c r="B64" s="5" t="n">
        <v>1</v>
      </c>
      <c r="C64" s="5" t="inlineStr">
        <is>
          <t>8c</t>
        </is>
      </c>
      <c r="D64" s="5" t="inlineStr">
        <is>
          <t>c.</t>
        </is>
      </c>
      <c r="E64" s="5" t="inlineStr">
        <is>
          <t>CB.0.0.1.1.1.1.1.3.1.1.1.1.1.1.1.1.1.0</t>
        </is>
      </c>
      <c r="F64" s="5" t="inlineStr">
        <is>
          <t>checkbox</t>
        </is>
      </c>
      <c r="G64" s="5" t="inlineStr">
        <is>
          <t>Yes</t>
        </is>
      </c>
      <c r="H64" s="5" t="inlineStr"/>
      <c r="I64" s="5" t="inlineStr">
        <is>
          <t>63, 586, 82, 598</t>
        </is>
      </c>
      <c r="J64" s="5" t="inlineStr">
        <is>
          <t>question</t>
        </is>
      </c>
      <c r="K64" s="5" t="inlineStr">
        <is>
          <t>F9</t>
        </is>
      </c>
      <c r="L64" s="5" t="inlineStr">
        <is>
          <t>check if F9["required retirement"] &gt; 0</t>
        </is>
      </c>
      <c r="M64" s="5" t="inlineStr"/>
      <c r="N64" s="5" t="inlineStr"/>
      <c r="O64" s="5" t="inlineStr"/>
    </row>
    <row r="65">
      <c r="A65" s="5" t="n">
        <v>64</v>
      </c>
      <c r="B65" s="5" t="n">
        <v>1</v>
      </c>
      <c r="C65" s="5" t="inlineStr">
        <is>
          <t>8c</t>
        </is>
      </c>
      <c r="D65" s="5" t="inlineStr">
        <is>
          <t>FICA, 401k or IRA) . . . . . . . . . . . . . . .. . . . . . . . . . . . . $</t>
        </is>
      </c>
      <c r="E65" s="5" t="inlineStr">
        <is>
          <t>TEXT.0.3.1.4.1.3.1.1.1.1.1.1.1.1.1.1.1.1.1.1.1.1.1.0.1.1.1.1.0</t>
        </is>
      </c>
      <c r="F65" s="5" t="inlineStr">
        <is>
          <t>text</t>
        </is>
      </c>
      <c r="G65" s="5" t="inlineStr"/>
      <c r="H65" s="5" t="inlineStr"/>
      <c r="I65" s="5" t="inlineStr">
        <is>
          <t>517, 583, 574, 598</t>
        </is>
      </c>
      <c r="J65" s="5" t="inlineStr">
        <is>
          <t>question</t>
        </is>
      </c>
      <c r="K65" s="5" t="inlineStr">
        <is>
          <t>F9</t>
        </is>
      </c>
      <c r="L65" s="5">
        <f> money(F9["required retirement"])</f>
        <v/>
      </c>
      <c r="M65" s="5" t="inlineStr"/>
      <c r="N65" s="5" t="inlineStr"/>
      <c r="O65" s="5" t="inlineStr"/>
    </row>
    <row r="66">
      <c r="A66" s="5" t="n">
        <v>65</v>
      </c>
      <c r="B66" s="5" t="n">
        <v>1</v>
      </c>
      <c r="C66" s="5" t="inlineStr">
        <is>
          <t>8d</t>
        </is>
      </c>
      <c r="D66" s="5" t="inlineStr">
        <is>
          <t>d.</t>
        </is>
      </c>
      <c r="E66" s="5" t="inlineStr">
        <is>
          <t>CB.0.0.1.1.1.1.1.3.1.1.1.1.1.1.1.1.1.1.0</t>
        </is>
      </c>
      <c r="F66" s="5" t="inlineStr">
        <is>
          <t>checkbox</t>
        </is>
      </c>
      <c r="G66" s="5" t="inlineStr">
        <is>
          <t>Yes</t>
        </is>
      </c>
      <c r="H66" s="5" t="inlineStr"/>
      <c r="I66" s="5" t="inlineStr">
        <is>
          <t>63, 599, 82, 611</t>
        </is>
      </c>
      <c r="J66" s="5" t="inlineStr">
        <is>
          <t>question</t>
        </is>
      </c>
      <c r="K66" s="5" t="inlineStr">
        <is>
          <t>F9</t>
        </is>
      </c>
      <c r="L66" s="5" t="inlineStr">
        <is>
          <t>check if F9["health insurance"] &gt; 0</t>
        </is>
      </c>
      <c r="M66" s="5" t="inlineStr"/>
      <c r="N66" s="5" t="inlineStr"/>
      <c r="O66" s="5" t="inlineStr"/>
    </row>
    <row r="67">
      <c r="A67" s="5" t="n">
        <v>66</v>
      </c>
      <c r="B67" s="5" t="n">
        <v>1</v>
      </c>
      <c r="C67" s="5" t="inlineStr">
        <is>
          <t>8d</t>
        </is>
      </c>
      <c r="D67" s="5" t="inlineStr">
        <is>
          <t xml:space="preserve"> . . . . . . . . . . . . . . . . . . . . . . . . . . . . . . . . . . . . . . . $</t>
        </is>
      </c>
      <c r="E67" s="5" t="inlineStr">
        <is>
          <t>TEXT.0.3.1.4.1.3.1.1.1.1.1.1.1.1.1.1.1.1.1.1.1.1.1.0.1.1.1.1.1.0</t>
        </is>
      </c>
      <c r="F67" s="5" t="inlineStr">
        <is>
          <t>text</t>
        </is>
      </c>
      <c r="G67" s="5" t="inlineStr"/>
      <c r="H67" s="5" t="inlineStr"/>
      <c r="I67" s="5" t="inlineStr">
        <is>
          <t>517, 594, 574, 610</t>
        </is>
      </c>
      <c r="J67" s="5" t="inlineStr">
        <is>
          <t>question</t>
        </is>
      </c>
      <c r="K67" s="5" t="inlineStr">
        <is>
          <t>F9</t>
        </is>
      </c>
      <c r="L67" s="5">
        <f> money(F9["health insurance"])</f>
        <v/>
      </c>
      <c r="M67" s="5" t="inlineStr"/>
      <c r="N67" s="5" t="inlineStr"/>
      <c r="O67" s="5" t="inlineStr"/>
    </row>
    <row r="68">
      <c r="A68" s="5" t="n">
        <v>67</v>
      </c>
      <c r="B68" s="5" t="n">
        <v>1</v>
      </c>
      <c r="C68" s="5" t="inlineStr">
        <is>
          <t>8e</t>
        </is>
      </c>
      <c r="D68" s="5" t="inlineStr">
        <is>
          <t>e.</t>
        </is>
      </c>
      <c r="E68" s="5" t="inlineStr">
        <is>
          <t>CB.0.0.1.1.1.1.1.3.1.1.1.1.1.1.1.1.1.1.1.0</t>
        </is>
      </c>
      <c r="F68" s="5" t="inlineStr">
        <is>
          <t>checkbox</t>
        </is>
      </c>
      <c r="G68" s="5" t="inlineStr">
        <is>
          <t>Yes</t>
        </is>
      </c>
      <c r="H68" s="5" t="inlineStr"/>
      <c r="I68" s="5" t="inlineStr">
        <is>
          <t>63, 611, 82, 623</t>
        </is>
      </c>
      <c r="J68" s="5" t="inlineStr">
        <is>
          <t>question</t>
        </is>
      </c>
      <c r="K68" s="5" t="inlineStr">
        <is>
          <t>F9</t>
        </is>
      </c>
      <c r="L68" s="5" t="inlineStr">
        <is>
          <t>check if F9["child support for other children"] &gt; 0</t>
        </is>
      </c>
      <c r="M68" s="5" t="inlineStr"/>
      <c r="N68" s="5" t="inlineStr"/>
      <c r="O68" s="5" t="inlineStr"/>
    </row>
    <row r="69">
      <c r="A69" s="5" t="n">
        <v>68</v>
      </c>
      <c r="B69" s="5" t="n">
        <v>1</v>
      </c>
      <c r="C69" s="5" t="inlineStr">
        <is>
          <t>8e</t>
        </is>
      </c>
      <c r="D69" s="5" t="inlineStr">
        <is>
          <t>mine who are not living with me . .. . . . . . . . . . . . . . . . $</t>
        </is>
      </c>
      <c r="E69" s="5" t="inlineStr">
        <is>
          <t>TEXT.0.3.1.4.1.3.1.1.1.1.1.1.1.1.1.1.1.1.1.1.1.1.1.0.1.1.1.1.1.1.0</t>
        </is>
      </c>
      <c r="F69" s="5" t="inlineStr">
        <is>
          <t>text</t>
        </is>
      </c>
      <c r="G69" s="5" t="inlineStr"/>
      <c r="H69" s="5" t="inlineStr"/>
      <c r="I69" s="5" t="inlineStr">
        <is>
          <t>517, 607, 574, 622</t>
        </is>
      </c>
      <c r="J69" s="5" t="inlineStr">
        <is>
          <t>question</t>
        </is>
      </c>
      <c r="K69" s="5" t="inlineStr">
        <is>
          <t>F9</t>
        </is>
      </c>
      <c r="L69" s="5">
        <f> money(F9["child support for other children"])</f>
        <v/>
      </c>
      <c r="M69" s="5" t="inlineStr"/>
      <c r="N69" s="5" t="inlineStr"/>
      <c r="O69" s="5" t="inlineStr"/>
    </row>
    <row r="70">
      <c r="A70" s="5" t="n">
        <v>69</v>
      </c>
      <c r="B70" s="5" t="n">
        <v>1</v>
      </c>
      <c r="C70" s="5" t="inlineStr">
        <is>
          <t>8f</t>
        </is>
      </c>
      <c r="D70" s="5" t="inlineStr">
        <is>
          <t>f.</t>
        </is>
      </c>
      <c r="E70" s="5" t="inlineStr">
        <is>
          <t>CB.0.0.1.1.1.1.1.3.1.1.1.1.1.1.1.1.1.1.1.1.0</t>
        </is>
      </c>
      <c r="F70" s="5" t="inlineStr">
        <is>
          <t>checkbox</t>
        </is>
      </c>
      <c r="G70" s="5" t="inlineStr">
        <is>
          <t>Yes</t>
        </is>
      </c>
      <c r="H70" s="5" t="inlineStr"/>
      <c r="I70" s="5" t="inlineStr">
        <is>
          <t>63, 622, 82, 634</t>
        </is>
      </c>
      <c r="J70" s="5" t="inlineStr">
        <is>
          <t>question</t>
        </is>
      </c>
      <c r="K70" s="5" t="inlineStr">
        <is>
          <t>F9</t>
        </is>
      </c>
      <c r="L70" s="5" t="inlineStr">
        <is>
          <t>check if F9["spousal support (court-ordered)"] &gt; 0</t>
        </is>
      </c>
      <c r="M70" s="5" t="inlineStr"/>
      <c r="N70" s="5" t="inlineStr"/>
      <c r="O70" s="5" t="inlineStr"/>
    </row>
    <row r="71">
      <c r="A71" s="5" t="n">
        <v>70</v>
      </c>
      <c r="B71" s="5" t="n">
        <v>1</v>
      </c>
      <c r="C71" s="5" t="inlineStr">
        <is>
          <t>8f</t>
        </is>
      </c>
      <c r="D71" s="5" t="inlineStr">
        <is>
          <t>order for another relationship . . . . . . . . . . . . . . . . . . . . . . . $</t>
        </is>
      </c>
      <c r="E71" s="5" t="inlineStr">
        <is>
          <t>TEXT.0.3.1.4.1.3.1.1.1.1.1.1.1.1.1.1.1.1.1.1.1.1.1.0.1.1.1.1.1.1.1.0</t>
        </is>
      </c>
      <c r="F71" s="5" t="inlineStr">
        <is>
          <t>text</t>
        </is>
      </c>
      <c r="G71" s="5" t="inlineStr"/>
      <c r="H71" s="5" t="inlineStr"/>
      <c r="I71" s="5" t="inlineStr">
        <is>
          <t>517, 619, 574, 634</t>
        </is>
      </c>
      <c r="J71" s="5" t="inlineStr">
        <is>
          <t>question</t>
        </is>
      </c>
      <c r="K71" s="5" t="inlineStr">
        <is>
          <t>F9</t>
        </is>
      </c>
      <c r="L71" s="5">
        <f> money(F9["spousal support (court-ordered)"])</f>
        <v/>
      </c>
      <c r="M71" s="5" t="inlineStr"/>
      <c r="N71" s="5" t="inlineStr"/>
      <c r="O71" s="5" t="inlineStr"/>
    </row>
    <row r="72">
      <c r="A72" s="5" t="n">
        <v>71</v>
      </c>
      <c r="B72" s="5" t="n">
        <v>1</v>
      </c>
      <c r="C72" s="5" t="inlineStr">
        <is>
          <t>8g</t>
        </is>
      </c>
      <c r="D72" s="5" t="inlineStr">
        <is>
          <t>g.</t>
        </is>
      </c>
      <c r="E72" s="5" t="inlineStr">
        <is>
          <t>CB.0.0.1.1.1.1.1.3.1.1.1.1.1.1.1.1.1.1.1.1.1</t>
        </is>
      </c>
      <c r="F72" s="5" t="inlineStr">
        <is>
          <t>checkbox</t>
        </is>
      </c>
      <c r="G72" s="5" t="inlineStr">
        <is>
          <t>Yes</t>
        </is>
      </c>
      <c r="H72" s="5" t="inlineStr"/>
      <c r="I72" s="5" t="inlineStr">
        <is>
          <t>63, 634, 82, 646</t>
        </is>
      </c>
      <c r="J72" s="5" t="inlineStr">
        <is>
          <t>question</t>
        </is>
      </c>
      <c r="K72" s="5" t="inlineStr">
        <is>
          <t>F11</t>
        </is>
      </c>
      <c r="L72" s="5" t="inlineStr">
        <is>
          <t>check if F11.rentOrMortgage &gt; 0</t>
        </is>
      </c>
      <c r="M72" s="5" t="inlineStr"/>
      <c r="N72" s="5" t="inlineStr"/>
      <c r="O72" s="5" t="inlineStr"/>
    </row>
    <row r="73">
      <c r="A73" s="5" t="n">
        <v>72</v>
      </c>
      <c r="B73" s="5" t="n">
        <v>1</v>
      </c>
      <c r="C73" s="5" t="inlineStr">
        <is>
          <t>8g</t>
        </is>
      </c>
      <c r="D73" s="5" t="inlineStr">
        <is>
          <t>g. Monthly housing costs:</t>
        </is>
      </c>
      <c r="E73" s="5" t="inlineStr">
        <is>
          <t>c</t>
        </is>
      </c>
      <c r="F73" s="5" t="inlineStr">
        <is>
          <t>checkbox</t>
        </is>
      </c>
      <c r="G73" s="5" t="inlineStr">
        <is>
          <t>Yes</t>
        </is>
      </c>
      <c r="H73" s="5" t="inlineStr"/>
      <c r="I73" s="5" t="inlineStr">
        <is>
          <t>191, 635, 210, 647</t>
        </is>
      </c>
      <c r="J73" s="5" t="inlineStr">
        <is>
          <t>question</t>
        </is>
      </c>
      <c r="K73" s="5" t="inlineStr">
        <is>
          <t>F11</t>
        </is>
      </c>
      <c r="L73" s="5" t="inlineStr">
        <is>
          <t>check if F11.housing == "rent"</t>
        </is>
      </c>
      <c r="M73" s="5" t="inlineStr"/>
      <c r="N73" s="5" t="inlineStr">
        <is>
          <t>Field "c", export Yes.</t>
        </is>
      </c>
      <c r="O73" s="5" t="inlineStr"/>
    </row>
    <row r="74">
      <c r="A74" s="5" t="n">
        <v>73</v>
      </c>
      <c r="B74" s="5" t="n">
        <v>1</v>
      </c>
      <c r="C74" s="5" t="inlineStr">
        <is>
          <t>8g</t>
        </is>
      </c>
      <c r="D74" s="5" t="inlineStr">
        <is>
          <t>g. Monthly housing costs: rent or</t>
        </is>
      </c>
      <c r="E74" s="5" t="inlineStr">
        <is>
          <t>c</t>
        </is>
      </c>
      <c r="F74" s="5" t="inlineStr">
        <is>
          <t>checkbox</t>
        </is>
      </c>
      <c r="G74" s="5" t="inlineStr">
        <is>
          <t>No</t>
        </is>
      </c>
      <c r="H74" s="5" t="inlineStr"/>
      <c r="I74" s="5" t="inlineStr">
        <is>
          <t>255, 635, 274, 647</t>
        </is>
      </c>
      <c r="J74" s="5" t="inlineStr">
        <is>
          <t>question</t>
        </is>
      </c>
      <c r="K74" s="5" t="inlineStr">
        <is>
          <t>F11</t>
        </is>
      </c>
      <c r="L74" s="5" t="inlineStr">
        <is>
          <t>check if F11.housing == "mortgage"</t>
        </is>
      </c>
      <c r="M74" s="5" t="inlineStr"/>
      <c r="N74" s="5" t="inlineStr">
        <is>
          <t>Field "c", export No.</t>
        </is>
      </c>
      <c r="O74" s="5" t="inlineStr"/>
    </row>
    <row r="75">
      <c r="A75" s="5" t="n">
        <v>74</v>
      </c>
      <c r="B75" s="5" t="n">
        <v>1</v>
      </c>
      <c r="C75" s="5" t="inlineStr">
        <is>
          <t>8g</t>
        </is>
      </c>
      <c r="D75" s="5" t="inlineStr">
        <is>
          <t>gage . . . . . . . . . . . . . . . . . . . . . . . . . . . . . . . . . . . . . $</t>
        </is>
      </c>
      <c r="E75" s="5" t="inlineStr">
        <is>
          <t>TEXT.0.3.1.4.1.3.1.1.1.1.1.1.1.1.1.1.1.1.1.1.1.1.1.0.1.1.1.1.1.1.1.1.0</t>
        </is>
      </c>
      <c r="F75" s="5" t="inlineStr">
        <is>
          <t>text</t>
        </is>
      </c>
      <c r="G75" s="5" t="inlineStr"/>
      <c r="H75" s="5" t="inlineStr"/>
      <c r="I75" s="5" t="inlineStr">
        <is>
          <t>517, 631, 574, 646</t>
        </is>
      </c>
      <c r="J75" s="5" t="inlineStr">
        <is>
          <t>question</t>
        </is>
      </c>
      <c r="K75" s="5" t="inlineStr">
        <is>
          <t>F11</t>
        </is>
      </c>
      <c r="L75" s="5">
        <f> money(F11.rentOrMortgage)</f>
        <v/>
      </c>
      <c r="M75" s="5" t="inlineStr"/>
      <c r="N75" s="5" t="inlineStr"/>
      <c r="O75" s="5" t="inlineStr"/>
    </row>
    <row r="76">
      <c r="A76" s="5" t="n">
        <v>75</v>
      </c>
      <c r="B76" s="5" t="n">
        <v>1</v>
      </c>
      <c r="C76" s="5" t="inlineStr">
        <is>
          <t>8g</t>
        </is>
      </c>
      <c r="D76" s="5" t="inlineStr">
        <is>
          <t>If mortgage: interest payments</t>
        </is>
      </c>
      <c r="E76" s="5" t="inlineStr">
        <is>
          <t>TEXT.0.3.1.4.1.3.1.1.1.1.1.1.1.1.1.hghghgh.1</t>
        </is>
      </c>
      <c r="F76" s="5" t="inlineStr">
        <is>
          <t>text</t>
        </is>
      </c>
      <c r="G76" s="5" t="inlineStr"/>
      <c r="H76" s="5" t="inlineStr"/>
      <c r="I76" s="5" t="inlineStr">
        <is>
          <t>219, 645, 282, 660</t>
        </is>
      </c>
      <c r="J76" s="5" t="inlineStr">
        <is>
          <t>question</t>
        </is>
      </c>
      <c r="K76" s="5" t="inlineStr">
        <is>
          <t>F11</t>
        </is>
      </c>
      <c r="L76" s="5">
        <f> money(F11.mortgageInterest)</f>
        <v/>
      </c>
      <c r="M76" s="5" t="inlineStr">
        <is>
          <t>F11.housing == "mortgage"</t>
        </is>
      </c>
      <c r="N76" s="5" t="inlineStr"/>
      <c r="O76" s="5" t="inlineStr"/>
    </row>
    <row r="77">
      <c r="A77" s="5" t="n">
        <v>76</v>
      </c>
      <c r="B77" s="5" t="n">
        <v>1</v>
      </c>
      <c r="C77" s="5" t="inlineStr">
        <is>
          <t>8g</t>
        </is>
      </c>
      <c r="D77" s="5" t="inlineStr">
        <is>
          <t>interest payments $____________ real property taxes</t>
        </is>
      </c>
      <c r="E77" s="5" t="inlineStr">
        <is>
          <t>TEXT.0.3.1.4.1.3.1.1.1.1.1.1.1.1.1.hghghgh.2</t>
        </is>
      </c>
      <c r="F77" s="5" t="inlineStr">
        <is>
          <t>text</t>
        </is>
      </c>
      <c r="G77" s="5" t="inlineStr"/>
      <c r="H77" s="5" t="inlineStr"/>
      <c r="I77" s="5" t="inlineStr">
        <is>
          <t>367, 645, 430, 660</t>
        </is>
      </c>
      <c r="J77" s="5" t="inlineStr">
        <is>
          <t>question</t>
        </is>
      </c>
      <c r="K77" s="5" t="inlineStr">
        <is>
          <t>F11</t>
        </is>
      </c>
      <c r="L77" s="5">
        <f> money(F11["property tax"])</f>
        <v/>
      </c>
      <c r="M77" s="5" t="inlineStr">
        <is>
          <t>F11.housing == "mortgage"</t>
        </is>
      </c>
      <c r="N77" s="5" t="inlineStr"/>
      <c r="O77" s="5" t="inlineStr"/>
    </row>
    <row r="78">
      <c r="A78" s="5" t="n">
        <v>77</v>
      </c>
      <c r="B78" s="5" t="n">
        <v>1</v>
      </c>
      <c r="C78" s="5" t="inlineStr">
        <is>
          <t>9</t>
        </is>
      </c>
      <c r="D78" s="5" t="inlineStr">
        <is>
          <t>9. Information concerning</t>
        </is>
      </c>
      <c r="E78" s="5" t="inlineStr">
        <is>
          <t>d</t>
        </is>
      </c>
      <c r="F78" s="5" t="inlineStr">
        <is>
          <t>checkbox</t>
        </is>
      </c>
      <c r="G78" s="5" t="inlineStr">
        <is>
          <t>Yes</t>
        </is>
      </c>
      <c r="H78" s="5" t="inlineStr"/>
      <c r="I78" s="5" t="inlineStr">
        <is>
          <t>154, 661, 174, 673</t>
        </is>
      </c>
      <c r="J78" s="5" t="inlineStr">
        <is>
          <t>question</t>
        </is>
      </c>
      <c r="K78" s="5" t="inlineStr">
        <is>
          <t>F4</t>
        </is>
      </c>
      <c r="L78" s="5" t="inlineStr">
        <is>
          <t>check if F4.endDate is empty</t>
        </is>
      </c>
      <c r="M78" s="5" t="inlineStr"/>
      <c r="N78" s="5" t="inlineStr">
        <is>
          <t>Current job: field "d", export Yes.</t>
        </is>
      </c>
      <c r="O78" s="5" t="inlineStr"/>
    </row>
    <row r="79">
      <c r="A79" s="5" t="n">
        <v>78</v>
      </c>
      <c r="B79" s="5" t="n">
        <v>1</v>
      </c>
      <c r="C79" s="5" t="inlineStr">
        <is>
          <t>9</t>
        </is>
      </c>
      <c r="D79" s="5" t="inlineStr">
        <is>
          <t>Information concerning my current employment</t>
        </is>
      </c>
      <c r="E79" s="5" t="inlineStr">
        <is>
          <t>d</t>
        </is>
      </c>
      <c r="F79" s="5" t="inlineStr">
        <is>
          <t>checkbox</t>
        </is>
      </c>
      <c r="G79" s="5" t="inlineStr">
        <is>
          <t>No</t>
        </is>
      </c>
      <c r="H79" s="5" t="inlineStr"/>
      <c r="I79" s="5" t="inlineStr">
        <is>
          <t>284, 661, 303, 673</t>
        </is>
      </c>
      <c r="J79" s="5" t="inlineStr">
        <is>
          <t>question</t>
        </is>
      </c>
      <c r="K79" s="5" t="inlineStr">
        <is>
          <t>F4</t>
        </is>
      </c>
      <c r="L79" s="5" t="inlineStr">
        <is>
          <t>check if F4.endDate given</t>
        </is>
      </c>
      <c r="M79" s="5" t="inlineStr"/>
      <c r="N79" s="5" t="inlineStr">
        <is>
          <t>Most recent job: field "d", export No.</t>
        </is>
      </c>
      <c r="O79" s="5" t="inlineStr"/>
    </row>
    <row r="80">
      <c r="A80" s="5" t="n">
        <v>79</v>
      </c>
      <c r="B80" s="5" t="n">
        <v>1</v>
      </c>
      <c r="C80" s="5" t="inlineStr">
        <is>
          <t>9</t>
        </is>
      </c>
      <c r="D80" s="5" t="inlineStr">
        <is>
          <t>Employer:</t>
        </is>
      </c>
      <c r="E80" s="5" t="inlineStr">
        <is>
          <t>TEXT.0.3.1.4.1.3.1.1.1.1.1.1.1.1.1.1.1.1.1.1.1.1.1.0.1.1.1.1.1.1.1.1.1</t>
        </is>
      </c>
      <c r="F80" s="5" t="inlineStr">
        <is>
          <t>text</t>
        </is>
      </c>
      <c r="G80" s="5" t="inlineStr"/>
      <c r="H80" s="5" t="inlineStr"/>
      <c r="I80" s="5" t="inlineStr">
        <is>
          <t>92, 670, 577, 685</t>
        </is>
      </c>
      <c r="J80" s="5" t="inlineStr">
        <is>
          <t>question</t>
        </is>
      </c>
      <c r="K80" s="5" t="inlineStr">
        <is>
          <t>F4</t>
        </is>
      </c>
      <c r="L80" s="5">
        <f> F4.employer</f>
        <v/>
      </c>
      <c r="M80" s="5" t="inlineStr"/>
      <c r="N80" s="5" t="inlineStr"/>
      <c r="O80" s="5" t="inlineStr"/>
    </row>
    <row r="81">
      <c r="A81" s="5" t="n">
        <v>80</v>
      </c>
      <c r="B81" s="5" t="n">
        <v>1</v>
      </c>
      <c r="C81" s="5" t="inlineStr">
        <is>
          <t>9</t>
        </is>
      </c>
      <c r="D81" s="5" t="inlineStr">
        <is>
          <t>Address:</t>
        </is>
      </c>
      <c r="E81" s="5" t="inlineStr">
        <is>
          <t>TEXT.0.3.1.4.1.3.1.1.1.1.1.1.1.1.1.1.1.1.1.1.1.1.1.0.1.1ty.1.1.1.1.1.1.1</t>
        </is>
      </c>
      <c r="F81" s="5" t="inlineStr">
        <is>
          <t>text</t>
        </is>
      </c>
      <c r="G81" s="5" t="inlineStr"/>
      <c r="H81" s="5" t="inlineStr"/>
      <c r="I81" s="5" t="inlineStr">
        <is>
          <t>92, 680, 577, 695</t>
        </is>
      </c>
      <c r="J81" s="5" t="inlineStr">
        <is>
          <t>question</t>
        </is>
      </c>
      <c r="K81" s="5" t="inlineStr">
        <is>
          <t>F4</t>
        </is>
      </c>
      <c r="L81" s="5">
        <f> F4.employerAddress</f>
        <v/>
      </c>
      <c r="M81" s="5" t="inlineStr"/>
      <c r="N81" s="5" t="inlineStr"/>
      <c r="O81" s="5" t="inlineStr"/>
    </row>
    <row r="82">
      <c r="A82" s="5" t="n">
        <v>81</v>
      </c>
      <c r="B82" s="5" t="n">
        <v>1</v>
      </c>
      <c r="C82" s="5" t="inlineStr">
        <is>
          <t>9</t>
        </is>
      </c>
      <c r="D82" s="5" t="inlineStr">
        <is>
          <t>Telephone number:</t>
        </is>
      </c>
      <c r="E82" s="5" t="inlineStr">
        <is>
          <t>TEXT.0.3.1.4.1.3.1.1.1.1.1.1.1.1.1.1.1.1.1.1.1.1.1.0.1.1.1.1.1.1.1.1.2</t>
        </is>
      </c>
      <c r="F82" s="5" t="inlineStr">
        <is>
          <t>text</t>
        </is>
      </c>
      <c r="G82" s="5" t="inlineStr"/>
      <c r="H82" s="5" t="inlineStr"/>
      <c r="I82" s="5" t="inlineStr">
        <is>
          <t>129, 689, 577, 705</t>
        </is>
      </c>
      <c r="J82" s="5" t="inlineStr">
        <is>
          <t>question</t>
        </is>
      </c>
      <c r="K82" s="5" t="inlineStr">
        <is>
          <t>F4</t>
        </is>
      </c>
      <c r="L82" s="5">
        <f> F4.employerPhone</f>
        <v/>
      </c>
      <c r="M82" s="5" t="inlineStr"/>
      <c r="N82" s="5" t="inlineStr"/>
      <c r="O82" s="5" t="inlineStr"/>
    </row>
    <row r="83">
      <c r="A83" s="5" t="n">
        <v>82</v>
      </c>
      <c r="B83" s="5" t="n">
        <v>1</v>
      </c>
      <c r="C83" s="5" t="inlineStr">
        <is>
          <t>9</t>
        </is>
      </c>
      <c r="D83" s="5" t="inlineStr">
        <is>
          <t>My occupation:</t>
        </is>
      </c>
      <c r="E83" s="5" t="inlineStr">
        <is>
          <t>TEXT.0.3.1.4.1.3.1.1.1.1.1.1.1.1.1.1.1.1.1.1.1.1.1.0.1.1.1.1.1.1.1.1.3</t>
        </is>
      </c>
      <c r="F83" s="5" t="inlineStr">
        <is>
          <t>text</t>
        </is>
      </c>
      <c r="G83" s="5" t="inlineStr"/>
      <c r="H83" s="5" t="inlineStr"/>
      <c r="I83" s="5" t="inlineStr">
        <is>
          <t>110, 700, 577, 715</t>
        </is>
      </c>
      <c r="J83" s="5" t="inlineStr">
        <is>
          <t>question</t>
        </is>
      </c>
      <c r="K83" s="5" t="inlineStr">
        <is>
          <t>F4</t>
        </is>
      </c>
      <c r="L83" s="5">
        <f> F4.occupation</f>
        <v/>
      </c>
      <c r="M83" s="5" t="inlineStr"/>
      <c r="N83" s="5" t="inlineStr"/>
      <c r="O83" s="5" t="inlineStr"/>
    </row>
    <row r="84">
      <c r="A84" s="5" t="n">
        <v>83</v>
      </c>
      <c r="B84" s="5" t="n">
        <v>1</v>
      </c>
      <c r="C84" s="5" t="inlineStr">
        <is>
          <t>9</t>
        </is>
      </c>
      <c r="D84" s="5" t="inlineStr">
        <is>
          <t>Date work started:</t>
        </is>
      </c>
      <c r="E84" s="5" t="inlineStr">
        <is>
          <t>TEXT.0.3.1.4.1.3.1.1.1.1.1.1.1.1.1.1.1.1.1.1.1.1.1.0.1.1.1.1.1.1.1.1.4</t>
        </is>
      </c>
      <c r="F84" s="5" t="inlineStr">
        <is>
          <t>text</t>
        </is>
      </c>
      <c r="G84" s="5" t="inlineStr"/>
      <c r="H84" s="5" t="inlineStr"/>
      <c r="I84" s="5" t="inlineStr">
        <is>
          <t>124, 712, 577, 727</t>
        </is>
      </c>
      <c r="J84" s="5" t="inlineStr">
        <is>
          <t>question</t>
        </is>
      </c>
      <c r="K84" s="5" t="inlineStr">
        <is>
          <t>F4</t>
        </is>
      </c>
      <c r="L84" s="5">
        <f> fmtDate(F4.startDate)</f>
        <v/>
      </c>
      <c r="M84" s="5" t="inlineStr"/>
      <c r="N84" s="5" t="inlineStr"/>
      <c r="O84" s="5" t="inlineStr"/>
    </row>
    <row r="85">
      <c r="A85" s="5" t="n">
        <v>84</v>
      </c>
      <c r="B85" s="5" t="n">
        <v>1</v>
      </c>
      <c r="C85" s="5" t="inlineStr">
        <is>
          <t>9</t>
        </is>
      </c>
      <c r="D85" s="5" t="inlineStr">
        <is>
          <t>Date work stopped (if applicable):</t>
        </is>
      </c>
      <c r="E85" s="5" t="inlineStr">
        <is>
          <t>TEXT.0.3.1.4.1.3.1.1.1.1.1.1.1.1.1.1.1.1.1.1.1.1.1.0.1.1.1.1.1.1.1.1.5.0</t>
        </is>
      </c>
      <c r="F85" s="5" t="inlineStr">
        <is>
          <t>text</t>
        </is>
      </c>
      <c r="G85" s="5" t="inlineStr"/>
      <c r="H85" s="5" t="inlineStr"/>
      <c r="I85" s="5" t="inlineStr">
        <is>
          <t>184, 723, 230, 738</t>
        </is>
      </c>
      <c r="J85" s="5" t="inlineStr">
        <is>
          <t>question</t>
        </is>
      </c>
      <c r="K85" s="5" t="inlineStr">
        <is>
          <t>F4</t>
        </is>
      </c>
      <c r="L85" s="5">
        <f> fmtDate(F4.endDate)</f>
        <v/>
      </c>
      <c r="M85" s="5" t="inlineStr">
        <is>
          <t>F4.endDate given</t>
        </is>
      </c>
      <c r="N85" s="5" t="inlineStr"/>
      <c r="O85" s="5" t="inlineStr"/>
    </row>
    <row r="86">
      <c r="A86" s="5" t="n">
        <v>85</v>
      </c>
      <c r="B86" s="5" t="n">
        <v>1</v>
      </c>
      <c r="C86" s="5" t="inlineStr">
        <is>
          <t>9</t>
        </is>
      </c>
      <c r="D86" s="5" t="inlineStr">
        <is>
          <t>your gross income (before taxes) before work stopped?:</t>
        </is>
      </c>
      <c r="E86" s="5" t="inlineStr">
        <is>
          <t>TEXT.0.3.1.4.1.3.1.1.1.1.1.1.1.1.1.1.1.1.1.1.1.1.1.0.1.1.1.uuu1.1.1.1.1.5.0</t>
        </is>
      </c>
      <c r="F86" s="5" t="inlineStr">
        <is>
          <t>text</t>
        </is>
      </c>
      <c r="G86" s="5" t="inlineStr"/>
      <c r="H86" s="5" t="inlineStr"/>
      <c r="I86" s="5" t="inlineStr">
        <is>
          <t>496, 723, 577, 738</t>
        </is>
      </c>
      <c r="J86" s="5" t="inlineStr">
        <is>
          <t>question</t>
        </is>
      </c>
      <c r="K86" s="5" t="inlineStr">
        <is>
          <t>F4</t>
        </is>
      </c>
      <c r="L86" s="5">
        <f> money(F4.grossBeforeStopped)</f>
        <v/>
      </c>
      <c r="M86" s="5" t="inlineStr">
        <is>
          <t>F4.endDate given</t>
        </is>
      </c>
      <c r="N86" s="5" t="inlineStr"/>
      <c r="O86" s="5" t="inlineStr"/>
    </row>
    <row r="87">
      <c r="A87" s="5" t="n">
        <v>86</v>
      </c>
      <c r="B87" s="5" t="n">
        <v>2</v>
      </c>
      <c r="C87" s="5" t="inlineStr">
        <is>
          <t>Caption</t>
        </is>
      </c>
      <c r="D87" s="5" t="inlineStr">
        <is>
          <t>PETITIONER/PLAINTIFF:</t>
        </is>
      </c>
      <c r="E87" s="5" t="inlineStr">
        <is>
          <t>TEXT.0.3.1.4.1.1</t>
        </is>
      </c>
      <c r="F87" s="5" t="inlineStr">
        <is>
          <t>text</t>
        </is>
      </c>
      <c r="G87" s="5" t="inlineStr"/>
      <c r="H87" s="5" t="inlineStr"/>
      <c r="I87" s="5" t="inlineStr">
        <is>
          <t>149, 34, 395, 50</t>
        </is>
      </c>
      <c r="J87" s="5" t="inlineStr">
        <is>
          <t>question</t>
        </is>
      </c>
      <c r="K87" s="5" t="inlineStr">
        <is>
          <t>P1</t>
        </is>
      </c>
      <c r="L87" s="5">
        <f> P1</f>
        <v/>
      </c>
      <c r="M87" s="5" t="inlineStr"/>
      <c r="N87" s="5" t="inlineStr"/>
      <c r="O87" s="5" t="inlineStr"/>
    </row>
    <row r="88">
      <c r="A88" s="5" t="n">
        <v>87</v>
      </c>
      <c r="B88" s="5" t="n">
        <v>2</v>
      </c>
      <c r="C88" s="5" t="inlineStr">
        <is>
          <t>Caption</t>
        </is>
      </c>
      <c r="D88" s="5" t="inlineStr">
        <is>
          <t>RESPONDENT/DEFENDANT:</t>
        </is>
      </c>
      <c r="E88" s="5" t="inlineStr">
        <is>
          <t>TEXT.0.3.1.4.1.3.0</t>
        </is>
      </c>
      <c r="F88" s="5" t="inlineStr">
        <is>
          <t>text</t>
        </is>
      </c>
      <c r="G88" s="5" t="inlineStr"/>
      <c r="H88" s="5" t="inlineStr"/>
      <c r="I88" s="5" t="inlineStr">
        <is>
          <t>149, 46, 395, 61</t>
        </is>
      </c>
      <c r="J88" s="5" t="inlineStr">
        <is>
          <t>question</t>
        </is>
      </c>
      <c r="K88" s="5" t="inlineStr">
        <is>
          <t>R1</t>
        </is>
      </c>
      <c r="L88" s="5">
        <f> R1</f>
        <v/>
      </c>
      <c r="M88" s="5" t="inlineStr"/>
      <c r="N88" s="5" t="inlineStr"/>
      <c r="O88" s="5" t="inlineStr"/>
    </row>
    <row r="89">
      <c r="A89" s="5" t="n">
        <v>88</v>
      </c>
      <c r="B89" s="5" t="n">
        <v>2</v>
      </c>
      <c r="C89" s="5" t="inlineStr">
        <is>
          <t>Caption</t>
        </is>
      </c>
      <c r="D89" s="5" t="inlineStr">
        <is>
          <t>OTHER PARENT:</t>
        </is>
      </c>
      <c r="E89" s="5" t="inlineStr">
        <is>
          <t>TEXT.0.3.156564.3.0</t>
        </is>
      </c>
      <c r="F89" s="5" t="inlineStr">
        <is>
          <t>text (no /FT)</t>
        </is>
      </c>
      <c r="G89" s="5" t="inlineStr"/>
      <c r="H89" s="5" t="inlineStr"/>
      <c r="I89" s="5" t="inlineStr">
        <is>
          <t>149, 58, 395, 74</t>
        </is>
      </c>
      <c r="J89" s="5" t="inlineStr">
        <is>
          <t>question</t>
        </is>
      </c>
      <c r="K89" s="5" t="inlineStr">
        <is>
          <t>PR13</t>
        </is>
      </c>
      <c r="L89" s="5">
        <f> PR13.name</f>
        <v/>
      </c>
      <c r="M89" s="5" t="inlineStr">
        <is>
          <t>PR13 given</t>
        </is>
      </c>
      <c r="N89" s="5" t="inlineStr"/>
      <c r="O89" s="5" t="inlineStr"/>
    </row>
    <row r="90">
      <c r="A90" s="5" t="n">
        <v>89</v>
      </c>
      <c r="B90" s="5" t="n">
        <v>2</v>
      </c>
      <c r="C90" s="5" t="inlineStr">
        <is>
          <t>Caption</t>
        </is>
      </c>
      <c r="D90" s="5" t="inlineStr"/>
      <c r="E90" s="5" t="inlineStr">
        <is>
          <t>TEXT.0.3.1.4.1.3.1.0</t>
        </is>
      </c>
      <c r="F90" s="5" t="inlineStr">
        <is>
          <t>text</t>
        </is>
      </c>
      <c r="G90" s="5" t="inlineStr"/>
      <c r="H90" s="5" t="inlineStr"/>
      <c r="I90" s="5" t="inlineStr">
        <is>
          <t>394, 47, 575, 62</t>
        </is>
      </c>
      <c r="J90" s="5" t="inlineStr">
        <is>
          <t>question</t>
        </is>
      </c>
      <c r="K90" s="5" t="inlineStr">
        <is>
          <t>S4,X0</t>
        </is>
      </c>
      <c r="L90" s="5">
        <f> X0 ?? S4</f>
        <v/>
      </c>
      <c r="M90" s="5" t="inlineStr">
        <is>
          <t>known; otherwise blank for clerk</t>
        </is>
      </c>
      <c r="N90" s="5" t="inlineStr"/>
      <c r="O90" s="5" t="inlineStr"/>
    </row>
    <row r="91">
      <c r="A91" s="5" t="n">
        <v>90</v>
      </c>
      <c r="B91" s="5" t="n">
        <v>2</v>
      </c>
      <c r="C91" s="5" t="inlineStr">
        <is>
          <t>10</t>
        </is>
      </c>
      <c r="D91" s="5" t="inlineStr">
        <is>
          <t>taxes) is . . . . . . . . . . . . . . .. . . . . . . . . . . . . . . . . . . . $</t>
        </is>
      </c>
      <c r="E91" s="5" t="inlineStr">
        <is>
          <t>TEXT.0.3i.1.1.5.1.0</t>
        </is>
      </c>
      <c r="F91" s="5" t="inlineStr">
        <is>
          <t>text</t>
        </is>
      </c>
      <c r="G91" s="5" t="inlineStr"/>
      <c r="H91" s="5" t="inlineStr"/>
      <c r="I91" s="5" t="inlineStr">
        <is>
          <t>518, 73, 576, 88</t>
        </is>
      </c>
      <c r="J91" s="5" t="inlineStr">
        <is>
          <t>question</t>
        </is>
      </c>
      <c r="K91" s="5" t="inlineStr">
        <is>
          <t>F14</t>
        </is>
      </c>
      <c r="L91" s="5">
        <f> money(F14.amount)</f>
        <v/>
      </c>
      <c r="M91" s="5" t="inlineStr"/>
      <c r="N91" s="5" t="inlineStr"/>
      <c r="O91" s="5" t="inlineStr"/>
    </row>
    <row r="92">
      <c r="A92" s="5" t="n">
        <v>91</v>
      </c>
      <c r="B92" s="5" t="n">
        <v>2</v>
      </c>
      <c r="C92" s="5" t="inlineStr">
        <is>
          <t>11</t>
        </is>
      </c>
      <c r="D92" s="5" t="inlineStr">
        <is>
          <t>. . . . . . . . . . . . . . . . . . . .. . . . . . . . . . . . . . . . . . . . $</t>
        </is>
      </c>
      <c r="E92" s="5" t="inlineStr">
        <is>
          <t>TEXT.0.3.1.4.1.3.1.1.1.1.1.1.1.1.1.1.1.1.1.1.1.1.1.0.1.1.1.1.1.1.1.1.5.1.0</t>
        </is>
      </c>
      <c r="F92" s="5" t="inlineStr">
        <is>
          <t>text</t>
        </is>
      </c>
      <c r="G92" s="5" t="inlineStr"/>
      <c r="H92" s="5" t="inlineStr"/>
      <c r="I92" s="5" t="inlineStr">
        <is>
          <t>518, 85, 576, 100</t>
        </is>
      </c>
      <c r="J92" s="5" t="inlineStr">
        <is>
          <t>question</t>
        </is>
      </c>
      <c r="K92" s="5" t="inlineStr">
        <is>
          <t>F15</t>
        </is>
      </c>
      <c r="L92" s="5">
        <f> money(F15)</f>
        <v/>
      </c>
      <c r="M92" s="5" t="inlineStr"/>
      <c r="N92" s="5" t="inlineStr"/>
      <c r="O92" s="5" t="inlineStr"/>
    </row>
    <row r="93">
      <c r="A93" s="6" t="n">
        <v>92</v>
      </c>
      <c r="B93" s="6" t="n">
        <v>2</v>
      </c>
      <c r="C93" s="6" t="inlineStr">
        <is>
          <t>13</t>
        </is>
      </c>
      <c r="D93" s="6" t="inlineStr">
        <is>
          <t>13.</t>
        </is>
      </c>
      <c r="E93" s="6" t="inlineStr">
        <is>
          <t>q3.0.1.0a</t>
        </is>
      </c>
      <c r="F93" s="6" t="inlineStr">
        <is>
          <t>checkbox</t>
        </is>
      </c>
      <c r="G93" s="6" t="inlineStr">
        <is>
          <t>Yes</t>
        </is>
      </c>
      <c r="H93" s="6" t="inlineStr"/>
      <c r="I93" s="6" t="inlineStr">
        <is>
          <t>53, 112, 72, 124</t>
        </is>
      </c>
      <c r="J93" s="6" t="inlineStr">
        <is>
          <t>derived</t>
        </is>
      </c>
      <c r="K93" s="6" t="inlineStr">
        <is>
          <t>(packet)</t>
        </is>
      </c>
      <c r="L93" s="6" t="inlineStr">
        <is>
          <t>never</t>
        </is>
      </c>
      <c r="M93" s="6" t="inlineStr"/>
      <c r="N93" s="6" t="inlineStr">
        <is>
          <t>Attaching FL-150 page 3 is not used: FL-150 is chosen instead when needed.</t>
        </is>
      </c>
      <c r="O93" s="6" t="inlineStr"/>
    </row>
    <row r="94">
      <c r="A94" s="5" t="n">
        <v>93</v>
      </c>
      <c r="B94" s="5" t="n">
        <v>2</v>
      </c>
      <c r="C94" s="5" t="inlineStr">
        <is>
          <t>Signature</t>
        </is>
      </c>
      <c r="D94" s="5" t="inlineStr">
        <is>
          <t>Date:</t>
        </is>
      </c>
      <c r="E94" s="5" t="inlineStr">
        <is>
          <t>TEXT.0.3.1.4.1.3.1.1.1.1.1.1.1.1.1.1.1.1.1.1.1.1.1.0.1.1.1.1.1.1.1.1.5.1.1</t>
        </is>
      </c>
      <c r="F94" s="5" t="inlineStr">
        <is>
          <t>text</t>
        </is>
      </c>
      <c r="G94" s="5" t="inlineStr"/>
      <c r="H94" s="5" t="inlineStr"/>
      <c r="I94" s="5" t="inlineStr">
        <is>
          <t>59, 157, 146, 173</t>
        </is>
      </c>
      <c r="J94" s="5" t="inlineStr">
        <is>
          <t>question</t>
        </is>
      </c>
      <c r="K94" s="5" t="inlineStr">
        <is>
          <t>G1,G2</t>
        </is>
      </c>
      <c r="L94" s="5">
        <f> fmtDate(stage == 3 ? G2 : G1)</f>
        <v/>
      </c>
      <c r="M94" s="5" t="inlineStr"/>
      <c r="N94" s="5" t="inlineStr"/>
      <c r="O94" s="5" t="inlineStr"/>
    </row>
    <row r="95">
      <c r="A95" s="5" t="n">
        <v>94</v>
      </c>
      <c r="B95" s="5" t="n">
        <v>2</v>
      </c>
      <c r="C95" s="5" t="inlineStr">
        <is>
          <t>Signature</t>
        </is>
      </c>
      <c r="D95" s="5" t="inlineStr"/>
      <c r="E95" s="5" t="inlineStr">
        <is>
          <t>TEXT.0.3.1.4.1.3.1.1.1.1.1.1.1.1.1.1.1.1.1.1.1.1.1.0.1.1.1.1.1.1.1.1.5.1.2</t>
        </is>
      </c>
      <c r="F95" s="5" t="inlineStr">
        <is>
          <t>text</t>
        </is>
      </c>
      <c r="G95" s="5" t="inlineStr"/>
      <c r="H95" s="5" t="inlineStr"/>
      <c r="I95" s="5" t="inlineStr">
        <is>
          <t>36, 172, 295, 187</t>
        </is>
      </c>
      <c r="J95" s="5" t="inlineStr">
        <is>
          <t>question</t>
        </is>
      </c>
      <c r="K95" s="5" t="inlineStr">
        <is>
          <t>P1</t>
        </is>
      </c>
      <c r="L95" s="5">
        <f> P1</f>
        <v/>
      </c>
      <c r="M95" s="5" t="inlineStr"/>
      <c r="N95" s="5" t="inlineStr"/>
      <c r="O95" s="5" t="inlineStr"/>
    </row>
    <row r="96">
      <c r="A96" s="6" t="n">
        <v>95</v>
      </c>
      <c r="B96" s="6" t="n">
        <v>2</v>
      </c>
      <c r="C96" s="6" t="inlineStr">
        <is>
          <t>Signature</t>
        </is>
      </c>
      <c r="D96" s="6" t="inlineStr"/>
      <c r="E96" s="6" t="inlineStr">
        <is>
          <t>CB.0.0.1.1.1.1.1.3.1.1.1.1.1.1.1.1.1.1.1.1.3.0.1.0a</t>
        </is>
      </c>
      <c r="F96" s="6" t="inlineStr">
        <is>
          <t>checkbox</t>
        </is>
      </c>
      <c r="G96" s="6" t="inlineStr">
        <is>
          <t>Yes</t>
        </is>
      </c>
      <c r="H96" s="6" t="inlineStr"/>
      <c r="I96" s="6" t="inlineStr">
        <is>
          <t>350, 196, 369, 209</t>
        </is>
      </c>
      <c r="J96" s="6" t="inlineStr">
        <is>
          <t>derived</t>
        </is>
      </c>
      <c r="K96" s="6" t="inlineStr">
        <is>
          <t>(fixed)</t>
        </is>
      </c>
      <c r="L96" s="6" t="inlineStr">
        <is>
          <t>check (Petitioner/Plaintiff)</t>
        </is>
      </c>
      <c r="M96" s="6" t="inlineStr"/>
      <c r="N96" s="6" t="inlineStr">
        <is>
          <t>Export Yes.</t>
        </is>
      </c>
      <c r="O96" s="6" t="inlineStr"/>
    </row>
    <row r="97">
      <c r="A97" s="6" t="n">
        <v>96</v>
      </c>
      <c r="B97" s="6" t="n">
        <v>2</v>
      </c>
      <c r="C97" s="6" t="inlineStr">
        <is>
          <t>Signature</t>
        </is>
      </c>
      <c r="D97" s="6" t="inlineStr">
        <is>
          <t>PETITIONER/PLAINTIFF</t>
        </is>
      </c>
      <c r="E97" s="6" t="inlineStr">
        <is>
          <t>CB.0.0.1.1.1.1.1.3.1.1.1.1.1.1.1.1.1.1.1.1.3.0.1.0a</t>
        </is>
      </c>
      <c r="F97" s="6" t="inlineStr">
        <is>
          <t>checkbox</t>
        </is>
      </c>
      <c r="G97" s="6" t="inlineStr">
        <is>
          <t>1</t>
        </is>
      </c>
      <c r="H97" s="6" t="inlineStr"/>
      <c r="I97" s="6" t="inlineStr">
        <is>
          <t>450, 196, 470, 209</t>
        </is>
      </c>
      <c r="J97" s="6" t="inlineStr">
        <is>
          <t>derived</t>
        </is>
      </c>
      <c r="K97" s="6" t="inlineStr">
        <is>
          <t>(fixed)</t>
        </is>
      </c>
      <c r="L97" s="6" t="inlineStr">
        <is>
          <t>never</t>
        </is>
      </c>
      <c r="M97" s="6" t="inlineStr"/>
      <c r="N97" s="6" t="inlineStr">
        <is>
          <t>Respondent/Defendant (export 1).</t>
        </is>
      </c>
      <c r="O97" s="6" t="inlineStr"/>
    </row>
    <row r="98">
      <c r="A98" s="7" t="n">
        <v>97</v>
      </c>
      <c r="B98" s="7" t="n">
        <v>2</v>
      </c>
      <c r="C98" s="7" t="inlineStr">
        <is>
          <t>—</t>
        </is>
      </c>
      <c r="D98" s="7" t="inlineStr"/>
      <c r="E98" s="7" t="inlineStr">
        <is>
          <t>NoticeFooter1</t>
        </is>
      </c>
      <c r="F98" s="7" t="inlineStr">
        <is>
          <t>text</t>
        </is>
      </c>
      <c r="G98" s="7" t="inlineStr"/>
      <c r="H98" s="7" t="inlineStr"/>
      <c r="I98" s="7" t="inlineStr">
        <is>
          <t>38, 767, 281, 791</t>
        </is>
      </c>
      <c r="J98" s="7" t="inlineStr">
        <is>
          <t>ignore (UI button)</t>
        </is>
      </c>
      <c r="K98" s="7" t="inlineStr"/>
      <c r="L98" s="7" t="inlineStr"/>
      <c r="M98" s="7" t="inlineStr"/>
      <c r="N98" s="7" t="inlineStr">
        <is>
          <t>On-screen notice text, not a form field.</t>
        </is>
      </c>
      <c r="O98" s="7" t="inlineStr"/>
    </row>
    <row r="99">
      <c r="A99" s="7" t="n">
        <v>98</v>
      </c>
      <c r="B99" s="7" t="n">
        <v>2</v>
      </c>
      <c r="C99" s="7" t="inlineStr">
        <is>
          <t>—</t>
        </is>
      </c>
      <c r="D99" s="7" t="inlineStr">
        <is>
          <t>button after you have printed the form.</t>
        </is>
      </c>
      <c r="E99" s="7" t="inlineStr">
        <is>
          <t>Save</t>
        </is>
      </c>
      <c r="F99" s="7" t="inlineStr">
        <is>
          <t>button</t>
        </is>
      </c>
      <c r="G99" s="7" t="inlineStr"/>
      <c r="H99" s="7" t="inlineStr"/>
      <c r="I99" s="7" t="inlineStr">
        <is>
          <t>310, 774, 396, 791</t>
        </is>
      </c>
      <c r="J99" s="7" t="inlineStr">
        <is>
          <t>ignore (UI button)</t>
        </is>
      </c>
      <c r="K99" s="7" t="inlineStr"/>
      <c r="L99" s="7" t="inlineStr"/>
      <c r="M99" s="7" t="inlineStr"/>
      <c r="N99" s="7" t="inlineStr">
        <is>
          <t>Print/Save/Clear button. Do not fill.</t>
        </is>
      </c>
      <c r="O99" s="7" t="inlineStr"/>
    </row>
    <row r="100">
      <c r="A100" s="7" t="n">
        <v>99</v>
      </c>
      <c r="B100" s="7" t="n">
        <v>2</v>
      </c>
      <c r="C100" s="7" t="inlineStr">
        <is>
          <t>—</t>
        </is>
      </c>
      <c r="D100" s="7" t="inlineStr">
        <is>
          <t>printed the form. Save This Form</t>
        </is>
      </c>
      <c r="E100" s="7" t="inlineStr">
        <is>
          <t>Print</t>
        </is>
      </c>
      <c r="F100" s="7" t="inlineStr">
        <is>
          <t>button</t>
        </is>
      </c>
      <c r="G100" s="7" t="inlineStr"/>
      <c r="H100" s="7" t="inlineStr"/>
      <c r="I100" s="7" t="inlineStr">
        <is>
          <t>405, 774, 490, 791</t>
        </is>
      </c>
      <c r="J100" s="7" t="inlineStr">
        <is>
          <t>ignore (UI button)</t>
        </is>
      </c>
      <c r="K100" s="7" t="inlineStr"/>
      <c r="L100" s="7" t="inlineStr"/>
      <c r="M100" s="7" t="inlineStr"/>
      <c r="N100" s="7" t="inlineStr">
        <is>
          <t>Print/Save/Clear button. Do not fill.</t>
        </is>
      </c>
      <c r="O100" s="7" t="inlineStr"/>
    </row>
    <row r="101">
      <c r="A101" s="7" t="n">
        <v>100</v>
      </c>
      <c r="B101" s="7" t="n">
        <v>2</v>
      </c>
      <c r="C101" s="7" t="inlineStr">
        <is>
          <t>—</t>
        </is>
      </c>
      <c r="D101" s="7" t="inlineStr">
        <is>
          <t>Save This Form Print This Form</t>
        </is>
      </c>
      <c r="E101" s="7" t="inlineStr">
        <is>
          <t>ResetForm</t>
        </is>
      </c>
      <c r="F101" s="7" t="inlineStr">
        <is>
          <t>button</t>
        </is>
      </c>
      <c r="G101" s="7" t="inlineStr"/>
      <c r="H101" s="7" t="inlineStr"/>
      <c r="I101" s="7" t="inlineStr">
        <is>
          <t>497, 774, 582, 791</t>
        </is>
      </c>
      <c r="J101" s="7" t="inlineStr">
        <is>
          <t>ignore (UI button)</t>
        </is>
      </c>
      <c r="K101" s="7" t="inlineStr"/>
      <c r="L101" s="7" t="inlineStr"/>
      <c r="M101" s="7" t="inlineStr"/>
      <c r="N101" s="7" t="inlineStr">
        <is>
          <t>Print/Save/Clear button. Do not fill.</t>
        </is>
      </c>
      <c r="O101" s="7" t="inlineStr"/>
    </row>
  </sheetData>
  <autoFilter ref="A1:O101"/>
  <dataValidations count="1">
    <dataValidation sqref="J2:J101" showDropDown="0" showInputMessage="0" showErrorMessage="0" allowBlank="1" type="list">
      <formula1>"question,derived,court/clerk,server,ignore (UI button)"</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6" t="n">
        <v>1</v>
      </c>
      <c r="B2" s="6" t="n">
        <v>1</v>
      </c>
      <c r="C2" s="6" t="inlineStr">
        <is>
          <t>2</t>
        </is>
      </c>
      <c r="D2" s="6" t="inlineStr">
        <is>
          <t>(describe):</t>
        </is>
      </c>
      <c r="E2" s="6" t="inlineStr">
        <is>
          <t>topmostSubform[0].Page1[0].OldHearingTime_dt[0]</t>
        </is>
      </c>
      <c r="F2" s="6" t="inlineStr">
        <is>
          <t>text</t>
        </is>
      </c>
      <c r="G2" s="6" t="inlineStr"/>
      <c r="H2" s="6" t="inlineStr"/>
      <c r="I2" s="6" t="inlineStr">
        <is>
          <t>407, 343, 576, 355</t>
        </is>
      </c>
      <c r="J2" s="6" t="inlineStr">
        <is>
          <t>derived</t>
        </is>
      </c>
      <c r="K2" s="6" t="inlineStr">
        <is>
          <t>(fixed)</t>
        </is>
      </c>
      <c r="L2" s="6" t="inlineStr">
        <is>
          <t>never</t>
        </is>
      </c>
      <c r="M2" s="6" t="inlineStr"/>
      <c r="N2" s="6" t="inlineStr">
        <is>
          <t>"Other (describe)" for item 2.</t>
        </is>
      </c>
      <c r="O2" s="6" t="inlineStr"/>
    </row>
    <row r="3">
      <c r="A3" s="5" t="n">
        <v>2</v>
      </c>
      <c r="B3" s="5" t="n">
        <v>1</v>
      </c>
      <c r="C3" s="5" t="inlineStr">
        <is>
          <t>1</t>
        </is>
      </c>
      <c r="D3" s="5" t="inlineStr">
        <is>
          <t>Name:</t>
        </is>
      </c>
      <c r="E3" s="5" t="inlineStr">
        <is>
          <t>topmostSubform[0].Page1[0].ReqFullName_ft[0]</t>
        </is>
      </c>
      <c r="F3" s="5" t="inlineStr">
        <is>
          <t>text</t>
        </is>
      </c>
      <c r="G3" s="5" t="inlineStr"/>
      <c r="H3" s="5" t="inlineStr"/>
      <c r="I3" s="5" t="inlineStr">
        <is>
          <t>97, 188, 372, 200</t>
        </is>
      </c>
      <c r="J3" s="5" t="inlineStr">
        <is>
          <t>question</t>
        </is>
      </c>
      <c r="K3" s="5" t="inlineStr">
        <is>
          <t>S5,L1,P1</t>
        </is>
      </c>
      <c r="L3" s="5">
        <f> S5=="Y" ? L1 : P1</f>
        <v/>
      </c>
      <c r="M3" s="5" t="inlineStr"/>
      <c r="N3" s="5" t="inlineStr"/>
      <c r="O3" s="5" t="inlineStr"/>
    </row>
    <row r="4">
      <c r="A4" s="5" t="n">
        <v>3</v>
      </c>
      <c r="B4" s="5" t="n">
        <v>1</v>
      </c>
      <c r="C4" s="5" t="inlineStr">
        <is>
          <t>1</t>
        </is>
      </c>
      <c r="D4" s="5" t="inlineStr">
        <is>
          <t>Zip:</t>
        </is>
      </c>
      <c r="E4" s="5" t="inlineStr">
        <is>
          <t>topmostSubform[0].Page1[0].ProtectedZip_ft[0]</t>
        </is>
      </c>
      <c r="F4" s="5" t="inlineStr">
        <is>
          <t>text</t>
        </is>
      </c>
      <c r="G4" s="5" t="inlineStr"/>
      <c r="H4" s="5" t="inlineStr"/>
      <c r="I4" s="5" t="inlineStr">
        <is>
          <t>323, 253, 372, 266</t>
        </is>
      </c>
      <c r="J4" s="5" t="inlineStr">
        <is>
          <t>question</t>
        </is>
      </c>
      <c r="K4" s="5" t="inlineStr">
        <is>
          <t>S5,L4,P6</t>
        </is>
      </c>
      <c r="L4" s="5">
        <f> S5=="Y" ? L4.zip : P6.zip</f>
        <v/>
      </c>
      <c r="M4" s="5" t="inlineStr"/>
      <c r="N4" s="5" t="inlineStr"/>
      <c r="O4" s="5" t="inlineStr"/>
    </row>
    <row r="5">
      <c r="A5" s="5" t="n">
        <v>4</v>
      </c>
      <c r="B5" s="5" t="n">
        <v>1</v>
      </c>
      <c r="C5" s="5" t="inlineStr">
        <is>
          <t>1</t>
        </is>
      </c>
      <c r="D5" s="5" t="inlineStr">
        <is>
          <t>State:</t>
        </is>
      </c>
      <c r="E5" s="5" t="inlineStr">
        <is>
          <t>topmostSubform[0].Page1[0].ProtectedState_ft[0]</t>
        </is>
      </c>
      <c r="F5" s="5" t="inlineStr">
        <is>
          <t>text</t>
        </is>
      </c>
      <c r="G5" s="5" t="inlineStr"/>
      <c r="H5" s="5" t="inlineStr"/>
      <c r="I5" s="5" t="inlineStr">
        <is>
          <t>275, 253, 292, 266</t>
        </is>
      </c>
      <c r="J5" s="5" t="inlineStr">
        <is>
          <t>question</t>
        </is>
      </c>
      <c r="K5" s="5" t="inlineStr">
        <is>
          <t>S5,L4,P6</t>
        </is>
      </c>
      <c r="L5" s="5">
        <f> S5=="Y" ? L4.state : P6.state</f>
        <v/>
      </c>
      <c r="M5" s="5" t="inlineStr"/>
      <c r="N5" s="5" t="inlineStr"/>
      <c r="O5" s="5" t="inlineStr"/>
    </row>
    <row r="6">
      <c r="A6" s="5" t="n">
        <v>5</v>
      </c>
      <c r="B6" s="5" t="n">
        <v>1</v>
      </c>
      <c r="C6" s="5" t="inlineStr">
        <is>
          <t>1</t>
        </is>
      </c>
      <c r="D6" s="5" t="inlineStr">
        <is>
          <t>City:</t>
        </is>
      </c>
      <c r="E6" s="5" t="inlineStr">
        <is>
          <t>topmostSubform[0].Page1[0].ProtectedCity_ft[0]</t>
        </is>
      </c>
      <c r="F6" s="5" t="inlineStr">
        <is>
          <t>text</t>
        </is>
      </c>
      <c r="G6" s="5" t="inlineStr"/>
      <c r="H6" s="5" t="inlineStr"/>
      <c r="I6" s="5" t="inlineStr">
        <is>
          <t>91, 253, 238, 266</t>
        </is>
      </c>
      <c r="J6" s="5" t="inlineStr">
        <is>
          <t>question</t>
        </is>
      </c>
      <c r="K6" s="5" t="inlineStr">
        <is>
          <t>S5,L4,P6</t>
        </is>
      </c>
      <c r="L6" s="5">
        <f> S5=="Y" ? L4.city : P6.city</f>
        <v/>
      </c>
      <c r="M6" s="5" t="inlineStr"/>
      <c r="N6" s="5" t="inlineStr"/>
      <c r="O6" s="5" t="inlineStr"/>
    </row>
    <row r="7">
      <c r="A7" s="5" t="n">
        <v>6</v>
      </c>
      <c r="B7" s="5" t="n">
        <v>1</v>
      </c>
      <c r="C7" s="5" t="inlineStr">
        <is>
          <t>1</t>
        </is>
      </c>
      <c r="D7" s="5" t="inlineStr">
        <is>
          <t>Telephone:</t>
        </is>
      </c>
      <c r="E7" s="5" t="inlineStr">
        <is>
          <t>topmostSubform[0].Page1[0].ProtectedPhone_ft[0]</t>
        </is>
      </c>
      <c r="F7" s="5" t="inlineStr">
        <is>
          <t>text</t>
        </is>
      </c>
      <c r="G7" s="5" t="inlineStr"/>
      <c r="H7" s="5" t="inlineStr"/>
      <c r="I7" s="5" t="inlineStr">
        <is>
          <t>119, 270, 372, 282</t>
        </is>
      </c>
      <c r="J7" s="5" t="inlineStr">
        <is>
          <t>question</t>
        </is>
      </c>
      <c r="K7" s="5" t="inlineStr">
        <is>
          <t>S5,L5,P7</t>
        </is>
      </c>
      <c r="L7" s="5">
        <f> S5=="Y" ? L5.phone : P7</f>
        <v/>
      </c>
      <c r="M7" s="5" t="inlineStr"/>
      <c r="N7" s="5" t="inlineStr"/>
      <c r="O7" s="5" t="inlineStr"/>
    </row>
    <row r="8">
      <c r="A8" s="5" t="n">
        <v>7</v>
      </c>
      <c r="B8" s="5" t="n">
        <v>1</v>
      </c>
      <c r="C8" s="5" t="inlineStr">
        <is>
          <t>1</t>
        </is>
      </c>
      <c r="D8" s="5" t="inlineStr">
        <is>
          <t>Address:</t>
        </is>
      </c>
      <c r="E8" s="5" t="inlineStr">
        <is>
          <t>topmostSubform[0].Page1[0].ProtectedStreet_ft[0]</t>
        </is>
      </c>
      <c r="F8" s="5" t="inlineStr">
        <is>
          <t>text</t>
        </is>
      </c>
      <c r="G8" s="5" t="inlineStr"/>
      <c r="H8" s="5" t="inlineStr"/>
      <c r="I8" s="5" t="inlineStr">
        <is>
          <t>108, 236, 372, 249</t>
        </is>
      </c>
      <c r="J8" s="5" t="inlineStr">
        <is>
          <t>question</t>
        </is>
      </c>
      <c r="K8" s="5" t="inlineStr">
        <is>
          <t>S5,L4,P6</t>
        </is>
      </c>
      <c r="L8" s="5">
        <f> S5=="Y" ? L4.street : P6.street</f>
        <v/>
      </c>
      <c r="M8" s="5" t="inlineStr"/>
      <c r="N8" s="5" t="inlineStr"/>
      <c r="O8" s="5" t="inlineStr"/>
    </row>
    <row r="9">
      <c r="A9" s="5" t="n">
        <v>8</v>
      </c>
      <c r="B9" s="5" t="n">
        <v>1</v>
      </c>
      <c r="C9" s="5" t="inlineStr">
        <is>
          <t>1</t>
        </is>
      </c>
      <c r="D9" s="5" t="inlineStr">
        <is>
          <t>State Bar No.:</t>
        </is>
      </c>
      <c r="E9" s="5" t="inlineStr">
        <is>
          <t>topmostSubform[0].Page1[0].ProtectedLawyerBar_no[0]</t>
        </is>
      </c>
      <c r="F9" s="5" t="inlineStr">
        <is>
          <t>text</t>
        </is>
      </c>
      <c r="G9" s="5" t="inlineStr"/>
      <c r="H9" s="5" t="inlineStr"/>
      <c r="I9" s="5" t="inlineStr">
        <is>
          <t>133, 203, 372, 216</t>
        </is>
      </c>
      <c r="J9" s="5" t="inlineStr">
        <is>
          <t>question</t>
        </is>
      </c>
      <c r="K9" s="5" t="inlineStr">
        <is>
          <t>L2</t>
        </is>
      </c>
      <c r="L9" s="5">
        <f> L2</f>
        <v/>
      </c>
      <c r="M9" s="5" t="inlineStr">
        <is>
          <t>S5 == "Y"</t>
        </is>
      </c>
      <c r="N9" s="5" t="inlineStr"/>
      <c r="O9" s="5" t="inlineStr"/>
    </row>
    <row r="10">
      <c r="A10" s="5" t="n">
        <v>9</v>
      </c>
      <c r="B10" s="5" t="n">
        <v>1</v>
      </c>
      <c r="C10" s="5" t="inlineStr">
        <is>
          <t>1</t>
        </is>
      </c>
      <c r="D10" s="5" t="inlineStr">
        <is>
          <t>Firm Name:</t>
        </is>
      </c>
      <c r="E10" s="5" t="inlineStr">
        <is>
          <t>topmostSubform[0].Page1[0].ProtectedLawyerFirm_ft[0]</t>
        </is>
      </c>
      <c r="F10" s="5" t="inlineStr">
        <is>
          <t>text</t>
        </is>
      </c>
      <c r="G10" s="5" t="inlineStr"/>
      <c r="H10" s="5" t="inlineStr"/>
      <c r="I10" s="5" t="inlineStr">
        <is>
          <t>123, 220, 372, 233</t>
        </is>
      </c>
      <c r="J10" s="5" t="inlineStr">
        <is>
          <t>question</t>
        </is>
      </c>
      <c r="K10" s="5" t="inlineStr">
        <is>
          <t>L3</t>
        </is>
      </c>
      <c r="L10" s="5">
        <f> L3</f>
        <v/>
      </c>
      <c r="M10" s="5" t="inlineStr">
        <is>
          <t>S5 == "Y"</t>
        </is>
      </c>
      <c r="N10" s="5" t="inlineStr"/>
      <c r="O10" s="5" t="inlineStr"/>
    </row>
    <row r="11">
      <c r="A11" s="6" t="n">
        <v>10</v>
      </c>
      <c r="B11" s="6" t="n">
        <v>1</v>
      </c>
      <c r="C11" s="6" t="inlineStr">
        <is>
          <t>Caption</t>
        </is>
      </c>
      <c r="D11" s="6" t="inlineStr">
        <is>
          <t>Superior Court of California, County of</t>
        </is>
      </c>
      <c r="E11" s="6" t="inlineStr">
        <is>
          <t>topmostSubform[0].Page1[0].Stamp_court_case[0].CourtInfo_ft[0]</t>
        </is>
      </c>
      <c r="F11" s="6" t="inlineStr">
        <is>
          <t>text</t>
        </is>
      </c>
      <c r="G11" s="6" t="inlineStr"/>
      <c r="H11" s="6" t="inlineStr"/>
      <c r="I11" s="6" t="inlineStr">
        <is>
          <t>398, 208, 573, 275</t>
        </is>
      </c>
      <c r="J11" s="6" t="inlineStr">
        <is>
          <t>derived</t>
        </is>
      </c>
      <c r="K11" s="6" t="inlineStr">
        <is>
          <t>S1,S2</t>
        </is>
      </c>
      <c r="L11" s="6">
        <f> S1.countyName + "\n" + courthouse(S1,S2).streetAddress + ", " + courthouse(S1,S2).cityZip</f>
        <v/>
      </c>
      <c r="M11" s="6" t="inlineStr"/>
      <c r="N11" s="6" t="inlineStr"/>
      <c r="O11" s="6" t="inlineStr"/>
    </row>
    <row r="12">
      <c r="A12" s="5" t="n">
        <v>11</v>
      </c>
      <c r="B12" s="5" t="n">
        <v>1</v>
      </c>
      <c r="C12" s="5" t="inlineStr">
        <is>
          <t>Caption</t>
        </is>
      </c>
      <c r="D12" s="5" t="inlineStr">
        <is>
          <t>Case Number:</t>
        </is>
      </c>
      <c r="E12" s="5" t="inlineStr">
        <is>
          <t>topmostSubform[0].Page1[0].Stamp_court_case[0].CaseNumber_ft[0]</t>
        </is>
      </c>
      <c r="F12" s="5" t="inlineStr">
        <is>
          <t>text</t>
        </is>
      </c>
      <c r="G12" s="5" t="inlineStr"/>
      <c r="H12" s="5" t="inlineStr"/>
      <c r="I12" s="5" t="inlineStr">
        <is>
          <t>398, 304, 573, 321</t>
        </is>
      </c>
      <c r="J12" s="5" t="inlineStr">
        <is>
          <t>question</t>
        </is>
      </c>
      <c r="K12" s="5" t="inlineStr">
        <is>
          <t>S4,X0</t>
        </is>
      </c>
      <c r="L12" s="5">
        <f> X0 ?? S4</f>
        <v/>
      </c>
      <c r="M12" s="5" t="inlineStr">
        <is>
          <t>known; otherwise blank for clerk</t>
        </is>
      </c>
      <c r="N12" s="5" t="inlineStr"/>
      <c r="O12" s="5" t="inlineStr"/>
    </row>
    <row r="13">
      <c r="A13" s="5" t="n">
        <v>12</v>
      </c>
      <c r="B13" s="5" t="n">
        <v>1</v>
      </c>
      <c r="C13" s="5" t="inlineStr">
        <is>
          <t>4a</t>
        </is>
      </c>
      <c r="D13" s="5" t="inlineStr">
        <is>
          <t>Date:</t>
        </is>
      </c>
      <c r="E13" s="5" t="inlineStr">
        <is>
          <t>topmostSubform[0].Page1[0].HearingDate_dt[0]</t>
        </is>
      </c>
      <c r="F13" s="5" t="inlineStr">
        <is>
          <t>text</t>
        </is>
      </c>
      <c r="G13" s="5" t="inlineStr"/>
      <c r="H13" s="5" t="inlineStr"/>
      <c r="I13" s="5" t="inlineStr">
        <is>
          <t>106, 527, 219, 540</t>
        </is>
      </c>
      <c r="J13" s="5" t="inlineStr">
        <is>
          <t>question</t>
        </is>
      </c>
      <c r="K13" s="5" t="inlineStr">
        <is>
          <t>X1</t>
        </is>
      </c>
      <c r="L13" s="5">
        <f> fmtDate(X1.date)</f>
        <v/>
      </c>
      <c r="M13" s="5" t="inlineStr">
        <is>
          <t>witness copy and X1 known</t>
        </is>
      </c>
      <c r="N13" s="5" t="inlineStr"/>
      <c r="O13" s="5" t="inlineStr"/>
    </row>
    <row r="14">
      <c r="A14" s="5" t="n">
        <v>13</v>
      </c>
      <c r="B14" s="5" t="n">
        <v>1</v>
      </c>
      <c r="C14" s="5" t="inlineStr">
        <is>
          <t>4a</t>
        </is>
      </c>
      <c r="D14" s="5" t="inlineStr">
        <is>
          <t>Time:</t>
        </is>
      </c>
      <c r="E14" s="5" t="inlineStr">
        <is>
          <t>topmostSubform[0].Page1[0].HearingTime_dt[0]</t>
        </is>
      </c>
      <c r="F14" s="5" t="inlineStr">
        <is>
          <t>text</t>
        </is>
      </c>
      <c r="G14" s="5" t="inlineStr"/>
      <c r="H14" s="5" t="inlineStr"/>
      <c r="I14" s="5" t="inlineStr">
        <is>
          <t>259, 527, 313, 540</t>
        </is>
      </c>
      <c r="J14" s="5" t="inlineStr">
        <is>
          <t>question</t>
        </is>
      </c>
      <c r="K14" s="5" t="inlineStr">
        <is>
          <t>X1</t>
        </is>
      </c>
      <c r="L14" s="5">
        <f> X1.time</f>
        <v/>
      </c>
      <c r="M14" s="5" t="inlineStr">
        <is>
          <t>witness copy and X1 known</t>
        </is>
      </c>
      <c r="N14" s="5" t="inlineStr"/>
      <c r="O14" s="5" t="inlineStr"/>
    </row>
    <row r="15">
      <c r="A15" s="5" t="n">
        <v>14</v>
      </c>
      <c r="B15" s="5" t="n">
        <v>1</v>
      </c>
      <c r="C15" s="5" t="inlineStr">
        <is>
          <t>4a</t>
        </is>
      </c>
      <c r="D15" s="5" t="inlineStr">
        <is>
          <t>Department and judicial officer, if known:</t>
        </is>
      </c>
      <c r="E15" s="5" t="inlineStr">
        <is>
          <t>topmostSubform[0].Page1[0].HearingRoom_ft[0]</t>
        </is>
      </c>
      <c r="F15" s="5" t="inlineStr">
        <is>
          <t>text</t>
        </is>
      </c>
      <c r="G15" s="5" t="inlineStr"/>
      <c r="H15" s="5" t="inlineStr"/>
      <c r="I15" s="5" t="inlineStr">
        <is>
          <t>269, 544, 568, 557</t>
        </is>
      </c>
      <c r="J15" s="5" t="inlineStr">
        <is>
          <t>question</t>
        </is>
      </c>
      <c r="K15" s="5" t="inlineStr">
        <is>
          <t>X1</t>
        </is>
      </c>
      <c r="L15" s="5">
        <f> X1.department</f>
        <v/>
      </c>
      <c r="M15" s="5" t="inlineStr">
        <is>
          <t>witness copy and X1 known</t>
        </is>
      </c>
      <c r="N15" s="5" t="inlineStr"/>
      <c r="O15" s="5" t="inlineStr"/>
    </row>
    <row r="16">
      <c r="A16" s="6" t="n">
        <v>15</v>
      </c>
      <c r="B16" s="6" t="n">
        <v>1</v>
      </c>
      <c r="C16" s="6" t="inlineStr">
        <is>
          <t>4a</t>
        </is>
      </c>
      <c r="D16" s="6" t="inlineStr">
        <is>
          <t>No date is set yet.</t>
        </is>
      </c>
      <c r="E16" s="6" t="inlineStr">
        <is>
          <t>topmostSubform[0].Page1[0].CheckBox64[0]</t>
        </is>
      </c>
      <c r="F16" s="6" t="inlineStr">
        <is>
          <t>checkbox</t>
        </is>
      </c>
      <c r="G16" s="6" t="inlineStr">
        <is>
          <t>1</t>
        </is>
      </c>
      <c r="H16" s="6" t="inlineStr"/>
      <c r="I16" s="6" t="inlineStr">
        <is>
          <t>77, 564, 86, 573</t>
        </is>
      </c>
      <c r="J16" s="6" t="inlineStr">
        <is>
          <t>derived</t>
        </is>
      </c>
      <c r="K16" s="6" t="inlineStr">
        <is>
          <t>X1</t>
        </is>
      </c>
      <c r="L16" s="6" t="inlineStr">
        <is>
          <t>check if X1 not known yet</t>
        </is>
      </c>
      <c r="M16" s="6" t="inlineStr">
        <is>
          <t>witness copy</t>
        </is>
      </c>
      <c r="N16" s="6" t="inlineStr">
        <is>
          <t>"No date is set yet."</t>
        </is>
      </c>
      <c r="O16" s="6" t="inlineStr"/>
    </row>
    <row r="17">
      <c r="A17" s="5" t="n">
        <v>16</v>
      </c>
      <c r="B17" s="5" t="n">
        <v>1</v>
      </c>
      <c r="C17" s="5" t="inlineStr">
        <is>
          <t>1</t>
        </is>
      </c>
      <c r="D17" s="5" t="inlineStr">
        <is>
          <t>E-Mail Address:</t>
        </is>
      </c>
      <c r="E17" s="5" t="inlineStr">
        <is>
          <t>topmostSubform[0].Page1[0].ProtectedEmail_ft[0]</t>
        </is>
      </c>
      <c r="F17" s="5" t="inlineStr">
        <is>
          <t>text</t>
        </is>
      </c>
      <c r="G17" s="5" t="inlineStr"/>
      <c r="H17" s="5" t="inlineStr"/>
      <c r="I17" s="5" t="inlineStr">
        <is>
          <t>143, 286, 372, 299</t>
        </is>
      </c>
      <c r="J17" s="5" t="inlineStr">
        <is>
          <t>question</t>
        </is>
      </c>
      <c r="K17" s="5" t="inlineStr">
        <is>
          <t>S5,L5,P8</t>
        </is>
      </c>
      <c r="L17" s="5">
        <f> S5=="Y" ? L5.email : P8.email</f>
        <v/>
      </c>
      <c r="M17" s="5" t="inlineStr"/>
      <c r="N17" s="5" t="inlineStr"/>
      <c r="O17" s="5" t="inlineStr"/>
    </row>
    <row r="18">
      <c r="A18" s="6" t="n">
        <v>17</v>
      </c>
      <c r="B18" s="6" t="n">
        <v>1</v>
      </c>
      <c r="C18" s="6" t="inlineStr">
        <is>
          <t>2</t>
        </is>
      </c>
      <c r="D18" s="6" t="inlineStr">
        <is>
          <t>Plaintiff/Petitioner</t>
        </is>
      </c>
      <c r="E18" s="6" t="inlineStr">
        <is>
          <t>topmostSubform[0].Page1[0].HearingPetitionerRequest_cb[0]</t>
        </is>
      </c>
      <c r="F18" s="6" t="inlineStr">
        <is>
          <t>checkbox</t>
        </is>
      </c>
      <c r="G18" s="6" t="inlineStr">
        <is>
          <t>1</t>
        </is>
      </c>
      <c r="H18" s="6" t="inlineStr"/>
      <c r="I18" s="6" t="inlineStr">
        <is>
          <t>63, 344, 72, 353</t>
        </is>
      </c>
      <c r="J18" s="6" t="inlineStr">
        <is>
          <t>derived</t>
        </is>
      </c>
      <c r="K18" s="6" t="inlineStr">
        <is>
          <t>(fixed)</t>
        </is>
      </c>
      <c r="L18" s="6" t="inlineStr">
        <is>
          <t>check (always Plaintiff/Petitioner)</t>
        </is>
      </c>
      <c r="M18" s="6" t="inlineStr"/>
      <c r="N18" s="6" t="inlineStr"/>
      <c r="O18" s="6" t="inlineStr"/>
    </row>
    <row r="19">
      <c r="A19" s="6" t="n">
        <v>18</v>
      </c>
      <c r="B19" s="6" t="n">
        <v>1</v>
      </c>
      <c r="C19" s="6" t="inlineStr">
        <is>
          <t>2</t>
        </is>
      </c>
      <c r="D19" s="6" t="inlineStr">
        <is>
          <t>Other</t>
        </is>
      </c>
      <c r="E19" s="6" t="inlineStr">
        <is>
          <t>topmostSubform[0].Page1[0].HearingPetitionerRequest_cb[1]</t>
        </is>
      </c>
      <c r="F19" s="6" t="inlineStr">
        <is>
          <t>checkbox</t>
        </is>
      </c>
      <c r="G19" s="6" t="inlineStr">
        <is>
          <t>1</t>
        </is>
      </c>
      <c r="H19" s="6" t="inlineStr"/>
      <c r="I19" s="6" t="inlineStr">
        <is>
          <t>310, 344, 319, 353</t>
        </is>
      </c>
      <c r="J19" s="6" t="inlineStr">
        <is>
          <t>derived</t>
        </is>
      </c>
      <c r="K19" s="6" t="inlineStr">
        <is>
          <t>(fixed)</t>
        </is>
      </c>
      <c r="L19" s="6" t="inlineStr">
        <is>
          <t>never</t>
        </is>
      </c>
      <c r="M19" s="6" t="inlineStr"/>
      <c r="N19" s="6" t="inlineStr">
        <is>
          <t>Other.</t>
        </is>
      </c>
      <c r="O19" s="6" t="inlineStr"/>
    </row>
    <row r="20">
      <c r="A20" s="6" t="n">
        <v>19</v>
      </c>
      <c r="B20" s="6" t="n">
        <v>1</v>
      </c>
      <c r="C20" s="6" t="inlineStr">
        <is>
          <t>2</t>
        </is>
      </c>
      <c r="D20" s="6" t="inlineStr">
        <is>
          <t>Defendant/Respondent</t>
        </is>
      </c>
      <c r="E20" s="6" t="inlineStr">
        <is>
          <t>topmostSubform[0].Page1[0].HearingPetitionerRequest_cb[2]</t>
        </is>
      </c>
      <c r="F20" s="6" t="inlineStr">
        <is>
          <t>checkbox</t>
        </is>
      </c>
      <c r="G20" s="6" t="inlineStr">
        <is>
          <t>1</t>
        </is>
      </c>
      <c r="H20" s="6" t="inlineStr"/>
      <c r="I20" s="6" t="inlineStr">
        <is>
          <t>178, 344, 187, 353</t>
        </is>
      </c>
      <c r="J20" s="6" t="inlineStr">
        <is>
          <t>derived</t>
        </is>
      </c>
      <c r="K20" s="6" t="inlineStr">
        <is>
          <t>(fixed)</t>
        </is>
      </c>
      <c r="L20" s="6" t="inlineStr">
        <is>
          <t>never</t>
        </is>
      </c>
      <c r="M20" s="6" t="inlineStr"/>
      <c r="N20" s="6" t="inlineStr">
        <is>
          <t>Defendant/Respondent.</t>
        </is>
      </c>
      <c r="O20" s="6" t="inlineStr"/>
    </row>
    <row r="21">
      <c r="A21" s="5" t="n">
        <v>20</v>
      </c>
      <c r="B21" s="5" t="n">
        <v>1</v>
      </c>
      <c r="C21" s="5" t="inlineStr">
        <is>
          <t>3</t>
        </is>
      </c>
      <c r="D21" s="5" t="inlineStr">
        <is>
          <t>I need an interpreter in the following language when I am in court:</t>
        </is>
      </c>
      <c r="E21" s="5" t="inlineStr">
        <is>
          <t>topmostSubform[0].Page1[0].T227[0]</t>
        </is>
      </c>
      <c r="F21" s="5" t="inlineStr">
        <is>
          <t>checkbox</t>
        </is>
      </c>
      <c r="G21" s="5" t="inlineStr">
        <is>
          <t>1</t>
        </is>
      </c>
      <c r="H21" s="5" t="inlineStr"/>
      <c r="I21" s="5" t="inlineStr">
        <is>
          <t>63, 378, 72, 387</t>
        </is>
      </c>
      <c r="J21" s="5" t="inlineStr">
        <is>
          <t>question</t>
        </is>
      </c>
      <c r="K21" s="5" t="inlineStr">
        <is>
          <t>I1</t>
        </is>
      </c>
      <c r="L21" s="5" t="inlineStr">
        <is>
          <t>check if I1 == "Y" (petitioner's copy)</t>
        </is>
      </c>
      <c r="M21" s="5" t="inlineStr"/>
      <c r="N21" s="5" t="inlineStr">
        <is>
          <t>One INT-300 for the petitioner (item 3) and one per witness (item 4). A witness-only copy leaves item 3 blank.</t>
        </is>
      </c>
      <c r="O21" s="5" t="inlineStr"/>
    </row>
    <row r="22">
      <c r="A22" s="5" t="n">
        <v>21</v>
      </c>
      <c r="B22" s="5" t="n">
        <v>1</v>
      </c>
      <c r="C22" s="5" t="inlineStr">
        <is>
          <t>3</t>
        </is>
      </c>
      <c r="D22" s="5" t="inlineStr">
        <is>
          <t>Tiếng Việt (Vietnamese)</t>
        </is>
      </c>
      <c r="E22" s="5" t="inlineStr">
        <is>
          <t>topmostSubform[0].Page1[0].CheckBox64[1]</t>
        </is>
      </c>
      <c r="F22" s="5" t="inlineStr">
        <is>
          <t>checkbox</t>
        </is>
      </c>
      <c r="G22" s="5" t="inlineStr">
        <is>
          <t>1</t>
        </is>
      </c>
      <c r="H22" s="5" t="inlineStr"/>
      <c r="I22" s="5" t="inlineStr">
        <is>
          <t>205, 394, 214, 403</t>
        </is>
      </c>
      <c r="J22" s="5" t="inlineStr">
        <is>
          <t>question</t>
        </is>
      </c>
      <c r="K22" s="5" t="inlineStr">
        <is>
          <t>I1</t>
        </is>
      </c>
      <c r="L22" s="5" t="inlineStr">
        <is>
          <t>check if I1.language == "Vietnamese"</t>
        </is>
      </c>
      <c r="M22" s="5" t="inlineStr">
        <is>
          <t>I1 == "Y"</t>
        </is>
      </c>
      <c r="N22" s="5" t="inlineStr"/>
      <c r="O22" s="5" t="inlineStr"/>
    </row>
    <row r="23">
      <c r="A23" s="5" t="n">
        <v>22</v>
      </c>
      <c r="B23" s="5" t="n">
        <v>1</v>
      </c>
      <c r="C23" s="5" t="inlineStr">
        <is>
          <t>3</t>
        </is>
      </c>
      <c r="D23" s="5" t="inlineStr">
        <is>
          <t>فارسی (Farsi/Persian)</t>
        </is>
      </c>
      <c r="E23" s="5" t="inlineStr">
        <is>
          <t>topmostSubform[0].Page1[0].CheckBox64[2]</t>
        </is>
      </c>
      <c r="F23" s="5" t="inlineStr">
        <is>
          <t>checkbox</t>
        </is>
      </c>
      <c r="G23" s="5" t="inlineStr">
        <is>
          <t>1</t>
        </is>
      </c>
      <c r="H23" s="5" t="inlineStr"/>
      <c r="I23" s="5" t="inlineStr">
        <is>
          <t>205, 412, 214, 421</t>
        </is>
      </c>
      <c r="J23" s="5" t="inlineStr">
        <is>
          <t>question</t>
        </is>
      </c>
      <c r="K23" s="5" t="inlineStr">
        <is>
          <t>I1</t>
        </is>
      </c>
      <c r="L23" s="5" t="inlineStr">
        <is>
          <t>check if I1.language == "Farsi"</t>
        </is>
      </c>
      <c r="M23" s="5" t="inlineStr">
        <is>
          <t>I1 == "Y"</t>
        </is>
      </c>
      <c r="N23" s="5" t="inlineStr"/>
      <c r="O23" s="5" t="inlineStr"/>
    </row>
    <row r="24">
      <c r="A24" s="5" t="n">
        <v>23</v>
      </c>
      <c r="B24" s="5" t="n">
        <v>1</v>
      </c>
      <c r="C24" s="5" t="inlineStr">
        <is>
          <t>3</t>
        </is>
      </c>
      <c r="D24" s="5" t="inlineStr">
        <is>
          <t>(Punjabi)</t>
        </is>
      </c>
      <c r="E24" s="5" t="inlineStr">
        <is>
          <t>topmostSubform[0].Page1[0].CheckBox64[3]</t>
        </is>
      </c>
      <c r="F24" s="5" t="inlineStr">
        <is>
          <t>checkbox</t>
        </is>
      </c>
      <c r="G24" s="5" t="inlineStr">
        <is>
          <t>1</t>
        </is>
      </c>
      <c r="H24" s="5" t="inlineStr"/>
      <c r="I24" s="5" t="inlineStr">
        <is>
          <t>205, 432, 214, 441</t>
        </is>
      </c>
      <c r="J24" s="5" t="inlineStr">
        <is>
          <t>question</t>
        </is>
      </c>
      <c r="K24" s="5" t="inlineStr">
        <is>
          <t>I1</t>
        </is>
      </c>
      <c r="L24" s="5" t="inlineStr">
        <is>
          <t>check if I1.language == "Punjabi"</t>
        </is>
      </c>
      <c r="M24" s="5" t="inlineStr">
        <is>
          <t>I1 == "Y"</t>
        </is>
      </c>
      <c r="N24" s="5" t="inlineStr"/>
      <c r="O24" s="5" t="inlineStr"/>
    </row>
    <row r="25">
      <c r="A25" s="5" t="n">
        <v>24</v>
      </c>
      <c r="B25" s="5" t="n">
        <v>1</v>
      </c>
      <c r="C25" s="5" t="inlineStr">
        <is>
          <t>3</t>
        </is>
      </c>
      <c r="D25" s="5" t="inlineStr">
        <is>
          <t>한국어 (Korean)</t>
        </is>
      </c>
      <c r="E25" s="5" t="inlineStr">
        <is>
          <t>topmostSubform[0].Page1[0].CheckBox64[4]</t>
        </is>
      </c>
      <c r="F25" s="5" t="inlineStr">
        <is>
          <t>checkbox</t>
        </is>
      </c>
      <c r="G25" s="5" t="inlineStr">
        <is>
          <t>1</t>
        </is>
      </c>
      <c r="H25" s="5" t="inlineStr"/>
      <c r="I25" s="5" t="inlineStr">
        <is>
          <t>349, 394, 358, 403</t>
        </is>
      </c>
      <c r="J25" s="5" t="inlineStr">
        <is>
          <t>question</t>
        </is>
      </c>
      <c r="K25" s="5" t="inlineStr">
        <is>
          <t>I1</t>
        </is>
      </c>
      <c r="L25" s="5" t="inlineStr">
        <is>
          <t>check if I1.language == "Korean"</t>
        </is>
      </c>
      <c r="M25" s="5" t="inlineStr">
        <is>
          <t>I1 == "Y"</t>
        </is>
      </c>
      <c r="N25" s="5" t="inlineStr"/>
      <c r="O25" s="5" t="inlineStr"/>
    </row>
    <row r="26">
      <c r="A26" s="5" t="n">
        <v>25</v>
      </c>
      <c r="B26" s="5" t="n">
        <v>1</v>
      </c>
      <c r="C26" s="5" t="inlineStr">
        <is>
          <t>3</t>
        </is>
      </c>
      <c r="D26" s="5" t="inlineStr">
        <is>
          <t>русский (Russian)</t>
        </is>
      </c>
      <c r="E26" s="5" t="inlineStr">
        <is>
          <t>topmostSubform[0].Page1[0].CheckBox64[5]</t>
        </is>
      </c>
      <c r="F26" s="5" t="inlineStr">
        <is>
          <t>checkbox</t>
        </is>
      </c>
      <c r="G26" s="5" t="inlineStr">
        <is>
          <t>1</t>
        </is>
      </c>
      <c r="H26" s="5" t="inlineStr"/>
      <c r="I26" s="5" t="inlineStr">
        <is>
          <t>349, 412, 358, 421</t>
        </is>
      </c>
      <c r="J26" s="5" t="inlineStr">
        <is>
          <t>question</t>
        </is>
      </c>
      <c r="K26" s="5" t="inlineStr">
        <is>
          <t>I1</t>
        </is>
      </c>
      <c r="L26" s="5" t="inlineStr">
        <is>
          <t>check if I1.language == "Russian"</t>
        </is>
      </c>
      <c r="M26" s="5" t="inlineStr">
        <is>
          <t>I1 == "Y"</t>
        </is>
      </c>
      <c r="N26" s="5" t="inlineStr"/>
      <c r="O26" s="5" t="inlineStr"/>
    </row>
    <row r="27">
      <c r="A27" s="5" t="n">
        <v>26</v>
      </c>
      <c r="B27" s="5" t="n">
        <v>1</v>
      </c>
      <c r="C27" s="5" t="inlineStr">
        <is>
          <t>3</t>
        </is>
      </c>
      <c r="D27" s="5" t="inlineStr">
        <is>
          <t>普通话 (Mandarin)</t>
        </is>
      </c>
      <c r="E27" s="5" t="inlineStr">
        <is>
          <t>topmostSubform[0].Page1[0].CheckBox64[6]</t>
        </is>
      </c>
      <c r="F27" s="5" t="inlineStr">
        <is>
          <t>checkbox</t>
        </is>
      </c>
      <c r="G27" s="5" t="inlineStr">
        <is>
          <t>1</t>
        </is>
      </c>
      <c r="H27" s="5" t="inlineStr"/>
      <c r="I27" s="5" t="inlineStr">
        <is>
          <t>471, 394, 480, 403</t>
        </is>
      </c>
      <c r="J27" s="5" t="inlineStr">
        <is>
          <t>question</t>
        </is>
      </c>
      <c r="K27" s="5" t="inlineStr">
        <is>
          <t>I1</t>
        </is>
      </c>
      <c r="L27" s="5" t="inlineStr">
        <is>
          <t>check if I1.language == "Mandarin"</t>
        </is>
      </c>
      <c r="M27" s="5" t="inlineStr">
        <is>
          <t>I1 == "Y"</t>
        </is>
      </c>
      <c r="N27" s="5" t="inlineStr"/>
      <c r="O27" s="5" t="inlineStr"/>
    </row>
    <row r="28">
      <c r="A28" s="5" t="n">
        <v>27</v>
      </c>
      <c r="B28" s="5" t="n">
        <v>1</v>
      </c>
      <c r="C28" s="5" t="inlineStr">
        <is>
          <t>3</t>
        </is>
      </c>
      <c r="D28" s="5" t="inlineStr">
        <is>
          <t>Tagalog (Tagalog)</t>
        </is>
      </c>
      <c r="E28" s="5" t="inlineStr">
        <is>
          <t>topmostSubform[0].Page1[0].CheckBox64[7]</t>
        </is>
      </c>
      <c r="F28" s="5" t="inlineStr">
        <is>
          <t>checkbox</t>
        </is>
      </c>
      <c r="G28" s="5" t="inlineStr">
        <is>
          <t>1</t>
        </is>
      </c>
      <c r="H28" s="5" t="inlineStr"/>
      <c r="I28" s="5" t="inlineStr">
        <is>
          <t>471, 411, 480, 420</t>
        </is>
      </c>
      <c r="J28" s="5" t="inlineStr">
        <is>
          <t>question</t>
        </is>
      </c>
      <c r="K28" s="5" t="inlineStr">
        <is>
          <t>I1</t>
        </is>
      </c>
      <c r="L28" s="5" t="inlineStr">
        <is>
          <t>check if I1.language == "Tagalog"</t>
        </is>
      </c>
      <c r="M28" s="5" t="inlineStr">
        <is>
          <t>I1 == "Y"</t>
        </is>
      </c>
      <c r="N28" s="5" t="inlineStr"/>
      <c r="O28" s="5" t="inlineStr"/>
    </row>
    <row r="29">
      <c r="A29" s="5" t="n">
        <v>28</v>
      </c>
      <c r="B29" s="5" t="n">
        <v>1</v>
      </c>
      <c r="C29" s="5" t="inlineStr">
        <is>
          <t>3</t>
        </is>
      </c>
      <c r="D29" s="5" t="inlineStr">
        <is>
          <t>广东话 (Cantonese)</t>
        </is>
      </c>
      <c r="E29" s="5" t="inlineStr">
        <is>
          <t>topmostSubform[0].Page1[0].CheckBox64[8]</t>
        </is>
      </c>
      <c r="F29" s="5" t="inlineStr">
        <is>
          <t>checkbox</t>
        </is>
      </c>
      <c r="G29" s="5" t="inlineStr">
        <is>
          <t>1</t>
        </is>
      </c>
      <c r="H29" s="5" t="inlineStr"/>
      <c r="I29" s="5" t="inlineStr">
        <is>
          <t>79, 414, 88, 423</t>
        </is>
      </c>
      <c r="J29" s="5" t="inlineStr">
        <is>
          <t>question</t>
        </is>
      </c>
      <c r="K29" s="5" t="inlineStr">
        <is>
          <t>I1</t>
        </is>
      </c>
      <c r="L29" s="5" t="inlineStr">
        <is>
          <t>check if I1.language == "Cantonese"</t>
        </is>
      </c>
      <c r="M29" s="5" t="inlineStr">
        <is>
          <t>I1 == "Y"</t>
        </is>
      </c>
      <c r="N29" s="5" t="inlineStr"/>
      <c r="O29" s="5" t="inlineStr"/>
    </row>
    <row r="30">
      <c r="A30" s="5" t="n">
        <v>29</v>
      </c>
      <c r="B30" s="5" t="n">
        <v>1</v>
      </c>
      <c r="C30" s="5" t="inlineStr">
        <is>
          <t>3</t>
        </is>
      </c>
      <c r="D30" s="5" t="inlineStr">
        <is>
          <t>español (Spanish)</t>
        </is>
      </c>
      <c r="E30" s="5" t="inlineStr">
        <is>
          <t>topmostSubform[0].Page1[0].CheckBox64[9]</t>
        </is>
      </c>
      <c r="F30" s="5" t="inlineStr">
        <is>
          <t>checkbox</t>
        </is>
      </c>
      <c r="G30" s="5" t="inlineStr">
        <is>
          <t>1</t>
        </is>
      </c>
      <c r="H30" s="5" t="inlineStr"/>
      <c r="I30" s="5" t="inlineStr">
        <is>
          <t>79, 394, 88, 403</t>
        </is>
      </c>
      <c r="J30" s="5" t="inlineStr">
        <is>
          <t>question</t>
        </is>
      </c>
      <c r="K30" s="5" t="inlineStr">
        <is>
          <t>I1</t>
        </is>
      </c>
      <c r="L30" s="5" t="inlineStr">
        <is>
          <t>check if I1.language == "Spanish"</t>
        </is>
      </c>
      <c r="M30" s="5" t="inlineStr">
        <is>
          <t>I1 == "Y"</t>
        </is>
      </c>
      <c r="N30" s="5" t="inlineStr">
        <is>
          <t>Language boxes are numbered out of order; matched by position.</t>
        </is>
      </c>
      <c r="O30" s="5" t="inlineStr"/>
    </row>
    <row r="31">
      <c r="A31" s="5" t="n">
        <v>30</v>
      </c>
      <c r="B31" s="5" t="n">
        <v>1</v>
      </c>
      <c r="C31" s="5" t="inlineStr">
        <is>
          <t>3</t>
        </is>
      </c>
      <c r="D31" s="5" t="inlineStr">
        <is>
          <t>العربية (Arabic)</t>
        </is>
      </c>
      <c r="E31" s="5" t="inlineStr">
        <is>
          <t>topmostSubform[0].Page1[0].#area[5].CheckBox64[10]</t>
        </is>
      </c>
      <c r="F31" s="5" t="inlineStr">
        <is>
          <t>checkbox</t>
        </is>
      </c>
      <c r="G31" s="5" t="inlineStr">
        <is>
          <t>1</t>
        </is>
      </c>
      <c r="H31" s="5" t="inlineStr"/>
      <c r="I31" s="5" t="inlineStr">
        <is>
          <t>79, 434, 88, 443</t>
        </is>
      </c>
      <c r="J31" s="5" t="inlineStr">
        <is>
          <t>question</t>
        </is>
      </c>
      <c r="K31" s="5" t="inlineStr">
        <is>
          <t>I1</t>
        </is>
      </c>
      <c r="L31" s="5" t="inlineStr">
        <is>
          <t>check if I1.language == "Arabic"</t>
        </is>
      </c>
      <c r="M31" s="5" t="inlineStr">
        <is>
          <t>I1 == "Y"</t>
        </is>
      </c>
      <c r="N31" s="5" t="inlineStr"/>
      <c r="O31" s="5" t="inlineStr"/>
    </row>
    <row r="32">
      <c r="A32" s="5" t="n">
        <v>31</v>
      </c>
      <c r="B32" s="5" t="n">
        <v>1</v>
      </c>
      <c r="C32" s="5" t="inlineStr">
        <is>
          <t>3</t>
        </is>
      </c>
      <c r="D32" s="5" t="inlineStr">
        <is>
          <t>OldHearingTime_dt</t>
        </is>
      </c>
      <c r="E32" s="5" t="inlineStr">
        <is>
          <t>topmostSubform[0].Page1[0].OldHearingTime_dt[1]</t>
        </is>
      </c>
      <c r="F32" s="5" t="inlineStr">
        <is>
          <t>text</t>
        </is>
      </c>
      <c r="G32" s="5" t="inlineStr"/>
      <c r="H32" s="5" t="inlineStr"/>
      <c r="I32" s="5" t="inlineStr">
        <is>
          <t>397, 430, 568, 443</t>
        </is>
      </c>
      <c r="J32" s="5" t="inlineStr">
        <is>
          <t>question</t>
        </is>
      </c>
      <c r="K32" s="5" t="inlineStr">
        <is>
          <t>I1</t>
        </is>
      </c>
      <c r="L32" s="5">
        <f> I1.otherLanguage</f>
        <v/>
      </c>
      <c r="M32" s="5" t="inlineStr">
        <is>
          <t>I1.language == "other"</t>
        </is>
      </c>
      <c r="N32" s="5" t="inlineStr"/>
      <c r="O32" s="5" t="inlineStr"/>
    </row>
    <row r="33">
      <c r="A33" s="5" t="n">
        <v>32</v>
      </c>
      <c r="B33" s="5" t="n">
        <v>1</v>
      </c>
      <c r="C33" s="5" t="inlineStr">
        <is>
          <t>3</t>
        </is>
      </c>
      <c r="D33" s="5" t="inlineStr">
        <is>
          <t>Other:</t>
        </is>
      </c>
      <c r="E33" s="5" t="inlineStr">
        <is>
          <t>topmostSubform[0].Page1[0].HearingPetitionerRequest_cb[3]</t>
        </is>
      </c>
      <c r="F33" s="5" t="inlineStr">
        <is>
          <t>checkbox</t>
        </is>
      </c>
      <c r="G33" s="5" t="inlineStr">
        <is>
          <t>1</t>
        </is>
      </c>
      <c r="H33" s="5" t="inlineStr"/>
      <c r="I33" s="5" t="inlineStr">
        <is>
          <t>349, 432, 358, 441</t>
        </is>
      </c>
      <c r="J33" s="5" t="inlineStr">
        <is>
          <t>question</t>
        </is>
      </c>
      <c r="K33" s="5" t="inlineStr">
        <is>
          <t>I1</t>
        </is>
      </c>
      <c r="L33" s="5" t="inlineStr">
        <is>
          <t>check if I1.language == "other"</t>
        </is>
      </c>
      <c r="M33" s="5" t="inlineStr">
        <is>
          <t>I1 == "Y"</t>
        </is>
      </c>
      <c r="N33" s="5" t="inlineStr">
        <is>
          <t>Shares a name stem with item 2 but is the item 3 "Other" box.</t>
        </is>
      </c>
      <c r="O33" s="5" t="inlineStr"/>
    </row>
    <row r="34">
      <c r="A34" s="5" t="n">
        <v>33</v>
      </c>
      <c r="B34" s="5" t="n">
        <v>1</v>
      </c>
      <c r="C34" s="5" t="inlineStr">
        <is>
          <t>3</t>
        </is>
      </c>
      <c r="D34" s="5" t="inlineStr">
        <is>
          <t>Include town of origin, if you speak an indigenous language:</t>
        </is>
      </c>
      <c r="E34" s="5" t="inlineStr">
        <is>
          <t>topmostSubform[0].Page1[0].ProtectedEmail_ft[1]</t>
        </is>
      </c>
      <c r="F34" s="5" t="inlineStr">
        <is>
          <t>text</t>
        </is>
      </c>
      <c r="G34" s="5" t="inlineStr"/>
      <c r="H34" s="5" t="inlineStr"/>
      <c r="I34" s="5" t="inlineStr">
        <is>
          <t>334, 451, 567, 464</t>
        </is>
      </c>
      <c r="J34" s="5" t="inlineStr">
        <is>
          <t>question</t>
        </is>
      </c>
      <c r="K34" s="5" t="inlineStr">
        <is>
          <t>I2</t>
        </is>
      </c>
      <c r="L34" s="5">
        <f> I2</f>
        <v/>
      </c>
      <c r="M34" s="5" t="inlineStr">
        <is>
          <t>I1.language == "other"</t>
        </is>
      </c>
      <c r="N34" s="5" t="inlineStr">
        <is>
          <t>Town of origin (indigenous language). Field name is a leftover.</t>
        </is>
      </c>
      <c r="O34" s="5" t="inlineStr"/>
    </row>
    <row r="35">
      <c r="A35" s="5" t="n">
        <v>34</v>
      </c>
      <c r="B35" s="5" t="n">
        <v>1</v>
      </c>
      <c r="C35" s="5" t="inlineStr">
        <is>
          <t>4</t>
        </is>
      </c>
      <c r="D35" s="5" t="inlineStr">
        <is>
          <t>I have a witness who needs an interpreter for the following court date:</t>
        </is>
      </c>
      <c r="E35" s="5" t="inlineStr">
        <is>
          <t>topmostSubform[0].Page1[0].#field[33]</t>
        </is>
      </c>
      <c r="F35" s="5" t="inlineStr">
        <is>
          <t>checkbox</t>
        </is>
      </c>
      <c r="G35" s="5" t="inlineStr">
        <is>
          <t>1</t>
        </is>
      </c>
      <c r="H35" s="5" t="inlineStr"/>
      <c r="I35" s="5" t="inlineStr">
        <is>
          <t>63, 485, 72, 494</t>
        </is>
      </c>
      <c r="J35" s="5" t="inlineStr">
        <is>
          <t>question</t>
        </is>
      </c>
      <c r="K35" s="5" t="inlineStr">
        <is>
          <t>I3</t>
        </is>
      </c>
      <c r="L35" s="5" t="inlineStr">
        <is>
          <t>check (witness copy)</t>
        </is>
      </c>
      <c r="M35" s="5" t="inlineStr">
        <is>
          <t>witness copy</t>
        </is>
      </c>
      <c r="N35" s="5" t="inlineStr">
        <is>
          <t>One copy per I3 witness.</t>
        </is>
      </c>
      <c r="O35" s="5" t="inlineStr"/>
    </row>
    <row r="36">
      <c r="A36" s="5" t="n">
        <v>35</v>
      </c>
      <c r="B36" s="5" t="n">
        <v>1</v>
      </c>
      <c r="C36" s="5" t="inlineStr">
        <is>
          <t>4b</t>
        </is>
      </c>
      <c r="D36" s="5" t="inlineStr">
        <is>
          <t>The language marked above OR</t>
        </is>
      </c>
      <c r="E36" s="5" t="inlineStr">
        <is>
          <t>topmostSubform[0].Page1[0].CheckBox64[11]</t>
        </is>
      </c>
      <c r="F36" s="5" t="inlineStr">
        <is>
          <t>checkbox</t>
        </is>
      </c>
      <c r="G36" s="5" t="inlineStr">
        <is>
          <t>1</t>
        </is>
      </c>
      <c r="H36" s="5" t="inlineStr"/>
      <c r="I36" s="5" t="inlineStr">
        <is>
          <t>77, 600, 86, 609</t>
        </is>
      </c>
      <c r="J36" s="5" t="inlineStr">
        <is>
          <t>question</t>
        </is>
      </c>
      <c r="K36" s="5" t="inlineStr">
        <is>
          <t>I3</t>
        </is>
      </c>
      <c r="L36" s="5" t="inlineStr">
        <is>
          <t>check if witness.language == "same as yours"</t>
        </is>
      </c>
      <c r="M36" s="5" t="inlineStr">
        <is>
          <t>witness copy</t>
        </is>
      </c>
      <c r="N36" s="5" t="inlineStr"/>
      <c r="O36" s="5" t="inlineStr"/>
    </row>
    <row r="37">
      <c r="A37" s="5" t="n">
        <v>36</v>
      </c>
      <c r="B37" s="5" t="n">
        <v>1</v>
      </c>
      <c r="C37" s="5" t="inlineStr">
        <is>
          <t>4b</t>
        </is>
      </c>
      <c r="D37" s="5" t="inlineStr">
        <is>
          <t>(enter the language the witness speaks):</t>
        </is>
      </c>
      <c r="E37" s="5" t="inlineStr">
        <is>
          <t>topmostSubform[0].Page1[0].OldHearingTime_dt[2]</t>
        </is>
      </c>
      <c r="F37" s="5" t="inlineStr">
        <is>
          <t>text</t>
        </is>
      </c>
      <c r="G37" s="5" t="inlineStr"/>
      <c r="H37" s="5" t="inlineStr"/>
      <c r="I37" s="5" t="inlineStr">
        <is>
          <t>306, 614, 568, 626</t>
        </is>
      </c>
      <c r="J37" s="5" t="inlineStr">
        <is>
          <t>question</t>
        </is>
      </c>
      <c r="K37" s="5" t="inlineStr">
        <is>
          <t>I3</t>
        </is>
      </c>
      <c r="L37" s="5">
        <f> witness.otherLanguage</f>
        <v/>
      </c>
      <c r="M37" s="5" t="inlineStr">
        <is>
          <t>witness.language == "other"</t>
        </is>
      </c>
      <c r="N37" s="5" t="inlineStr"/>
      <c r="O37" s="5" t="inlineStr"/>
    </row>
    <row r="38">
      <c r="A38" s="5" t="n">
        <v>37</v>
      </c>
      <c r="B38" s="5" t="n">
        <v>1</v>
      </c>
      <c r="C38" s="5" t="inlineStr">
        <is>
          <t>4b</t>
        </is>
      </c>
      <c r="D38" s="5" t="inlineStr">
        <is>
          <t>Other</t>
        </is>
      </c>
      <c r="E38" s="5" t="inlineStr">
        <is>
          <t>topmostSubform[0].Page1[0].HearingPetitionerRequest_cb[4]</t>
        </is>
      </c>
      <c r="F38" s="5" t="inlineStr">
        <is>
          <t>checkbox</t>
        </is>
      </c>
      <c r="G38" s="5" t="inlineStr">
        <is>
          <t>1</t>
        </is>
      </c>
      <c r="H38" s="5" t="inlineStr"/>
      <c r="I38" s="5" t="inlineStr">
        <is>
          <t>77, 615, 86, 624</t>
        </is>
      </c>
      <c r="J38" s="5" t="inlineStr">
        <is>
          <t>question</t>
        </is>
      </c>
      <c r="K38" s="5" t="inlineStr">
        <is>
          <t>I3</t>
        </is>
      </c>
      <c r="L38" s="5" t="inlineStr">
        <is>
          <t>check if witness.language == "other"</t>
        </is>
      </c>
      <c r="M38" s="5" t="inlineStr">
        <is>
          <t>witness copy</t>
        </is>
      </c>
      <c r="N38" s="5" t="inlineStr"/>
      <c r="O38" s="5" t="inlineStr"/>
    </row>
    <row r="39">
      <c r="A39" s="5" t="n">
        <v>38</v>
      </c>
      <c r="B39" s="5" t="n">
        <v>1</v>
      </c>
      <c r="C39" s="5" t="inlineStr">
        <is>
          <t>Signature</t>
        </is>
      </c>
      <c r="D39" s="5" t="inlineStr">
        <is>
          <t>Date:</t>
        </is>
      </c>
      <c r="E39" s="5" t="inlineStr">
        <is>
          <t>topmostSubform[0].Page1[0].CH116Signature_dt[0]</t>
        </is>
      </c>
      <c r="F39" s="5" t="inlineStr">
        <is>
          <t>text</t>
        </is>
      </c>
      <c r="G39" s="5" t="inlineStr"/>
      <c r="H39" s="5" t="inlineStr"/>
      <c r="I39" s="5" t="inlineStr">
        <is>
          <t>66, 674, 217, 686</t>
        </is>
      </c>
      <c r="J39" s="5" t="inlineStr">
        <is>
          <t>question</t>
        </is>
      </c>
      <c r="K39" s="5" t="inlineStr">
        <is>
          <t>G1,G2</t>
        </is>
      </c>
      <c r="L39" s="5">
        <f> fmtDate(stage == 3 ? G2 : G1)</f>
        <v/>
      </c>
      <c r="M39" s="5" t="inlineStr"/>
      <c r="N39" s="5" t="inlineStr"/>
      <c r="O39" s="5" t="inlineStr"/>
    </row>
    <row r="40">
      <c r="A40" s="5" t="n">
        <v>39</v>
      </c>
      <c r="B40" s="5" t="n">
        <v>2</v>
      </c>
      <c r="C40" s="5" t="inlineStr">
        <is>
          <t>Caption</t>
        </is>
      </c>
      <c r="D40" s="5" t="inlineStr">
        <is>
          <t>Case Number:</t>
        </is>
      </c>
      <c r="E40" s="5" t="inlineStr">
        <is>
          <t>topmostSubform[0].Page2[0].CaseNumber_ft[0]</t>
        </is>
      </c>
      <c r="F40" s="5" t="inlineStr">
        <is>
          <t>text</t>
        </is>
      </c>
      <c r="G40" s="5" t="inlineStr"/>
      <c r="H40" s="5" t="inlineStr"/>
      <c r="I40" s="5" t="inlineStr">
        <is>
          <t>400, 51, 575, 67</t>
        </is>
      </c>
      <c r="J40" s="5" t="inlineStr">
        <is>
          <t>question</t>
        </is>
      </c>
      <c r="K40" s="5" t="inlineStr">
        <is>
          <t>S4,X0</t>
        </is>
      </c>
      <c r="L40" s="5">
        <f> X0 ?? S4</f>
        <v/>
      </c>
      <c r="M40" s="5" t="inlineStr">
        <is>
          <t>known; otherwise blank for clerk</t>
        </is>
      </c>
      <c r="N40" s="5" t="inlineStr"/>
      <c r="O40" s="5" t="inlineStr"/>
    </row>
    <row r="41">
      <c r="A41" s="5" t="n">
        <v>40</v>
      </c>
      <c r="B41" s="5" t="n">
        <v>2</v>
      </c>
      <c r="C41" s="5" t="inlineStr">
        <is>
          <t>Caption p2</t>
        </is>
      </c>
      <c r="D41" s="5" t="inlineStr">
        <is>
          <t>Your Name:</t>
        </is>
      </c>
      <c r="E41" s="5" t="inlineStr">
        <is>
          <t>topmostSubform[0].Page2[0].ReqFullName_ft[0]</t>
        </is>
      </c>
      <c r="F41" s="5" t="inlineStr">
        <is>
          <t>text</t>
        </is>
      </c>
      <c r="G41" s="5" t="inlineStr"/>
      <c r="H41" s="5" t="inlineStr"/>
      <c r="I41" s="5" t="inlineStr">
        <is>
          <t>36, 52, 377, 67</t>
        </is>
      </c>
      <c r="J41" s="5" t="inlineStr">
        <is>
          <t>question</t>
        </is>
      </c>
      <c r="K41" s="5" t="inlineStr">
        <is>
          <t>P1</t>
        </is>
      </c>
      <c r="L41" s="5">
        <f> P1</f>
        <v/>
      </c>
      <c r="M41" s="5" t="inlineStr"/>
      <c r="N41" s="5" t="inlineStr"/>
      <c r="O41" s="5" t="inlineStr"/>
    </row>
  </sheetData>
  <autoFilter ref="A1:O41"/>
  <dataValidations count="1">
    <dataValidation sqref="J2:J41" showDropDown="0" showInputMessage="0" showErrorMessage="0" allowBlank="1" type="list">
      <formula1>"question,derived,court/clerk,server,ignore (UI button)"</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96"/>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8" t="n">
        <v>1</v>
      </c>
      <c r="B2" s="8" t="n">
        <v>1</v>
      </c>
      <c r="C2" s="8" t="inlineStr">
        <is>
          <t>Caption</t>
        </is>
      </c>
      <c r="D2" s="8" t="inlineStr">
        <is>
          <t>Sheriff File Number (for sheriff to complete, if needed):</t>
        </is>
      </c>
      <c r="E2" s="8" t="inlineStr">
        <is>
          <t>SER-001[0].Page1[0].CaptionRight[0].Sheriff[0].SheriffNumber[0]</t>
        </is>
      </c>
      <c r="F2" s="8" t="inlineStr">
        <is>
          <t>text</t>
        </is>
      </c>
      <c r="G2" s="8" t="inlineStr"/>
      <c r="H2" s="8" t="inlineStr"/>
      <c r="I2" s="8" t="inlineStr">
        <is>
          <t>402, 156, 572, 175</t>
        </is>
      </c>
      <c r="J2" s="8" t="inlineStr">
        <is>
          <t>court/clerk</t>
        </is>
      </c>
      <c r="K2" s="8" t="inlineStr"/>
      <c r="L2" s="8" t="inlineStr"/>
      <c r="M2" s="8" t="inlineStr"/>
      <c r="N2" s="8" t="inlineStr">
        <is>
          <t>Sheriff completes.</t>
        </is>
      </c>
      <c r="O2" s="8" t="inlineStr"/>
    </row>
    <row r="3">
      <c r="A3" s="5" t="n">
        <v>2</v>
      </c>
      <c r="B3" s="5" t="n">
        <v>1</v>
      </c>
      <c r="C3" s="5" t="inlineStr">
        <is>
          <t>Caption</t>
        </is>
      </c>
      <c r="D3" s="5" t="inlineStr">
        <is>
          <t>Court Case Number:</t>
        </is>
      </c>
      <c r="E3" s="5" t="inlineStr">
        <is>
          <t>SER-001[0].Page1[0].CaptionRight[0].CaseNo[0].CaseNumber[0]</t>
        </is>
      </c>
      <c r="F3" s="5" t="inlineStr">
        <is>
          <t>text</t>
        </is>
      </c>
      <c r="G3" s="5" t="inlineStr"/>
      <c r="H3" s="5" t="inlineStr"/>
      <c r="I3" s="5" t="inlineStr">
        <is>
          <t>401, 207, 576, 224</t>
        </is>
      </c>
      <c r="J3" s="5" t="inlineStr">
        <is>
          <t>question</t>
        </is>
      </c>
      <c r="K3" s="5" t="inlineStr">
        <is>
          <t>X0</t>
        </is>
      </c>
      <c r="L3" s="5">
        <f> X0</f>
        <v/>
      </c>
      <c r="M3" s="5" t="inlineStr">
        <is>
          <t>stage 2</t>
        </is>
      </c>
      <c r="N3" s="5" t="inlineStr"/>
      <c r="O3" s="5" t="inlineStr"/>
    </row>
    <row r="4">
      <c r="A4" s="5" t="n">
        <v>3</v>
      </c>
      <c r="B4" s="5" t="n">
        <v>1</v>
      </c>
      <c r="C4" s="5" t="inlineStr">
        <is>
          <t>1</t>
        </is>
      </c>
      <c r="D4" s="5" t="inlineStr">
        <is>
          <t>To the Sheriff or Marshal of (name of county):</t>
        </is>
      </c>
      <c r="E4" s="5" t="inlineStr">
        <is>
          <t>SER-001[0].Page1[0].List1[0].Li1[0].NameofCounty[0]</t>
        </is>
      </c>
      <c r="F4" s="5" t="inlineStr">
        <is>
          <t>text</t>
        </is>
      </c>
      <c r="G4" s="5" t="inlineStr"/>
      <c r="H4" s="5" t="inlineStr"/>
      <c r="I4" s="5" t="inlineStr">
        <is>
          <t>322, 398, 576, 411</t>
        </is>
      </c>
      <c r="J4" s="5" t="inlineStr">
        <is>
          <t>question</t>
        </is>
      </c>
      <c r="K4" s="5" t="inlineStr">
        <is>
          <t>V2</t>
        </is>
      </c>
      <c r="L4" s="5">
        <f> V2</f>
        <v/>
      </c>
      <c r="M4" s="5" t="inlineStr"/>
      <c r="N4" s="5" t="inlineStr">
        <is>
          <t>Defaults to the county of R14.</t>
        </is>
      </c>
      <c r="O4" s="5" t="inlineStr"/>
    </row>
    <row r="5">
      <c r="A5" s="5" t="n">
        <v>4</v>
      </c>
      <c r="B5" s="5" t="n">
        <v>1</v>
      </c>
      <c r="C5" s="5" t="inlineStr">
        <is>
          <t>2a</t>
        </is>
      </c>
      <c r="D5" s="5" t="inlineStr">
        <is>
          <t>Your name (party requesting service):</t>
        </is>
      </c>
      <c r="E5" s="5" t="inlineStr">
        <is>
          <t>SER-001[0].Page1[0].List2[0].Li2a[0].Yourname[0]</t>
        </is>
      </c>
      <c r="F5" s="5" t="inlineStr">
        <is>
          <t>text</t>
        </is>
      </c>
      <c r="G5" s="5" t="inlineStr"/>
      <c r="H5" s="5" t="inlineStr"/>
      <c r="I5" s="5" t="inlineStr">
        <is>
          <t>251, 455, 575, 467</t>
        </is>
      </c>
      <c r="J5" s="5" t="inlineStr">
        <is>
          <t>question</t>
        </is>
      </c>
      <c r="K5" s="5" t="inlineStr">
        <is>
          <t>P1</t>
        </is>
      </c>
      <c r="L5" s="5">
        <f> P1</f>
        <v/>
      </c>
      <c r="M5" s="5" t="inlineStr"/>
      <c r="N5" s="5" t="inlineStr"/>
      <c r="O5" s="5" t="inlineStr"/>
    </row>
    <row r="6">
      <c r="A6" s="5" t="n">
        <v>5</v>
      </c>
      <c r="B6" s="5" t="n">
        <v>1</v>
      </c>
      <c r="C6" s="5" t="inlineStr">
        <is>
          <t>2b</t>
        </is>
      </c>
      <c r="D6" s="5" t="inlineStr">
        <is>
          <t>Name:</t>
        </is>
      </c>
      <c r="E6" s="5" t="inlineStr">
        <is>
          <t>SER-001[0].Page1[0].List2[0].Li2b[0].lawyersname\.2b[0]</t>
        </is>
      </c>
      <c r="F6" s="5" t="inlineStr">
        <is>
          <t>text</t>
        </is>
      </c>
      <c r="G6" s="5" t="inlineStr"/>
      <c r="H6" s="5" t="inlineStr"/>
      <c r="I6" s="5" t="inlineStr">
        <is>
          <t>111, 497, 575, 509</t>
        </is>
      </c>
      <c r="J6" s="5" t="inlineStr">
        <is>
          <t>question</t>
        </is>
      </c>
      <c r="K6" s="5" t="inlineStr">
        <is>
          <t>L1</t>
        </is>
      </c>
      <c r="L6" s="5">
        <f> L1</f>
        <v/>
      </c>
      <c r="M6" s="5" t="inlineStr">
        <is>
          <t>S5 == "Y"</t>
        </is>
      </c>
      <c r="N6" s="5" t="inlineStr">
        <is>
          <t>The field name contains a literal backslash-dot.</t>
        </is>
      </c>
      <c r="O6" s="5" t="inlineStr"/>
    </row>
    <row r="7">
      <c r="A7" s="5" t="n">
        <v>6</v>
      </c>
      <c r="B7" s="5" t="n">
        <v>1</v>
      </c>
      <c r="C7" s="5" t="inlineStr">
        <is>
          <t>2b</t>
        </is>
      </c>
      <c r="D7" s="5" t="inlineStr">
        <is>
          <t>Firm name:</t>
        </is>
      </c>
      <c r="E7" s="5" t="inlineStr">
        <is>
          <t>SER-001[0].Page1[0].List2[0].Li2b[0].firmname[0]</t>
        </is>
      </c>
      <c r="F7" s="5" t="inlineStr">
        <is>
          <t>text</t>
        </is>
      </c>
      <c r="G7" s="5" t="inlineStr"/>
      <c r="H7" s="5" t="inlineStr"/>
      <c r="I7" s="5" t="inlineStr">
        <is>
          <t>137, 511, 575, 523</t>
        </is>
      </c>
      <c r="J7" s="5" t="inlineStr">
        <is>
          <t>question</t>
        </is>
      </c>
      <c r="K7" s="5" t="inlineStr">
        <is>
          <t>L3</t>
        </is>
      </c>
      <c r="L7" s="5">
        <f> L3</f>
        <v/>
      </c>
      <c r="M7" s="5" t="inlineStr">
        <is>
          <t>S5 == "Y"</t>
        </is>
      </c>
      <c r="N7" s="5" t="inlineStr"/>
      <c r="O7" s="5" t="inlineStr"/>
    </row>
    <row r="8">
      <c r="A8" s="6" t="n">
        <v>7</v>
      </c>
      <c r="B8" s="6" t="n">
        <v>1</v>
      </c>
      <c r="C8" s="6" t="inlineStr">
        <is>
          <t>2c</t>
        </is>
      </c>
      <c r="D8" s="6" t="inlineStr">
        <is>
          <t>Court case name:</t>
        </is>
      </c>
      <c r="E8" s="6" t="inlineStr">
        <is>
          <t>SER-001[0].Page1[0].List2[0].Li2c[0].TextField[0]</t>
        </is>
      </c>
      <c r="F8" s="6" t="inlineStr">
        <is>
          <t>text</t>
        </is>
      </c>
      <c r="G8" s="6" t="inlineStr"/>
      <c r="H8" s="6" t="inlineStr"/>
      <c r="I8" s="6" t="inlineStr">
        <is>
          <t>156, 540, 576, 552</t>
        </is>
      </c>
      <c r="J8" s="6" t="inlineStr">
        <is>
          <t>derived</t>
        </is>
      </c>
      <c r="K8" s="6" t="inlineStr">
        <is>
          <t>P1,R1</t>
        </is>
      </c>
      <c r="L8" s="6">
        <f> P1 + " v. " + R1</f>
        <v/>
      </c>
      <c r="M8" s="6" t="inlineStr"/>
      <c r="N8" s="6" t="inlineStr"/>
      <c r="O8" s="6" t="inlineStr"/>
    </row>
    <row r="9">
      <c r="A9" s="5" t="n">
        <v>8</v>
      </c>
      <c r="B9" s="5" t="n">
        <v>1</v>
      </c>
      <c r="C9" s="5" t="inlineStr">
        <is>
          <t>2d</t>
        </is>
      </c>
      <c r="D9" s="5" t="inlineStr">
        <is>
          <t>Address to receive mail:</t>
        </is>
      </c>
      <c r="E9" s="5" t="inlineStr">
        <is>
          <t>SER-001[0].Page1[0].List2[0].Li2d[0].address\.2d[0]</t>
        </is>
      </c>
      <c r="F9" s="5" t="inlineStr">
        <is>
          <t>text</t>
        </is>
      </c>
      <c r="G9" s="5" t="inlineStr"/>
      <c r="H9" s="5" t="inlineStr"/>
      <c r="I9" s="5" t="inlineStr">
        <is>
          <t>198, 636, 575, 648</t>
        </is>
      </c>
      <c r="J9" s="5" t="inlineStr">
        <is>
          <t>question</t>
        </is>
      </c>
      <c r="K9" s="5" t="inlineStr">
        <is>
          <t>S5,L4,P6</t>
        </is>
      </c>
      <c r="L9" s="5">
        <f> S5=="Y" ? L4.street : P6.street</f>
        <v/>
      </c>
      <c r="M9" s="5" t="inlineStr"/>
      <c r="N9" s="5" t="inlineStr"/>
      <c r="O9" s="5" t="inlineStr"/>
    </row>
    <row r="10">
      <c r="A10" s="5" t="n">
        <v>9</v>
      </c>
      <c r="B10" s="5" t="n">
        <v>1</v>
      </c>
      <c r="C10" s="5" t="inlineStr">
        <is>
          <t>2d</t>
        </is>
      </c>
      <c r="D10" s="5" t="inlineStr">
        <is>
          <t>City:</t>
        </is>
      </c>
      <c r="E10" s="5" t="inlineStr">
        <is>
          <t>SER-001[0].Page1[0].List2[0].Li2d[0].city\.2d[0]</t>
        </is>
      </c>
      <c r="F10" s="5" t="inlineStr">
        <is>
          <t>text</t>
        </is>
      </c>
      <c r="G10" s="5" t="inlineStr"/>
      <c r="H10" s="5" t="inlineStr"/>
      <c r="I10" s="5" t="inlineStr">
        <is>
          <t>105, 651, 349, 663</t>
        </is>
      </c>
      <c r="J10" s="5" t="inlineStr">
        <is>
          <t>question</t>
        </is>
      </c>
      <c r="K10" s="5" t="inlineStr">
        <is>
          <t>S5,L4,P6</t>
        </is>
      </c>
      <c r="L10" s="5">
        <f> S5=="Y" ? L4.city : P6.city</f>
        <v/>
      </c>
      <c r="M10" s="5" t="inlineStr"/>
      <c r="N10" s="5" t="inlineStr"/>
      <c r="O10" s="5" t="inlineStr"/>
    </row>
    <row r="11">
      <c r="A11" s="5" t="n">
        <v>10</v>
      </c>
      <c r="B11" s="5" t="n">
        <v>1</v>
      </c>
      <c r="C11" s="5" t="inlineStr">
        <is>
          <t>2d</t>
        </is>
      </c>
      <c r="D11" s="5" t="inlineStr">
        <is>
          <t>State:</t>
        </is>
      </c>
      <c r="E11" s="5" t="inlineStr">
        <is>
          <t>SER-001[0].Page1[0].List2[0].Li2d[0].state\.2d[0]</t>
        </is>
      </c>
      <c r="F11" s="5" t="inlineStr">
        <is>
          <t>text</t>
        </is>
      </c>
      <c r="G11" s="5" t="inlineStr"/>
      <c r="H11" s="5" t="inlineStr"/>
      <c r="I11" s="5" t="inlineStr">
        <is>
          <t>390, 651, 441, 663</t>
        </is>
      </c>
      <c r="J11" s="5" t="inlineStr">
        <is>
          <t>question</t>
        </is>
      </c>
      <c r="K11" s="5" t="inlineStr">
        <is>
          <t>S5,L4,P6</t>
        </is>
      </c>
      <c r="L11" s="5">
        <f> S5=="Y" ? L4.state : P6.state</f>
        <v/>
      </c>
      <c r="M11" s="5" t="inlineStr"/>
      <c r="N11" s="5" t="inlineStr"/>
      <c r="O11" s="5" t="inlineStr"/>
    </row>
    <row r="12">
      <c r="A12" s="5" t="n">
        <v>11</v>
      </c>
      <c r="B12" s="5" t="n">
        <v>1</v>
      </c>
      <c r="C12" s="5" t="inlineStr">
        <is>
          <t>2d</t>
        </is>
      </c>
      <c r="D12" s="5" t="inlineStr">
        <is>
          <t>Zip:</t>
        </is>
      </c>
      <c r="E12" s="5" t="inlineStr">
        <is>
          <t>SER-001[0].Page1[0].List2[0].Li2d[0].zip\.2d[0]</t>
        </is>
      </c>
      <c r="F12" s="5" t="inlineStr">
        <is>
          <t>text</t>
        </is>
      </c>
      <c r="G12" s="5" t="inlineStr"/>
      <c r="H12" s="5" t="inlineStr"/>
      <c r="I12" s="5" t="inlineStr">
        <is>
          <t>478, 651, 576, 663</t>
        </is>
      </c>
      <c r="J12" s="5" t="inlineStr">
        <is>
          <t>question</t>
        </is>
      </c>
      <c r="K12" s="5" t="inlineStr">
        <is>
          <t>S5,L4,P6</t>
        </is>
      </c>
      <c r="L12" s="5">
        <f> S5=="Y" ? L4.zip : P6.zip</f>
        <v/>
      </c>
      <c r="M12" s="5" t="inlineStr"/>
      <c r="N12" s="5" t="inlineStr"/>
      <c r="O12" s="5" t="inlineStr"/>
    </row>
    <row r="13">
      <c r="A13" s="5" t="n">
        <v>12</v>
      </c>
      <c r="B13" s="5" t="n">
        <v>1</v>
      </c>
      <c r="C13" s="5" t="inlineStr">
        <is>
          <t>2d</t>
        </is>
      </c>
      <c r="D13" s="5" t="inlineStr">
        <is>
          <t>Telephone number (optional):</t>
        </is>
      </c>
      <c r="E13" s="5" t="inlineStr">
        <is>
          <t>SER-001[0].Page1[0].List2[0].Li2d[0].telephone\.2d[0]</t>
        </is>
      </c>
      <c r="F13" s="5" t="inlineStr">
        <is>
          <t>text</t>
        </is>
      </c>
      <c r="G13" s="5" t="inlineStr"/>
      <c r="H13" s="5" t="inlineStr"/>
      <c r="I13" s="5" t="inlineStr">
        <is>
          <t>213, 665, 327, 677</t>
        </is>
      </c>
      <c r="J13" s="5" t="inlineStr">
        <is>
          <t>question</t>
        </is>
      </c>
      <c r="K13" s="5" t="inlineStr">
        <is>
          <t>S5,L5,P7</t>
        </is>
      </c>
      <c r="L13" s="5">
        <f> S5=="Y" ? L5.phone : P7</f>
        <v/>
      </c>
      <c r="M13" s="5" t="inlineStr"/>
      <c r="N13" s="5" t="inlineStr"/>
      <c r="O13" s="5" t="inlineStr"/>
    </row>
    <row r="14">
      <c r="A14" s="5" t="n">
        <v>13</v>
      </c>
      <c r="B14" s="5" t="n">
        <v>1</v>
      </c>
      <c r="C14" s="5" t="inlineStr">
        <is>
          <t>2d</t>
        </is>
      </c>
      <c r="D14" s="5" t="inlineStr">
        <is>
          <t>Email address (optional):</t>
        </is>
      </c>
      <c r="E14" s="5" t="inlineStr">
        <is>
          <t>SER-001[0].Page1[0].List2[0].Li2d[0].email\.2d[0]</t>
        </is>
      </c>
      <c r="F14" s="5" t="inlineStr">
        <is>
          <t>text</t>
        </is>
      </c>
      <c r="G14" s="5" t="inlineStr"/>
      <c r="H14" s="5" t="inlineStr"/>
      <c r="I14" s="5" t="inlineStr">
        <is>
          <t>447, 665, 576, 677</t>
        </is>
      </c>
      <c r="J14" s="5" t="inlineStr">
        <is>
          <t>question</t>
        </is>
      </c>
      <c r="K14" s="5" t="inlineStr">
        <is>
          <t>S5,L5,P8</t>
        </is>
      </c>
      <c r="L14" s="5">
        <f> S5=="Y" ? L5.email : P8.email</f>
        <v/>
      </c>
      <c r="M14" s="5" t="inlineStr"/>
      <c r="N14" s="5" t="inlineStr"/>
      <c r="O14" s="5" t="inlineStr"/>
    </row>
    <row r="15">
      <c r="A15" s="5" t="n">
        <v>14</v>
      </c>
      <c r="B15" s="5" t="n">
        <v>2</v>
      </c>
      <c r="C15" s="5" t="inlineStr">
        <is>
          <t>Caption</t>
        </is>
      </c>
      <c r="D15" s="5" t="inlineStr">
        <is>
          <t>Court Case Number:</t>
        </is>
      </c>
      <c r="E15" s="5" t="inlineStr">
        <is>
          <t>SER-001[0].Page2[0].PxCaption[0].CaseNumber[0]</t>
        </is>
      </c>
      <c r="F15" s="5" t="inlineStr">
        <is>
          <t>text</t>
        </is>
      </c>
      <c r="G15" s="5" t="inlineStr"/>
      <c r="H15" s="5" t="inlineStr"/>
      <c r="I15" s="5" t="inlineStr">
        <is>
          <t>401, 47, 576, 63</t>
        </is>
      </c>
      <c r="J15" s="5" t="inlineStr">
        <is>
          <t>question</t>
        </is>
      </c>
      <c r="K15" s="5" t="inlineStr">
        <is>
          <t>X0</t>
        </is>
      </c>
      <c r="L15" s="5">
        <f> X0</f>
        <v/>
      </c>
      <c r="M15" s="5" t="inlineStr">
        <is>
          <t>stage 2</t>
        </is>
      </c>
      <c r="N15" s="5" t="inlineStr"/>
      <c r="O15" s="5" t="inlineStr"/>
    </row>
    <row r="16">
      <c r="A16" s="6" t="n">
        <v>15</v>
      </c>
      <c r="B16" s="6" t="n">
        <v>2</v>
      </c>
      <c r="C16" s="6" t="inlineStr">
        <is>
          <t>3a</t>
        </is>
      </c>
      <c r="D16" s="6" t="inlineStr">
        <is>
          <t>I ask the sheriff to serve a person (complete section below)</t>
        </is>
      </c>
      <c r="E16" s="6" t="inlineStr">
        <is>
          <t>SER-001[0].Page2[0].List3[0].Li3a[0].servePerson[0]</t>
        </is>
      </c>
      <c r="F16" s="6" t="inlineStr">
        <is>
          <t>checkbox</t>
        </is>
      </c>
      <c r="G16" s="6" t="inlineStr">
        <is>
          <t>1</t>
        </is>
      </c>
      <c r="H16" s="6" t="inlineStr"/>
      <c r="I16" s="6" t="inlineStr">
        <is>
          <t>78, 119, 87, 128</t>
        </is>
      </c>
      <c r="J16" s="6" t="inlineStr">
        <is>
          <t>derived</t>
        </is>
      </c>
      <c r="K16" s="6" t="inlineStr">
        <is>
          <t>(fixed)</t>
        </is>
      </c>
      <c r="L16" s="6" t="inlineStr">
        <is>
          <t>check (always a person)</t>
        </is>
      </c>
      <c r="M16" s="6" t="inlineStr"/>
      <c r="N16" s="6" t="inlineStr"/>
      <c r="O16" s="6" t="inlineStr"/>
    </row>
    <row r="17">
      <c r="A17" s="5" t="n">
        <v>16</v>
      </c>
      <c r="B17" s="5" t="n">
        <v>2</v>
      </c>
      <c r="C17" s="5" t="inlineStr">
        <is>
          <t>3a(1)</t>
        </is>
      </c>
      <c r="D17" s="5" t="inlineStr">
        <is>
          <t>Name of person:</t>
        </is>
      </c>
      <c r="E17" s="5" t="inlineStr">
        <is>
          <t>SER-001[0].Page2[0].List3[0].Li3a[0].Li3aList[0].Li3a1[0].personName[0]</t>
        </is>
      </c>
      <c r="F17" s="5" t="inlineStr">
        <is>
          <t>text</t>
        </is>
      </c>
      <c r="G17" s="5" t="inlineStr"/>
      <c r="H17" s="5" t="inlineStr"/>
      <c r="I17" s="5" t="inlineStr">
        <is>
          <t>175, 136, 576, 148</t>
        </is>
      </c>
      <c r="J17" s="5" t="inlineStr">
        <is>
          <t>question</t>
        </is>
      </c>
      <c r="K17" s="5" t="inlineStr">
        <is>
          <t>R1</t>
        </is>
      </c>
      <c r="L17" s="5">
        <f> R1</f>
        <v/>
      </c>
      <c r="M17" s="5" t="inlineStr"/>
      <c r="N17" s="5" t="inlineStr"/>
      <c r="O17" s="5" t="inlineStr"/>
    </row>
    <row r="18">
      <c r="A18" s="5" t="n">
        <v>17</v>
      </c>
      <c r="B18" s="5" t="n">
        <v>2</v>
      </c>
      <c r="C18" s="5" t="inlineStr">
        <is>
          <t>3a(1)</t>
        </is>
      </c>
      <c r="D18" s="5" t="inlineStr">
        <is>
          <t>Nicknames or aliases (optional):</t>
        </is>
      </c>
      <c r="E18" s="5" t="inlineStr">
        <is>
          <t>SER-001[0].Page2[0].List3[0].Li3a[0].Li3aList[0].Li3a1[0].nicknames[0]</t>
        </is>
      </c>
      <c r="F18" s="5" t="inlineStr">
        <is>
          <t>text</t>
        </is>
      </c>
      <c r="G18" s="5" t="inlineStr"/>
      <c r="H18" s="5" t="inlineStr"/>
      <c r="I18" s="5" t="inlineStr">
        <is>
          <t>246, 150, 576, 162</t>
        </is>
      </c>
      <c r="J18" s="5" t="inlineStr">
        <is>
          <t>question</t>
        </is>
      </c>
      <c r="K18" s="5" t="inlineStr">
        <is>
          <t>R2</t>
        </is>
      </c>
      <c r="L18" s="5">
        <f> R2</f>
        <v/>
      </c>
      <c r="M18" s="5" t="inlineStr"/>
      <c r="N18" s="5" t="inlineStr"/>
      <c r="O18" s="5" t="inlineStr"/>
    </row>
    <row r="19">
      <c r="A19" s="5" t="n">
        <v>18</v>
      </c>
      <c r="B19" s="5" t="n">
        <v>2</v>
      </c>
      <c r="C19" s="5" t="inlineStr">
        <is>
          <t>3a(2)</t>
        </is>
      </c>
      <c r="D19" s="5" t="inlineStr">
        <is>
          <t>Telephone number (optional):</t>
        </is>
      </c>
      <c r="E19" s="5" t="inlineStr">
        <is>
          <t>SER-001[0].Page2[0].List3[0].Li3a[0].Li3aList[0].Li3a2[0].Telephone[0]</t>
        </is>
      </c>
      <c r="F19" s="5" t="inlineStr">
        <is>
          <t>text</t>
        </is>
      </c>
      <c r="G19" s="5" t="inlineStr"/>
      <c r="H19" s="5" t="inlineStr"/>
      <c r="I19" s="5" t="inlineStr">
        <is>
          <t>234, 176, 576, 188</t>
        </is>
      </c>
      <c r="J19" s="5" t="inlineStr">
        <is>
          <t>question</t>
        </is>
      </c>
      <c r="K19" s="5" t="inlineStr">
        <is>
          <t>R12</t>
        </is>
      </c>
      <c r="L19" s="5">
        <f> R12</f>
        <v/>
      </c>
      <c r="M19" s="5" t="inlineStr"/>
      <c r="N19" s="5" t="inlineStr"/>
      <c r="O19" s="5" t="inlineStr"/>
    </row>
    <row r="20">
      <c r="A20" s="6" t="n">
        <v>19</v>
      </c>
      <c r="B20" s="6" t="n">
        <v>2</v>
      </c>
      <c r="C20" s="6" t="inlineStr">
        <is>
          <t>3a(3)</t>
        </is>
      </c>
      <c r="D20" s="6" t="inlineStr">
        <is>
          <t>No, I do not have any information about the person’s description.</t>
        </is>
      </c>
      <c r="E20" s="6" t="inlineStr">
        <is>
          <t>SER-001[0].Page2[0].List3[0].Li3a[0].Li3aList[0].Li3a3[0].Description[0]</t>
        </is>
      </c>
      <c r="F20" s="6" t="inlineStr">
        <is>
          <t>checkbox</t>
        </is>
      </c>
      <c r="G20" s="6" t="inlineStr">
        <is>
          <t>1</t>
        </is>
      </c>
      <c r="H20" s="6" t="inlineStr"/>
      <c r="I20" s="6" t="inlineStr">
        <is>
          <t>98, 217, 107, 226</t>
        </is>
      </c>
      <c r="J20" s="6" t="inlineStr">
        <is>
          <t>derived</t>
        </is>
      </c>
      <c r="K20" s="6" t="inlineStr">
        <is>
          <t>R3-R11</t>
        </is>
      </c>
      <c r="L20" s="6" t="inlineStr">
        <is>
          <t>check if no description fields are known</t>
        </is>
      </c>
      <c r="M20" s="6" t="inlineStr"/>
      <c r="N20" s="6" t="inlineStr"/>
      <c r="O20" s="6" t="inlineStr"/>
    </row>
    <row r="21">
      <c r="A21" s="6" t="n">
        <v>20</v>
      </c>
      <c r="B21" s="6" t="n">
        <v>2</v>
      </c>
      <c r="C21" s="6" t="inlineStr">
        <is>
          <t>3a(3)</t>
        </is>
      </c>
      <c r="D21" s="6" t="inlineStr">
        <is>
          <t>Yes (complete the section below with any information you have):</t>
        </is>
      </c>
      <c r="E21" s="6" t="inlineStr">
        <is>
          <t>SER-001[0].Page2[0].List3[0].Li3a[0].Li3aList[0].Li3a3[0].Description[1]</t>
        </is>
      </c>
      <c r="F21" s="6" t="inlineStr">
        <is>
          <t>checkbox</t>
        </is>
      </c>
      <c r="G21" s="6" t="inlineStr">
        <is>
          <t>2</t>
        </is>
      </c>
      <c r="H21" s="6" t="inlineStr"/>
      <c r="I21" s="6" t="inlineStr">
        <is>
          <t>98, 234, 107, 243</t>
        </is>
      </c>
      <c r="J21" s="6" t="inlineStr">
        <is>
          <t>derived</t>
        </is>
      </c>
      <c r="K21" s="6" t="inlineStr">
        <is>
          <t>R3-R11</t>
        </is>
      </c>
      <c r="L21" s="6" t="inlineStr">
        <is>
          <t>check if any description field is known</t>
        </is>
      </c>
      <c r="M21" s="6" t="inlineStr"/>
      <c r="N21" s="6" t="inlineStr">
        <is>
          <t>Export value 2.</t>
        </is>
      </c>
      <c r="O21" s="6" t="inlineStr"/>
    </row>
    <row r="22">
      <c r="A22" s="5" t="n">
        <v>21</v>
      </c>
      <c r="B22" s="5" t="n">
        <v>2</v>
      </c>
      <c r="C22" s="5" t="inlineStr">
        <is>
          <t>3a(3)</t>
        </is>
      </c>
      <c r="D22" s="5" t="inlineStr">
        <is>
          <t>Male</t>
        </is>
      </c>
      <c r="E22" s="5" t="inlineStr">
        <is>
          <t>SER-001[0].Page2[0].List3[0].Li3a[0].Li3aList[0].Li3a3[0].gender[0]</t>
        </is>
      </c>
      <c r="F22" s="5" t="inlineStr">
        <is>
          <t>checkbox</t>
        </is>
      </c>
      <c r="G22" s="5" t="inlineStr">
        <is>
          <t>1</t>
        </is>
      </c>
      <c r="H22" s="5" t="inlineStr"/>
      <c r="I22" s="5" t="inlineStr">
        <is>
          <t>168, 250, 177, 259</t>
        </is>
      </c>
      <c r="J22" s="5" t="inlineStr">
        <is>
          <t>question</t>
        </is>
      </c>
      <c r="K22" s="5" t="inlineStr">
        <is>
          <t>R5</t>
        </is>
      </c>
      <c r="L22" s="5" t="inlineStr">
        <is>
          <t>check if R5 == "M"</t>
        </is>
      </c>
      <c r="M22" s="5" t="inlineStr"/>
      <c r="N22" s="5" t="inlineStr">
        <is>
          <t>Exports 1 / 2 / 3.</t>
        </is>
      </c>
      <c r="O22" s="5" t="inlineStr"/>
    </row>
    <row r="23">
      <c r="A23" s="5" t="n">
        <v>22</v>
      </c>
      <c r="B23" s="5" t="n">
        <v>2</v>
      </c>
      <c r="C23" s="5" t="inlineStr">
        <is>
          <t>3a(3)</t>
        </is>
      </c>
      <c r="D23" s="5" t="inlineStr">
        <is>
          <t>Female</t>
        </is>
      </c>
      <c r="E23" s="5" t="inlineStr">
        <is>
          <t>SER-001[0].Page2[0].List3[0].Li3a[0].Li3aList[0].Li3a3[0].gender[1]</t>
        </is>
      </c>
      <c r="F23" s="5" t="inlineStr">
        <is>
          <t>checkbox</t>
        </is>
      </c>
      <c r="G23" s="5" t="inlineStr">
        <is>
          <t>2</t>
        </is>
      </c>
      <c r="H23" s="5" t="inlineStr"/>
      <c r="I23" s="5" t="inlineStr">
        <is>
          <t>221, 250, 230, 259</t>
        </is>
      </c>
      <c r="J23" s="5" t="inlineStr">
        <is>
          <t>question</t>
        </is>
      </c>
      <c r="K23" s="5" t="inlineStr">
        <is>
          <t>R5</t>
        </is>
      </c>
      <c r="L23" s="5" t="inlineStr">
        <is>
          <t>check if R5 == "F"</t>
        </is>
      </c>
      <c r="M23" s="5" t="inlineStr"/>
      <c r="N23" s="5" t="inlineStr"/>
      <c r="O23" s="5" t="inlineStr"/>
    </row>
    <row r="24">
      <c r="A24" s="5" t="n">
        <v>23</v>
      </c>
      <c r="B24" s="5" t="n">
        <v>2</v>
      </c>
      <c r="C24" s="5" t="inlineStr">
        <is>
          <t>3a(3)</t>
        </is>
      </c>
      <c r="D24" s="5" t="inlineStr">
        <is>
          <t>Nonbinary</t>
        </is>
      </c>
      <c r="E24" s="5" t="inlineStr">
        <is>
          <t>SER-001[0].Page2[0].List3[0].Li3a[0].Li3aList[0].Li3a3[0].gender[2]</t>
        </is>
      </c>
      <c r="F24" s="5" t="inlineStr">
        <is>
          <t>checkbox</t>
        </is>
      </c>
      <c r="G24" s="5" t="inlineStr">
        <is>
          <t>3</t>
        </is>
      </c>
      <c r="H24" s="5" t="inlineStr"/>
      <c r="I24" s="5" t="inlineStr">
        <is>
          <t>284, 250, 293, 259</t>
        </is>
      </c>
      <c r="J24" s="5" t="inlineStr">
        <is>
          <t>question</t>
        </is>
      </c>
      <c r="K24" s="5" t="inlineStr">
        <is>
          <t>R5</t>
        </is>
      </c>
      <c r="L24" s="5" t="inlineStr">
        <is>
          <t>check if R5 == "X"</t>
        </is>
      </c>
      <c r="M24" s="5" t="inlineStr"/>
      <c r="N24" s="5" t="inlineStr"/>
      <c r="O24" s="5" t="inlineStr"/>
    </row>
    <row r="25">
      <c r="A25" s="5" t="n">
        <v>24</v>
      </c>
      <c r="B25" s="5" t="n">
        <v>2</v>
      </c>
      <c r="C25" s="5" t="inlineStr">
        <is>
          <t>3a(3)</t>
        </is>
      </c>
      <c r="D25" s="5" t="inlineStr">
        <is>
          <t>Height:</t>
        </is>
      </c>
      <c r="E25" s="5" t="inlineStr">
        <is>
          <t>SER-001[0].Page2[0].List3[0].Li3a[0].Li3aList[0].Li3a3[0].Height[0]</t>
        </is>
      </c>
      <c r="F25" s="5" t="inlineStr">
        <is>
          <t>text</t>
        </is>
      </c>
      <c r="G25" s="5" t="inlineStr"/>
      <c r="H25" s="5" t="inlineStr"/>
      <c r="I25" s="5" t="inlineStr">
        <is>
          <t>153, 264, 194, 276</t>
        </is>
      </c>
      <c r="J25" s="5" t="inlineStr">
        <is>
          <t>question</t>
        </is>
      </c>
      <c r="K25" s="5" t="inlineStr">
        <is>
          <t>R7</t>
        </is>
      </c>
      <c r="L25" s="5">
        <f> R7.height</f>
        <v/>
      </c>
      <c r="M25" s="5" t="inlineStr"/>
      <c r="N25" s="5" t="inlineStr"/>
      <c r="O25" s="5" t="inlineStr"/>
    </row>
    <row r="26">
      <c r="A26" s="5" t="n">
        <v>25</v>
      </c>
      <c r="B26" s="5" t="n">
        <v>2</v>
      </c>
      <c r="C26" s="5" t="inlineStr">
        <is>
          <t>3a(3)</t>
        </is>
      </c>
      <c r="D26" s="5" t="inlineStr">
        <is>
          <t>Weight:</t>
        </is>
      </c>
      <c r="E26" s="5" t="inlineStr">
        <is>
          <t>SER-001[0].Page2[0].List3[0].Li3a[0].Li3aList[0].Li3a3[0].Weight[0]</t>
        </is>
      </c>
      <c r="F26" s="5" t="inlineStr">
        <is>
          <t>text</t>
        </is>
      </c>
      <c r="G26" s="5" t="inlineStr"/>
      <c r="H26" s="5" t="inlineStr"/>
      <c r="I26" s="5" t="inlineStr">
        <is>
          <t>233, 264, 270, 276</t>
        </is>
      </c>
      <c r="J26" s="5" t="inlineStr">
        <is>
          <t>question</t>
        </is>
      </c>
      <c r="K26" s="5" t="inlineStr">
        <is>
          <t>R7</t>
        </is>
      </c>
      <c r="L26" s="5">
        <f> R7.weight</f>
        <v/>
      </c>
      <c r="M26" s="5" t="inlineStr"/>
      <c r="N26" s="5" t="inlineStr"/>
      <c r="O26" s="5" t="inlineStr"/>
    </row>
    <row r="27">
      <c r="A27" s="5" t="n">
        <v>26</v>
      </c>
      <c r="B27" s="5" t="n">
        <v>2</v>
      </c>
      <c r="C27" s="5" t="inlineStr">
        <is>
          <t>3a(3)</t>
        </is>
      </c>
      <c r="D27" s="5" t="inlineStr">
        <is>
          <t>Hair color:</t>
        </is>
      </c>
      <c r="E27" s="5" t="inlineStr">
        <is>
          <t>SER-001[0].Page2[0].List3[0].Li3a[0].Li3aList[0].Li3a3[0].Hair[0]</t>
        </is>
      </c>
      <c r="F27" s="5" t="inlineStr">
        <is>
          <t>text</t>
        </is>
      </c>
      <c r="G27" s="5" t="inlineStr"/>
      <c r="H27" s="5" t="inlineStr"/>
      <c r="I27" s="5" t="inlineStr">
        <is>
          <t>320, 264, 368, 276</t>
        </is>
      </c>
      <c r="J27" s="5" t="inlineStr">
        <is>
          <t>question</t>
        </is>
      </c>
      <c r="K27" s="5" t="inlineStr">
        <is>
          <t>R7</t>
        </is>
      </c>
      <c r="L27" s="5">
        <f> R7.hair</f>
        <v/>
      </c>
      <c r="M27" s="5" t="inlineStr"/>
      <c r="N27" s="5" t="inlineStr"/>
      <c r="O27" s="5" t="inlineStr"/>
    </row>
    <row r="28">
      <c r="A28" s="5" t="n">
        <v>27</v>
      </c>
      <c r="B28" s="5" t="n">
        <v>2</v>
      </c>
      <c r="C28" s="5" t="inlineStr">
        <is>
          <t>3a(3)</t>
        </is>
      </c>
      <c r="D28" s="5" t="inlineStr">
        <is>
          <t>Eye color:</t>
        </is>
      </c>
      <c r="E28" s="5" t="inlineStr">
        <is>
          <t>SER-001[0].Page2[0].List3[0].Li3a[0].Li3aList[0].Li3a3[0].Eye[0]</t>
        </is>
      </c>
      <c r="F28" s="5" t="inlineStr">
        <is>
          <t>text</t>
        </is>
      </c>
      <c r="G28" s="5" t="inlineStr"/>
      <c r="H28" s="5" t="inlineStr"/>
      <c r="I28" s="5" t="inlineStr">
        <is>
          <t>419, 264, 470, 276</t>
        </is>
      </c>
      <c r="J28" s="5" t="inlineStr">
        <is>
          <t>question</t>
        </is>
      </c>
      <c r="K28" s="5" t="inlineStr">
        <is>
          <t>R7</t>
        </is>
      </c>
      <c r="L28" s="5">
        <f> R7.eyes</f>
        <v/>
      </c>
      <c r="M28" s="5" t="inlineStr"/>
      <c r="N28" s="5" t="inlineStr"/>
      <c r="O28" s="5" t="inlineStr"/>
    </row>
    <row r="29">
      <c r="A29" s="5" t="n">
        <v>28</v>
      </c>
      <c r="B29" s="5" t="n">
        <v>2</v>
      </c>
      <c r="C29" s="5" t="inlineStr">
        <is>
          <t>3a(3)</t>
        </is>
      </c>
      <c r="D29" s="5" t="inlineStr">
        <is>
          <t>Date of birth or age (give estimate, if unknown):</t>
        </is>
      </c>
      <c r="E29" s="5" t="inlineStr">
        <is>
          <t>SER-001[0].Page2[0].List3[0].Li3a[0].Li3aList[0].Li3a3[0].DOB\.age[0]</t>
        </is>
      </c>
      <c r="F29" s="5" t="inlineStr">
        <is>
          <t>text</t>
        </is>
      </c>
      <c r="G29" s="5" t="inlineStr"/>
      <c r="H29" s="5" t="inlineStr"/>
      <c r="I29" s="5" t="inlineStr">
        <is>
          <t>330, 280, 576, 292</t>
        </is>
      </c>
      <c r="J29" s="5" t="inlineStr">
        <is>
          <t>question</t>
        </is>
      </c>
      <c r="K29" s="5" t="inlineStr">
        <is>
          <t>R3,R4</t>
        </is>
      </c>
      <c r="L29" s="5">
        <f> R3 ? fmtDate(R3) : R4 + " (estimate)"</f>
        <v/>
      </c>
      <c r="M29" s="5" t="inlineStr"/>
      <c r="N29" s="5" t="inlineStr"/>
      <c r="O29" s="5" t="inlineStr"/>
    </row>
    <row r="30">
      <c r="A30" s="5" t="n">
        <v>29</v>
      </c>
      <c r="B30" s="5" t="n">
        <v>2</v>
      </c>
      <c r="C30" s="5" t="inlineStr">
        <is>
          <t>3a(3)</t>
        </is>
      </c>
      <c r="D30" s="5" t="inlineStr">
        <is>
          <t>Race/Ethnicity:</t>
        </is>
      </c>
      <c r="E30" s="5" t="inlineStr">
        <is>
          <t>SER-001[0].Page2[0].List3[0].Li3a[0].Li3aList[0].Li3a3[0].raceEth[0]</t>
        </is>
      </c>
      <c r="F30" s="5" t="inlineStr">
        <is>
          <t>text</t>
        </is>
      </c>
      <c r="G30" s="5" t="inlineStr"/>
      <c r="H30" s="5" t="inlineStr"/>
      <c r="I30" s="5" t="inlineStr">
        <is>
          <t>189, 296, 576, 308</t>
        </is>
      </c>
      <c r="J30" s="5" t="inlineStr">
        <is>
          <t>question</t>
        </is>
      </c>
      <c r="K30" s="5" t="inlineStr">
        <is>
          <t>R6</t>
        </is>
      </c>
      <c r="L30" s="5">
        <f> R6</f>
        <v/>
      </c>
      <c r="M30" s="5" t="inlineStr"/>
      <c r="N30" s="5" t="inlineStr"/>
      <c r="O30" s="5" t="inlineStr"/>
    </row>
    <row r="31">
      <c r="A31" s="5" t="n">
        <v>30</v>
      </c>
      <c r="B31" s="5" t="n">
        <v>2</v>
      </c>
      <c r="C31" s="5" t="inlineStr">
        <is>
          <t>3a(3)</t>
        </is>
      </c>
      <c r="D31" s="5" t="inlineStr">
        <is>
          <t>Special marks or features (tattoos, scars, etc.):</t>
        </is>
      </c>
      <c r="E31" s="5" t="inlineStr">
        <is>
          <t>SER-001[0].Page2[0].List3[0].Li3a[0].Li3aList[0].Li3a3[0].specialMarks[0]</t>
        </is>
      </c>
      <c r="F31" s="5" t="inlineStr">
        <is>
          <t>text</t>
        </is>
      </c>
      <c r="G31" s="5" t="inlineStr"/>
      <c r="H31" s="5" t="inlineStr"/>
      <c r="I31" s="5" t="inlineStr">
        <is>
          <t>325, 311, 576, 323</t>
        </is>
      </c>
      <c r="J31" s="5" t="inlineStr">
        <is>
          <t>question</t>
        </is>
      </c>
      <c r="K31" s="5" t="inlineStr">
        <is>
          <t>R8</t>
        </is>
      </c>
      <c r="L31" s="5">
        <f> R8</f>
        <v/>
      </c>
      <c r="M31" s="5" t="inlineStr"/>
      <c r="N31" s="5" t="inlineStr"/>
      <c r="O31" s="5" t="inlineStr"/>
    </row>
    <row r="32">
      <c r="A32" s="5" t="n">
        <v>31</v>
      </c>
      <c r="B32" s="5" t="n">
        <v>2</v>
      </c>
      <c r="C32" s="5" t="inlineStr">
        <is>
          <t>3a(3)</t>
        </is>
      </c>
      <c r="D32" s="5" t="inlineStr">
        <is>
          <t>Vehicle (type, model, year, color, plate number):</t>
        </is>
      </c>
      <c r="E32" s="5" t="inlineStr">
        <is>
          <t>SER-001[0].Page2[0].List3[0].Li3a[0].Li3aList[0].Li3a3[0].Vehicle[0]</t>
        </is>
      </c>
      <c r="F32" s="5" t="inlineStr">
        <is>
          <t>text</t>
        </is>
      </c>
      <c r="G32" s="5" t="inlineStr"/>
      <c r="H32" s="5" t="inlineStr"/>
      <c r="I32" s="5" t="inlineStr">
        <is>
          <t>335, 327, 576, 339</t>
        </is>
      </c>
      <c r="J32" s="5" t="inlineStr">
        <is>
          <t>question</t>
        </is>
      </c>
      <c r="K32" s="5" t="inlineStr">
        <is>
          <t>R11</t>
        </is>
      </c>
      <c r="L32" s="5">
        <f> join([R11.type, R11.model, R11.year, R11.color, R11.plate], ", ")</f>
        <v/>
      </c>
      <c r="M32" s="5" t="inlineStr"/>
      <c r="N32" s="5" t="inlineStr"/>
      <c r="O32" s="5" t="inlineStr"/>
    </row>
    <row r="33">
      <c r="A33" s="5" t="n">
        <v>32</v>
      </c>
      <c r="B33" s="5" t="n">
        <v>2</v>
      </c>
      <c r="C33" s="5" t="inlineStr">
        <is>
          <t>3a(3)</t>
        </is>
      </c>
      <c r="D33" s="5" t="inlineStr">
        <is>
          <t>Check here if you are including a picture of the person.</t>
        </is>
      </c>
      <c r="E33" s="5" t="inlineStr">
        <is>
          <t>SER-001[0].Page2[0].List3[0].Li3a[0].Li3aList[0].Li3a3[0].incPicture[0]</t>
        </is>
      </c>
      <c r="F33" s="5" t="inlineStr">
        <is>
          <t>checkbox</t>
        </is>
      </c>
      <c r="G33" s="5" t="inlineStr">
        <is>
          <t>1</t>
        </is>
      </c>
      <c r="H33" s="5" t="inlineStr"/>
      <c r="I33" s="5" t="inlineStr">
        <is>
          <t>117, 343, 126, 352</t>
        </is>
      </c>
      <c r="J33" s="5" t="inlineStr">
        <is>
          <t>question</t>
        </is>
      </c>
      <c r="K33" s="5" t="inlineStr">
        <is>
          <t>R22</t>
        </is>
      </c>
      <c r="L33" s="5" t="inlineStr">
        <is>
          <t>check if R22 == "Y"</t>
        </is>
      </c>
      <c r="M33" s="5" t="inlineStr"/>
      <c r="N33" s="5" t="inlineStr"/>
      <c r="O33" s="5" t="inlineStr"/>
    </row>
    <row r="34">
      <c r="A34" s="6" t="n">
        <v>33</v>
      </c>
      <c r="B34" s="6" t="n">
        <v>2</v>
      </c>
      <c r="C34" s="6" t="inlineStr">
        <is>
          <t>3a(4)</t>
        </is>
      </c>
      <c r="D34" s="6" t="inlineStr">
        <is>
          <t>No</t>
        </is>
      </c>
      <c r="E34" s="6" t="inlineStr">
        <is>
          <t>SER-001[0].Page2[0].List3[0].Li3a[0].Li3aList[0].Li3a4[0].SafetyAccessibility[0]</t>
        </is>
      </c>
      <c r="F34" s="6" t="inlineStr">
        <is>
          <t>checkbox</t>
        </is>
      </c>
      <c r="G34" s="6" t="inlineStr">
        <is>
          <t>1</t>
        </is>
      </c>
      <c r="H34" s="6" t="inlineStr"/>
      <c r="I34" s="6" t="inlineStr">
        <is>
          <t>98, 386, 107, 395</t>
        </is>
      </c>
      <c r="J34" s="6" t="inlineStr">
        <is>
          <t>derived</t>
        </is>
      </c>
      <c r="K34" s="6" t="inlineStr">
        <is>
          <t>R17,R18,R21</t>
        </is>
      </c>
      <c r="L34" s="6" t="inlineStr">
        <is>
          <t>check if nothing below applies</t>
        </is>
      </c>
      <c r="M34" s="6" t="inlineStr"/>
      <c r="N34" s="6" t="inlineStr"/>
      <c r="O34" s="6" t="inlineStr"/>
    </row>
    <row r="35">
      <c r="A35" s="6" t="n">
        <v>34</v>
      </c>
      <c r="B35" s="6" t="n">
        <v>2</v>
      </c>
      <c r="C35" s="6" t="inlineStr">
        <is>
          <t>3a(4)</t>
        </is>
      </c>
      <c r="D35" s="6" t="inlineStr">
        <is>
          <t>Yes (complete the section below with any information you have):</t>
        </is>
      </c>
      <c r="E35" s="6" t="inlineStr">
        <is>
          <t>SER-001[0].Page2[0].List3[0].Li3a[0].Li3aList[0].Li3a4[0].SafetyAccessibility[1]</t>
        </is>
      </c>
      <c r="F35" s="6" t="inlineStr">
        <is>
          <t>checkbox</t>
        </is>
      </c>
      <c r="G35" s="6" t="inlineStr">
        <is>
          <t>2</t>
        </is>
      </c>
      <c r="H35" s="6" t="inlineStr"/>
      <c r="I35" s="6" t="inlineStr">
        <is>
          <t>98, 401, 107, 410</t>
        </is>
      </c>
      <c r="J35" s="6" t="inlineStr">
        <is>
          <t>derived</t>
        </is>
      </c>
      <c r="K35" s="6" t="inlineStr">
        <is>
          <t>R17,R18,R21</t>
        </is>
      </c>
      <c r="L35" s="6" t="inlineStr">
        <is>
          <t>check if anything below applies</t>
        </is>
      </c>
      <c r="M35" s="6" t="inlineStr"/>
      <c r="N35" s="6" t="inlineStr">
        <is>
          <t>Export value 2.</t>
        </is>
      </c>
      <c r="O35" s="6" t="inlineStr"/>
    </row>
    <row r="36">
      <c r="A36" s="5" t="n">
        <v>35</v>
      </c>
      <c r="B36" s="5" t="n">
        <v>2</v>
      </c>
      <c r="C36" s="5" t="inlineStr">
        <is>
          <t>3a(4)</t>
        </is>
      </c>
      <c r="D36" s="5" t="inlineStr">
        <is>
          <t>Has a gun or other weapon.</t>
        </is>
      </c>
      <c r="E36" s="5" t="inlineStr">
        <is>
          <t>SER-001[0].Page2[0].List3[0].Li3a[0].Li3aList[0].Li3a4[0].hasGun[0]</t>
        </is>
      </c>
      <c r="F36" s="5" t="inlineStr">
        <is>
          <t>checkbox</t>
        </is>
      </c>
      <c r="G36" s="5" t="inlineStr">
        <is>
          <t>1</t>
        </is>
      </c>
      <c r="H36" s="5" t="inlineStr"/>
      <c r="I36" s="5" t="inlineStr">
        <is>
          <t>117, 431, 126, 440</t>
        </is>
      </c>
      <c r="J36" s="5" t="inlineStr">
        <is>
          <t>question</t>
        </is>
      </c>
      <c r="K36" s="5" t="inlineStr">
        <is>
          <t>R18,A3</t>
        </is>
      </c>
      <c r="L36" s="5" t="inlineStr">
        <is>
          <t>check if R18 == "Y" or any cards A3 == "Y"</t>
        </is>
      </c>
      <c r="M36" s="5" t="inlineStr"/>
      <c r="N36" s="5" t="inlineStr"/>
      <c r="O36" s="5" t="inlineStr"/>
    </row>
    <row r="37">
      <c r="A37" s="5" t="n">
        <v>36</v>
      </c>
      <c r="B37" s="5" t="n">
        <v>2</v>
      </c>
      <c r="C37" s="5" t="inlineStr">
        <is>
          <t>3a(4)</t>
        </is>
      </c>
      <c r="D37" s="5" t="inlineStr">
        <is>
          <t>Is on probation or parole.</t>
        </is>
      </c>
      <c r="E37" s="5" t="inlineStr">
        <is>
          <t>SER-001[0].Page2[0].List3[0].Li3a[0].Li3aList[0].Li3a4[0].probationParole[0]</t>
        </is>
      </c>
      <c r="F37" s="5" t="inlineStr">
        <is>
          <t>checkbox</t>
        </is>
      </c>
      <c r="G37" s="5" t="inlineStr">
        <is>
          <t>1</t>
        </is>
      </c>
      <c r="H37" s="5" t="inlineStr"/>
      <c r="I37" s="5" t="inlineStr">
        <is>
          <t>408, 431, 417, 440</t>
        </is>
      </c>
      <c r="J37" s="5" t="inlineStr">
        <is>
          <t>question</t>
        </is>
      </c>
      <c r="K37" s="5" t="inlineStr">
        <is>
          <t>R21</t>
        </is>
      </c>
      <c r="L37" s="5" t="inlineStr">
        <is>
          <t>check if R21 has "probation or parole"</t>
        </is>
      </c>
      <c r="M37" s="5" t="inlineStr"/>
      <c r="N37" s="5" t="inlineStr"/>
      <c r="O37" s="5" t="inlineStr"/>
    </row>
    <row r="38">
      <c r="A38" s="5" t="n">
        <v>37</v>
      </c>
      <c r="B38" s="5" t="n">
        <v>2</v>
      </c>
      <c r="C38" s="5" t="inlineStr">
        <is>
          <t>3a(4)</t>
        </is>
      </c>
      <c r="D38" s="5" t="inlineStr">
        <is>
          <t>Has a history of violence or abuse.</t>
        </is>
      </c>
      <c r="E38" s="5" t="inlineStr">
        <is>
          <t>SER-001[0].Page2[0].List3[0].Li3a[0].Li3aList[0].Li3a4[0].violence[0]</t>
        </is>
      </c>
      <c r="F38" s="5" t="inlineStr">
        <is>
          <t>checkbox</t>
        </is>
      </c>
      <c r="G38" s="5" t="inlineStr">
        <is>
          <t>1</t>
        </is>
      </c>
      <c r="H38" s="5" t="inlineStr"/>
      <c r="I38" s="5" t="inlineStr">
        <is>
          <t>117, 445, 126, 454</t>
        </is>
      </c>
      <c r="J38" s="5" t="inlineStr">
        <is>
          <t>question</t>
        </is>
      </c>
      <c r="K38" s="5" t="inlineStr">
        <is>
          <t>R21</t>
        </is>
      </c>
      <c r="L38" s="5" t="inlineStr">
        <is>
          <t>check if R21 has "violent history"</t>
        </is>
      </c>
      <c r="M38" s="5" t="inlineStr"/>
      <c r="N38" s="5" t="inlineStr">
        <is>
          <t>Pre-checked when Step 6 has incidents.</t>
        </is>
      </c>
      <c r="O38" s="5" t="inlineStr"/>
    </row>
    <row r="39">
      <c r="A39" s="5" t="n">
        <v>38</v>
      </c>
      <c r="B39" s="5" t="n">
        <v>2</v>
      </c>
      <c r="C39" s="5" t="inlineStr">
        <is>
          <t>3a(4)</t>
        </is>
      </c>
      <c r="D39" s="5" t="inlineStr">
        <is>
          <t>Has an aggressive animal.</t>
        </is>
      </c>
      <c r="E39" s="5" t="inlineStr">
        <is>
          <t>SER-001[0].Page2[0].List3[0].Li3a[0].Li3aList[0].Li3a4[0].aggressiveAnimal[0]</t>
        </is>
      </c>
      <c r="F39" s="5" t="inlineStr">
        <is>
          <t>checkbox</t>
        </is>
      </c>
      <c r="G39" s="5" t="inlineStr">
        <is>
          <t>1</t>
        </is>
      </c>
      <c r="H39" s="5" t="inlineStr"/>
      <c r="I39" s="5" t="inlineStr">
        <is>
          <t>408, 445, 417, 454</t>
        </is>
      </c>
      <c r="J39" s="5" t="inlineStr">
        <is>
          <t>question</t>
        </is>
      </c>
      <c r="K39" s="5" t="inlineStr">
        <is>
          <t>R21</t>
        </is>
      </c>
      <c r="L39" s="5" t="inlineStr">
        <is>
          <t>check if R21 has "aggressive animal"</t>
        </is>
      </c>
      <c r="M39" s="5" t="inlineStr"/>
      <c r="N39" s="5" t="inlineStr"/>
      <c r="O39" s="5" t="inlineStr"/>
    </row>
    <row r="40">
      <c r="A40" s="5" t="n">
        <v>39</v>
      </c>
      <c r="B40" s="5" t="n">
        <v>2</v>
      </c>
      <c r="C40" s="5" t="inlineStr">
        <is>
          <t>3a(4)</t>
        </is>
      </c>
      <c r="D40" s="5" t="inlineStr">
        <is>
          <t>Has special training (examples: military, first responder).</t>
        </is>
      </c>
      <c r="E40" s="5" t="inlineStr">
        <is>
          <t>SER-001[0].Page2[0].List3[0].Li3a[0].Li3aList[0].Li3a4[0].specialtraining[0]</t>
        </is>
      </c>
      <c r="F40" s="5" t="inlineStr">
        <is>
          <t>checkbox</t>
        </is>
      </c>
      <c r="G40" s="5" t="inlineStr">
        <is>
          <t>1</t>
        </is>
      </c>
      <c r="H40" s="5" t="inlineStr"/>
      <c r="I40" s="5" t="inlineStr">
        <is>
          <t>117, 460, 126, 469</t>
        </is>
      </c>
      <c r="J40" s="5" t="inlineStr">
        <is>
          <t>question</t>
        </is>
      </c>
      <c r="K40" s="5" t="inlineStr">
        <is>
          <t>R21</t>
        </is>
      </c>
      <c r="L40" s="5" t="inlineStr">
        <is>
          <t>check if R21 has "military or first-responder training"</t>
        </is>
      </c>
      <c r="M40" s="5" t="inlineStr"/>
      <c r="N40" s="5" t="inlineStr"/>
      <c r="O40" s="5" t="inlineStr"/>
    </row>
    <row r="41">
      <c r="A41" s="5" t="n">
        <v>40</v>
      </c>
      <c r="B41" s="5" t="n">
        <v>2</v>
      </c>
      <c r="C41" s="5" t="inlineStr">
        <is>
          <t>3a(4)</t>
        </is>
      </c>
      <c r="D41" s="5" t="inlineStr">
        <is>
          <t>Has mental health issues.</t>
        </is>
      </c>
      <c r="E41" s="5" t="inlineStr">
        <is>
          <t>SER-001[0].Page2[0].List3[0].Li3a[0].Li3aList[0].Li3a4[0].mentalHealth[0]</t>
        </is>
      </c>
      <c r="F41" s="5" t="inlineStr">
        <is>
          <t>checkbox</t>
        </is>
      </c>
      <c r="G41" s="5" t="inlineStr">
        <is>
          <t>1</t>
        </is>
      </c>
      <c r="H41" s="5" t="inlineStr"/>
      <c r="I41" s="5" t="inlineStr">
        <is>
          <t>408, 460, 417, 469</t>
        </is>
      </c>
      <c r="J41" s="5" t="inlineStr">
        <is>
          <t>question</t>
        </is>
      </c>
      <c r="K41" s="5" t="inlineStr">
        <is>
          <t>R21</t>
        </is>
      </c>
      <c r="L41" s="5" t="inlineStr">
        <is>
          <t>check if R21 has "mental health issues"</t>
        </is>
      </c>
      <c r="M41" s="5" t="inlineStr"/>
      <c r="N41" s="5" t="inlineStr"/>
      <c r="O41" s="5" t="inlineStr"/>
    </row>
    <row r="42">
      <c r="A42" s="5" t="n">
        <v>41</v>
      </c>
      <c r="B42" s="5" t="n">
        <v>2</v>
      </c>
      <c r="C42" s="5" t="inlineStr">
        <is>
          <t>3a(4)</t>
        </is>
      </c>
      <c r="D42" s="5" t="inlineStr">
        <is>
          <t>Is deaf or hard of hearing.</t>
        </is>
      </c>
      <c r="E42" s="5" t="inlineStr">
        <is>
          <t>SER-001[0].Page2[0].List3[0].Li3a[0].Li3aList[0].Li3a4[0].hardOfHearing[0]</t>
        </is>
      </c>
      <c r="F42" s="5" t="inlineStr">
        <is>
          <t>checkbox</t>
        </is>
      </c>
      <c r="G42" s="5" t="inlineStr">
        <is>
          <t>1</t>
        </is>
      </c>
      <c r="H42" s="5" t="inlineStr"/>
      <c r="I42" s="5" t="inlineStr">
        <is>
          <t>117, 474, 126, 483</t>
        </is>
      </c>
      <c r="J42" s="5" t="inlineStr">
        <is>
          <t>question</t>
        </is>
      </c>
      <c r="K42" s="5" t="inlineStr">
        <is>
          <t>R21</t>
        </is>
      </c>
      <c r="L42" s="5" t="inlineStr">
        <is>
          <t>check if R21 has "deaf or hard of hearing"</t>
        </is>
      </c>
      <c r="M42" s="5" t="inlineStr"/>
      <c r="N42" s="5" t="inlineStr"/>
      <c r="O42" s="5" t="inlineStr"/>
    </row>
    <row r="43">
      <c r="A43" s="5" t="n">
        <v>42</v>
      </c>
      <c r="B43" s="5" t="n">
        <v>2</v>
      </c>
      <c r="C43" s="5" t="inlineStr">
        <is>
          <t>3a(4)</t>
        </is>
      </c>
      <c r="D43" s="5" t="inlineStr">
        <is>
          <t>Does not speak English</t>
        </is>
      </c>
      <c r="E43" s="5" t="inlineStr">
        <is>
          <t>SER-001[0].Page2[0].List3[0].Li3a[0].Li3aList[0].Li3a4[0].noEng[0]</t>
        </is>
      </c>
      <c r="F43" s="5" t="inlineStr">
        <is>
          <t>checkbox</t>
        </is>
      </c>
      <c r="G43" s="5" t="inlineStr">
        <is>
          <t>1</t>
        </is>
      </c>
      <c r="H43" s="5" t="inlineStr"/>
      <c r="I43" s="5" t="inlineStr">
        <is>
          <t>117, 488, 126, 497</t>
        </is>
      </c>
      <c r="J43" s="5" t="inlineStr">
        <is>
          <t>question</t>
        </is>
      </c>
      <c r="K43" s="5" t="inlineStr">
        <is>
          <t>R17</t>
        </is>
      </c>
      <c r="L43" s="5" t="inlineStr">
        <is>
          <t>check if R17 == "N"</t>
        </is>
      </c>
      <c r="M43" s="5" t="inlineStr"/>
      <c r="N43" s="5" t="inlineStr"/>
      <c r="O43" s="5" t="inlineStr"/>
    </row>
    <row r="44">
      <c r="A44" s="5" t="n">
        <v>43</v>
      </c>
      <c r="B44" s="5" t="n">
        <v>2</v>
      </c>
      <c r="C44" s="5" t="inlineStr">
        <is>
          <t>3a(4)</t>
        </is>
      </c>
      <c r="D44" s="5" t="inlineStr">
        <is>
          <t>(list language):</t>
        </is>
      </c>
      <c r="E44" s="5" t="inlineStr">
        <is>
          <t>SER-001[0].Page2[0].List3[0].Li3a[0].Li3aList[0].Li3a4[0].language[0]</t>
        </is>
      </c>
      <c r="F44" s="5" t="inlineStr">
        <is>
          <t>text</t>
        </is>
      </c>
      <c r="G44" s="5" t="inlineStr"/>
      <c r="H44" s="5" t="inlineStr"/>
      <c r="I44" s="5" t="inlineStr">
        <is>
          <t>311, 488, 519, 500</t>
        </is>
      </c>
      <c r="J44" s="5" t="inlineStr">
        <is>
          <t>question</t>
        </is>
      </c>
      <c r="K44" s="5" t="inlineStr">
        <is>
          <t>R17</t>
        </is>
      </c>
      <c r="L44" s="5">
        <f> R17.language</f>
        <v/>
      </c>
      <c r="M44" s="5" t="inlineStr">
        <is>
          <t>R17 == "N"</t>
        </is>
      </c>
      <c r="N44" s="5" t="inlineStr"/>
      <c r="O44" s="5" t="inlineStr"/>
    </row>
    <row r="45">
      <c r="A45" s="5" t="n">
        <v>44</v>
      </c>
      <c r="B45" s="5" t="n">
        <v>2</v>
      </c>
      <c r="C45" s="5" t="inlineStr">
        <is>
          <t>3a(4)</t>
        </is>
      </c>
      <c r="D45" s="5" t="inlineStr">
        <is>
          <t>Add any other information about safety or accessibility that you know about:</t>
        </is>
      </c>
      <c r="E45" s="5" t="inlineStr">
        <is>
          <t>SER-001[0].Page2[0].List3[0].Li3a[0].Li3aList[0].Li3a4[0].Other[0]</t>
        </is>
      </c>
      <c r="F45" s="5" t="inlineStr">
        <is>
          <t>checkbox</t>
        </is>
      </c>
      <c r="G45" s="5" t="inlineStr">
        <is>
          <t>1</t>
        </is>
      </c>
      <c r="H45" s="5" t="inlineStr"/>
      <c r="I45" s="5" t="inlineStr">
        <is>
          <t>117, 503, 126, 512</t>
        </is>
      </c>
      <c r="J45" s="5" t="inlineStr">
        <is>
          <t>question</t>
        </is>
      </c>
      <c r="K45" s="5" t="inlineStr">
        <is>
          <t>R21</t>
        </is>
      </c>
      <c r="L45" s="5" t="inlineStr">
        <is>
          <t>check if R21 has "other"</t>
        </is>
      </c>
      <c r="M45" s="5" t="inlineStr"/>
      <c r="N45" s="5" t="inlineStr"/>
      <c r="O45" s="5" t="inlineStr"/>
    </row>
    <row r="46">
      <c r="A46" s="5" t="n">
        <v>45</v>
      </c>
      <c r="B46" s="5" t="n">
        <v>2</v>
      </c>
      <c r="C46" s="5" t="inlineStr">
        <is>
          <t>3a(4)</t>
        </is>
      </c>
      <c r="D46" s="5" t="inlineStr">
        <is>
          <t>Other information about safety or accessibility that you know about</t>
        </is>
      </c>
      <c r="E46" s="5" t="inlineStr">
        <is>
          <t>SER-001[0].Page2[0].List3[0].Li3a[0].Li3aList[0].Li3a4[0].other[0]</t>
        </is>
      </c>
      <c r="F46" s="5" t="inlineStr">
        <is>
          <t>text</t>
        </is>
      </c>
      <c r="G46" s="5" t="inlineStr"/>
      <c r="H46" s="5" t="inlineStr"/>
      <c r="I46" s="5" t="inlineStr">
        <is>
          <t>117, 516, 549, 545</t>
        </is>
      </c>
      <c r="J46" s="5" t="inlineStr">
        <is>
          <t>question</t>
        </is>
      </c>
      <c r="K46" s="5" t="inlineStr">
        <is>
          <t>R21</t>
        </is>
      </c>
      <c r="L46" s="5">
        <f> R21.otherText</f>
        <v/>
      </c>
      <c r="M46" s="5" t="inlineStr">
        <is>
          <t>R21 has "other"</t>
        </is>
      </c>
      <c r="N46" s="5" t="inlineStr"/>
      <c r="O46" s="5" t="inlineStr"/>
    </row>
    <row r="47">
      <c r="A47" s="6" t="n">
        <v>46</v>
      </c>
      <c r="B47" s="6" t="n">
        <v>2</v>
      </c>
      <c r="C47" s="6" t="inlineStr">
        <is>
          <t>3b</t>
        </is>
      </c>
      <c r="D47" s="6" t="inlineStr">
        <is>
          <t>I ask the sheriff to serve an entity (examples: business or government agency)</t>
        </is>
      </c>
      <c r="E47" s="6" t="inlineStr">
        <is>
          <t>SER-001[0].Page2[0].List3[0].Li3b[0].servePerson[0]</t>
        </is>
      </c>
      <c r="F47" s="6" t="inlineStr">
        <is>
          <t>checkbox</t>
        </is>
      </c>
      <c r="G47" s="6" t="inlineStr">
        <is>
          <t>2</t>
        </is>
      </c>
      <c r="H47" s="6" t="inlineStr"/>
      <c r="I47" s="6" t="inlineStr">
        <is>
          <t>78, 561, 87, 570</t>
        </is>
      </c>
      <c r="J47" s="6" t="inlineStr">
        <is>
          <t>derived</t>
        </is>
      </c>
      <c r="K47" s="6" t="inlineStr">
        <is>
          <t>(fixed)</t>
        </is>
      </c>
      <c r="L47" s="6" t="inlineStr">
        <is>
          <t>never</t>
        </is>
      </c>
      <c r="M47" s="6" t="inlineStr"/>
      <c r="N47" s="6" t="inlineStr">
        <is>
          <t>Serving an entity does not apply to a DV case.</t>
        </is>
      </c>
      <c r="O47" s="6" t="inlineStr"/>
    </row>
    <row r="48">
      <c r="A48" s="6" t="n">
        <v>47</v>
      </c>
      <c r="B48" s="6" t="n">
        <v>2</v>
      </c>
      <c r="C48" s="6" t="inlineStr">
        <is>
          <t>3b</t>
        </is>
      </c>
      <c r="D48" s="6" t="inlineStr">
        <is>
          <t>Name and type of entity:</t>
        </is>
      </c>
      <c r="E48" s="6" t="inlineStr">
        <is>
          <t>SER-001[0].Page2[0].List3[0].Li3b[0].Li3bList[0].Li3b1[0].NameType[0]</t>
        </is>
      </c>
      <c r="F48" s="6" t="inlineStr">
        <is>
          <t>text</t>
        </is>
      </c>
      <c r="G48" s="6" t="inlineStr"/>
      <c r="H48" s="6" t="inlineStr"/>
      <c r="I48" s="6" t="inlineStr">
        <is>
          <t>210, 577, 576, 589</t>
        </is>
      </c>
      <c r="J48" s="6" t="inlineStr">
        <is>
          <t>derived</t>
        </is>
      </c>
      <c r="K48" s="6" t="inlineStr">
        <is>
          <t>(fixed)</t>
        </is>
      </c>
      <c r="L48" s="6" t="inlineStr">
        <is>
          <t>never</t>
        </is>
      </c>
      <c r="M48" s="6" t="inlineStr"/>
      <c r="N48" s="6" t="inlineStr"/>
      <c r="O48" s="6" t="inlineStr"/>
    </row>
    <row r="49">
      <c r="A49" s="6" t="n">
        <v>48</v>
      </c>
      <c r="B49" s="6" t="n">
        <v>2</v>
      </c>
      <c r="C49" s="6" t="inlineStr">
        <is>
          <t>3b</t>
        </is>
      </c>
      <c r="D49" s="6" t="inlineStr">
        <is>
          <t>Telephone number (optional):</t>
        </is>
      </c>
      <c r="E49" s="6" t="inlineStr">
        <is>
          <t>SER-001[0].Page2[0].List3[0].Li3b[0].Li3bList[0].Li3b1[0].telephone[0]</t>
        </is>
      </c>
      <c r="F49" s="6" t="inlineStr">
        <is>
          <t>text</t>
        </is>
      </c>
      <c r="G49" s="6" t="inlineStr"/>
      <c r="H49" s="6" t="inlineStr"/>
      <c r="I49" s="6" t="inlineStr">
        <is>
          <t>234, 594, 576, 606</t>
        </is>
      </c>
      <c r="J49" s="6" t="inlineStr">
        <is>
          <t>derived</t>
        </is>
      </c>
      <c r="K49" s="6" t="inlineStr">
        <is>
          <t>(fixed)</t>
        </is>
      </c>
      <c r="L49" s="6" t="inlineStr">
        <is>
          <t>never</t>
        </is>
      </c>
      <c r="M49" s="6" t="inlineStr"/>
      <c r="N49" s="6" t="inlineStr"/>
      <c r="O49" s="6" t="inlineStr"/>
    </row>
    <row r="50">
      <c r="A50" s="6" t="n">
        <v>49</v>
      </c>
      <c r="B50" s="6" t="n">
        <v>2</v>
      </c>
      <c r="C50" s="6" t="inlineStr">
        <is>
          <t>3b</t>
        </is>
      </c>
      <c r="D50" s="6" t="inlineStr">
        <is>
          <t>If there is a specific person who should be served, give name:</t>
        </is>
      </c>
      <c r="E50" s="6" t="inlineStr">
        <is>
          <t>SER-001[0].Page2[0].List3[0].Li3b[0].Li3bList[0].Li3b2[0].nameofperson[0]</t>
        </is>
      </c>
      <c r="F50" s="6" t="inlineStr">
        <is>
          <t>text</t>
        </is>
      </c>
      <c r="G50" s="6" t="inlineStr"/>
      <c r="H50" s="6" t="inlineStr"/>
      <c r="I50" s="6" t="inlineStr">
        <is>
          <t>370, 614, 576, 626</t>
        </is>
      </c>
      <c r="J50" s="6" t="inlineStr">
        <is>
          <t>derived</t>
        </is>
      </c>
      <c r="K50" s="6" t="inlineStr">
        <is>
          <t>(fixed)</t>
        </is>
      </c>
      <c r="L50" s="6" t="inlineStr">
        <is>
          <t>never</t>
        </is>
      </c>
      <c r="M50" s="6" t="inlineStr"/>
      <c r="N50" s="6" t="inlineStr"/>
      <c r="O50" s="6" t="inlineStr"/>
    </row>
    <row r="51">
      <c r="A51" s="6" t="n">
        <v>50</v>
      </c>
      <c r="B51" s="6" t="n">
        <v>2</v>
      </c>
      <c r="C51" s="6" t="inlineStr">
        <is>
          <t>3b</t>
        </is>
      </c>
      <c r="D51" s="6" t="inlineStr">
        <is>
          <t>If there is an agent for service of process, give name:</t>
        </is>
      </c>
      <c r="E51" s="6" t="inlineStr">
        <is>
          <t>SER-001[0].Page2[0].List3[0].Li3b[0].Li3bList[0].Li3b3[0].nameofagent[0]</t>
        </is>
      </c>
      <c r="F51" s="6" t="inlineStr">
        <is>
          <t>text</t>
        </is>
      </c>
      <c r="G51" s="6" t="inlineStr"/>
      <c r="H51" s="6" t="inlineStr"/>
      <c r="I51" s="6" t="inlineStr">
        <is>
          <t>334, 638, 576, 650</t>
        </is>
      </c>
      <c r="J51" s="6" t="inlineStr">
        <is>
          <t>derived</t>
        </is>
      </c>
      <c r="K51" s="6" t="inlineStr">
        <is>
          <t>(fixed)</t>
        </is>
      </c>
      <c r="L51" s="6" t="inlineStr">
        <is>
          <t>never</t>
        </is>
      </c>
      <c r="M51" s="6" t="inlineStr"/>
      <c r="N51" s="6" t="inlineStr"/>
      <c r="O51" s="6" t="inlineStr"/>
    </row>
    <row r="52">
      <c r="A52" s="6" t="n">
        <v>51</v>
      </c>
      <c r="B52" s="6" t="n">
        <v>2</v>
      </c>
      <c r="C52" s="6" t="inlineStr">
        <is>
          <t>3b</t>
        </is>
      </c>
      <c r="D52" s="6" t="inlineStr">
        <is>
          <t>List any safety or accessibility issues (examples: weapons, aggressive animals, language barrier):</t>
        </is>
      </c>
      <c r="E52" s="6" t="inlineStr">
        <is>
          <t>SER-001[0].Page2[0].List3[0].Li3b[0].Li3bList[0].Li3b4[0].listsafetyAccessibility[0]</t>
        </is>
      </c>
      <c r="F52" s="6" t="inlineStr">
        <is>
          <t>text</t>
        </is>
      </c>
      <c r="G52" s="6" t="inlineStr"/>
      <c r="H52" s="6" t="inlineStr"/>
      <c r="I52" s="6" t="inlineStr">
        <is>
          <t>98, 673, 576, 687</t>
        </is>
      </c>
      <c r="J52" s="6" t="inlineStr">
        <is>
          <t>derived</t>
        </is>
      </c>
      <c r="K52" s="6" t="inlineStr">
        <is>
          <t>(fixed)</t>
        </is>
      </c>
      <c r="L52" s="6" t="inlineStr">
        <is>
          <t>never</t>
        </is>
      </c>
      <c r="M52" s="6" t="inlineStr"/>
      <c r="N52" s="6" t="inlineStr"/>
      <c r="O52" s="6" t="inlineStr"/>
    </row>
    <row r="53">
      <c r="A53" s="5" t="n">
        <v>52</v>
      </c>
      <c r="B53" s="5" t="n">
        <v>3</v>
      </c>
      <c r="C53" s="5" t="inlineStr">
        <is>
          <t>Caption</t>
        </is>
      </c>
      <c r="D53" s="5" t="inlineStr">
        <is>
          <t>Court Case Number:</t>
        </is>
      </c>
      <c r="E53" s="5" t="inlineStr">
        <is>
          <t>SER-001[0].Page3[0].PxCaption[0].CaseNumber[0]</t>
        </is>
      </c>
      <c r="F53" s="5" t="inlineStr">
        <is>
          <t>text</t>
        </is>
      </c>
      <c r="G53" s="5" t="inlineStr"/>
      <c r="H53" s="5" t="inlineStr"/>
      <c r="I53" s="5" t="inlineStr">
        <is>
          <t>401, 47, 576, 63</t>
        </is>
      </c>
      <c r="J53" s="5" t="inlineStr">
        <is>
          <t>question</t>
        </is>
      </c>
      <c r="K53" s="5" t="inlineStr">
        <is>
          <t>X0</t>
        </is>
      </c>
      <c r="L53" s="5">
        <f> X0</f>
        <v/>
      </c>
      <c r="M53" s="5" t="inlineStr">
        <is>
          <t>stage 2</t>
        </is>
      </c>
      <c r="N53" s="5" t="inlineStr"/>
      <c r="O53" s="5" t="inlineStr"/>
    </row>
    <row r="54">
      <c r="A54" s="5" t="n">
        <v>53</v>
      </c>
      <c r="B54" s="5" t="n">
        <v>3</v>
      </c>
      <c r="C54" s="5" t="inlineStr">
        <is>
          <t>4</t>
        </is>
      </c>
      <c r="D54" s="5" t="inlineStr">
        <is>
          <t>Address:</t>
        </is>
      </c>
      <c r="E54" s="5" t="inlineStr">
        <is>
          <t>SER-001[0].Page3[0].List4[0].Li4[0].Address[0]</t>
        </is>
      </c>
      <c r="F54" s="5" t="inlineStr">
        <is>
          <t>text</t>
        </is>
      </c>
      <c r="G54" s="5" t="inlineStr"/>
      <c r="H54" s="5" t="inlineStr"/>
      <c r="I54" s="5" t="inlineStr">
        <is>
          <t>105, 119, 433, 131</t>
        </is>
      </c>
      <c r="J54" s="5" t="inlineStr">
        <is>
          <t>question</t>
        </is>
      </c>
      <c r="K54" s="5" t="inlineStr">
        <is>
          <t>R15,R14</t>
        </is>
      </c>
      <c r="L54" s="5">
        <f> R15.address.street ?? R14.street</f>
        <v/>
      </c>
      <c r="M54" s="5" t="inlineStr"/>
      <c r="N54" s="5" t="inlineStr">
        <is>
          <t>Main address: R15, defaulting to the home address R14.</t>
        </is>
      </c>
      <c r="O54" s="5" t="inlineStr"/>
    </row>
    <row r="55">
      <c r="A55" s="5" t="n">
        <v>54</v>
      </c>
      <c r="B55" s="5" t="n">
        <v>3</v>
      </c>
      <c r="C55" s="5" t="inlineStr">
        <is>
          <t>4</t>
        </is>
      </c>
      <c r="D55" s="5" t="inlineStr">
        <is>
          <t>Home</t>
        </is>
      </c>
      <c r="E55" s="5" t="inlineStr">
        <is>
          <t>SER-001[0].Page3[0].List4[0].Li4[0].addDef[0]</t>
        </is>
      </c>
      <c r="F55" s="5" t="inlineStr">
        <is>
          <t>checkbox</t>
        </is>
      </c>
      <c r="G55" s="5" t="inlineStr">
        <is>
          <t>1</t>
        </is>
      </c>
      <c r="H55" s="5" t="inlineStr"/>
      <c r="I55" s="5" t="inlineStr">
        <is>
          <t>436, 119, 445, 128</t>
        </is>
      </c>
      <c r="J55" s="5" t="inlineStr">
        <is>
          <t>question</t>
        </is>
      </c>
      <c r="K55" s="5" t="inlineStr">
        <is>
          <t>R15</t>
        </is>
      </c>
      <c r="L55" s="5" t="inlineStr">
        <is>
          <t>check if R15.address is home</t>
        </is>
      </c>
      <c r="M55" s="5" t="inlineStr"/>
      <c r="N55" s="5" t="inlineStr"/>
      <c r="O55" s="5" t="inlineStr"/>
    </row>
    <row r="56">
      <c r="A56" s="5" t="n">
        <v>55</v>
      </c>
      <c r="B56" s="5" t="n">
        <v>3</v>
      </c>
      <c r="C56" s="5" t="inlineStr">
        <is>
          <t>4</t>
        </is>
      </c>
      <c r="D56" s="5" t="inlineStr">
        <is>
          <t>Business</t>
        </is>
      </c>
      <c r="E56" s="5" t="inlineStr">
        <is>
          <t>SER-001[0].Page3[0].List4[0].Li4[0].addDef[1]</t>
        </is>
      </c>
      <c r="F56" s="5" t="inlineStr">
        <is>
          <t>checkbox</t>
        </is>
      </c>
      <c r="G56" s="5" t="inlineStr">
        <is>
          <t>2</t>
        </is>
      </c>
      <c r="H56" s="5" t="inlineStr"/>
      <c r="I56" s="5" t="inlineStr">
        <is>
          <t>490, 119, 499, 128</t>
        </is>
      </c>
      <c r="J56" s="5" t="inlineStr">
        <is>
          <t>question</t>
        </is>
      </c>
      <c r="K56" s="5" t="inlineStr">
        <is>
          <t>R15</t>
        </is>
      </c>
      <c r="L56" s="5" t="inlineStr">
        <is>
          <t>check if R15.address is business</t>
        </is>
      </c>
      <c r="M56" s="5" t="inlineStr"/>
      <c r="N56" s="5" t="inlineStr">
        <is>
          <t>Export value 2.</t>
        </is>
      </c>
      <c r="O56" s="5" t="inlineStr"/>
    </row>
    <row r="57">
      <c r="A57" s="5" t="n">
        <v>56</v>
      </c>
      <c r="B57" s="5" t="n">
        <v>3</v>
      </c>
      <c r="C57" s="5" t="inlineStr">
        <is>
          <t>4</t>
        </is>
      </c>
      <c r="D57" s="5" t="inlineStr">
        <is>
          <t>City:</t>
        </is>
      </c>
      <c r="E57" s="5" t="inlineStr">
        <is>
          <t>SER-001[0].Page3[0].List4[0].Li4[0].City[0]</t>
        </is>
      </c>
      <c r="F57" s="5" t="inlineStr">
        <is>
          <t>text</t>
        </is>
      </c>
      <c r="G57" s="5" t="inlineStr"/>
      <c r="H57" s="5" t="inlineStr"/>
      <c r="I57" s="5" t="inlineStr">
        <is>
          <t>90, 135, 328, 147</t>
        </is>
      </c>
      <c r="J57" s="5" t="inlineStr">
        <is>
          <t>question</t>
        </is>
      </c>
      <c r="K57" s="5" t="inlineStr">
        <is>
          <t>R15,R14</t>
        </is>
      </c>
      <c r="L57" s="5">
        <f> R15.address.city ?? R14.city</f>
        <v/>
      </c>
      <c r="M57" s="5" t="inlineStr"/>
      <c r="N57" s="5" t="inlineStr"/>
      <c r="O57" s="5" t="inlineStr"/>
    </row>
    <row r="58">
      <c r="A58" s="5" t="n">
        <v>57</v>
      </c>
      <c r="B58" s="5" t="n">
        <v>3</v>
      </c>
      <c r="C58" s="5" t="inlineStr">
        <is>
          <t>4</t>
        </is>
      </c>
      <c r="D58" s="5" t="inlineStr">
        <is>
          <t>State:</t>
        </is>
      </c>
      <c r="E58" s="5" t="inlineStr">
        <is>
          <t>SER-001[0].Page3[0].List4[0].Li4[0].State[0]</t>
        </is>
      </c>
      <c r="F58" s="5" t="inlineStr">
        <is>
          <t>text</t>
        </is>
      </c>
      <c r="G58" s="5" t="inlineStr"/>
      <c r="H58" s="5" t="inlineStr"/>
      <c r="I58" s="5" t="inlineStr">
        <is>
          <t>364, 135, 426, 147</t>
        </is>
      </c>
      <c r="J58" s="5" t="inlineStr">
        <is>
          <t>question</t>
        </is>
      </c>
      <c r="K58" s="5" t="inlineStr">
        <is>
          <t>R15,R14</t>
        </is>
      </c>
      <c r="L58" s="5">
        <f> R15.address.state ?? R14.state</f>
        <v/>
      </c>
      <c r="M58" s="5" t="inlineStr"/>
      <c r="N58" s="5" t="inlineStr"/>
      <c r="O58" s="5" t="inlineStr"/>
    </row>
    <row r="59">
      <c r="A59" s="5" t="n">
        <v>58</v>
      </c>
      <c r="B59" s="5" t="n">
        <v>3</v>
      </c>
      <c r="C59" s="5" t="inlineStr">
        <is>
          <t>4</t>
        </is>
      </c>
      <c r="D59" s="5" t="inlineStr">
        <is>
          <t>Zip:</t>
        </is>
      </c>
      <c r="E59" s="5" t="inlineStr">
        <is>
          <t>SER-001[0].Page3[0].List4[0].Li4[0].Zip[0]</t>
        </is>
      </c>
      <c r="F59" s="5" t="inlineStr">
        <is>
          <t>text</t>
        </is>
      </c>
      <c r="G59" s="5" t="inlineStr"/>
      <c r="H59" s="5" t="inlineStr"/>
      <c r="I59" s="5" t="inlineStr">
        <is>
          <t>457, 135, 573, 147</t>
        </is>
      </c>
      <c r="J59" s="5" t="inlineStr">
        <is>
          <t>question</t>
        </is>
      </c>
      <c r="K59" s="5" t="inlineStr">
        <is>
          <t>R15,R14</t>
        </is>
      </c>
      <c r="L59" s="5">
        <f> R15.address.zip ?? R14.zip</f>
        <v/>
      </c>
      <c r="M59" s="5" t="inlineStr"/>
      <c r="N59" s="5" t="inlineStr"/>
      <c r="O59" s="5" t="inlineStr"/>
    </row>
    <row r="60">
      <c r="A60" s="5" t="n">
        <v>59</v>
      </c>
      <c r="B60" s="5" t="n">
        <v>3</v>
      </c>
      <c r="C60" s="5" t="inlineStr">
        <is>
          <t>4</t>
        </is>
      </c>
      <c r="D60" s="5" t="inlineStr">
        <is>
          <t>Gate code or special instructions:</t>
        </is>
      </c>
      <c r="E60" s="5" t="inlineStr">
        <is>
          <t>SER-001[0].Page3[0].List4[0].Li4[0].gateCode[0]</t>
        </is>
      </c>
      <c r="F60" s="5" t="inlineStr">
        <is>
          <t>text</t>
        </is>
      </c>
      <c r="G60" s="5" t="inlineStr"/>
      <c r="H60" s="5" t="inlineStr"/>
      <c r="I60" s="5" t="inlineStr">
        <is>
          <t>212, 151, 575, 163</t>
        </is>
      </c>
      <c r="J60" s="5" t="inlineStr">
        <is>
          <t>question</t>
        </is>
      </c>
      <c r="K60" s="5" t="inlineStr">
        <is>
          <t>R15</t>
        </is>
      </c>
      <c r="L60" s="5">
        <f> R15.instructions</f>
        <v/>
      </c>
      <c r="M60" s="5" t="inlineStr"/>
      <c r="N60" s="5" t="inlineStr"/>
      <c r="O60" s="5" t="inlineStr"/>
    </row>
    <row r="61">
      <c r="A61" s="5" t="n">
        <v>60</v>
      </c>
      <c r="B61" s="5" t="n">
        <v>3</v>
      </c>
      <c r="C61" s="5" t="inlineStr">
        <is>
          <t>4</t>
        </is>
      </c>
      <c r="D61" s="5" t="inlineStr">
        <is>
          <t>Best time to serve at this address (example: 8 a.m.–noon):</t>
        </is>
      </c>
      <c r="E61" s="5" t="inlineStr">
        <is>
          <t>SER-001[0].Page3[0].List4[0].Li4[0].serveTime[0]</t>
        </is>
      </c>
      <c r="F61" s="5" t="inlineStr">
        <is>
          <t>text</t>
        </is>
      </c>
      <c r="G61" s="5" t="inlineStr"/>
      <c r="H61" s="5" t="inlineStr"/>
      <c r="I61" s="5" t="inlineStr">
        <is>
          <t>320, 167, 575, 179</t>
        </is>
      </c>
      <c r="J61" s="5" t="inlineStr">
        <is>
          <t>question</t>
        </is>
      </c>
      <c r="K61" s="5" t="inlineStr">
        <is>
          <t>R15</t>
        </is>
      </c>
      <c r="L61" s="5">
        <f> R15.bestTime</f>
        <v/>
      </c>
      <c r="M61" s="5" t="inlineStr"/>
      <c r="N61" s="5" t="inlineStr"/>
      <c r="O61" s="5" t="inlineStr"/>
    </row>
    <row r="62">
      <c r="A62" s="5" t="n">
        <v>61</v>
      </c>
      <c r="B62" s="5" t="n">
        <v>3</v>
      </c>
      <c r="C62" s="5" t="inlineStr">
        <is>
          <t>4</t>
        </is>
      </c>
      <c r="D62" s="5" t="inlineStr">
        <is>
          <t>Check here if the person is in jail or prison</t>
        </is>
      </c>
      <c r="E62" s="5" t="inlineStr">
        <is>
          <t>SER-001[0].Page3[0].List4[0].Li4[0].jail[0]</t>
        </is>
      </c>
      <c r="F62" s="5" t="inlineStr">
        <is>
          <t>checkbox</t>
        </is>
      </c>
      <c r="G62" s="5" t="inlineStr">
        <is>
          <t>1</t>
        </is>
      </c>
      <c r="H62" s="5" t="inlineStr"/>
      <c r="I62" s="5" t="inlineStr">
        <is>
          <t>63, 184, 72, 193</t>
        </is>
      </c>
      <c r="J62" s="5" t="inlineStr">
        <is>
          <t>question</t>
        </is>
      </c>
      <c r="K62" s="5" t="inlineStr">
        <is>
          <t>R16</t>
        </is>
      </c>
      <c r="L62" s="5" t="inlineStr">
        <is>
          <t>check if R16 == "Y"</t>
        </is>
      </c>
      <c r="M62" s="5" t="inlineStr"/>
      <c r="N62" s="5" t="inlineStr"/>
      <c r="O62" s="5" t="inlineStr"/>
    </row>
    <row r="63">
      <c r="A63" s="5" t="n">
        <v>62</v>
      </c>
      <c r="B63" s="5" t="n">
        <v>3</v>
      </c>
      <c r="C63" s="5" t="inlineStr">
        <is>
          <t>4</t>
        </is>
      </c>
      <c r="D63" s="5" t="inlineStr">
        <is>
          <t>(give name of facility):</t>
        </is>
      </c>
      <c r="E63" s="5" t="inlineStr">
        <is>
          <t>SER-001[0].Page3[0].List4[0].Li4[0].jailName[0]</t>
        </is>
      </c>
      <c r="F63" s="5" t="inlineStr">
        <is>
          <t>text</t>
        </is>
      </c>
      <c r="G63" s="5" t="inlineStr"/>
      <c r="H63" s="5" t="inlineStr"/>
      <c r="I63" s="5" t="inlineStr">
        <is>
          <t>373, 183, 576, 195</t>
        </is>
      </c>
      <c r="J63" s="5" t="inlineStr">
        <is>
          <t>question</t>
        </is>
      </c>
      <c r="K63" s="5" t="inlineStr">
        <is>
          <t>R16</t>
        </is>
      </c>
      <c r="L63" s="5">
        <f> R16.facility</f>
        <v/>
      </c>
      <c r="M63" s="5" t="inlineStr">
        <is>
          <t>R16 == "Y"</t>
        </is>
      </c>
      <c r="N63" s="5" t="inlineStr"/>
      <c r="O63" s="5" t="inlineStr"/>
    </row>
    <row r="64">
      <c r="A64" s="5" t="n">
        <v>63</v>
      </c>
      <c r="B64" s="5" t="n">
        <v>3</v>
      </c>
      <c r="C64" s="5" t="inlineStr">
        <is>
          <t>4 alt</t>
        </is>
      </c>
      <c r="D64" s="5" t="inlineStr">
        <is>
          <t>Address:</t>
        </is>
      </c>
      <c r="E64" s="5" t="inlineStr">
        <is>
          <t>SER-001[0].Page3[0].List4[0].Li4[0].altAdd[0]</t>
        </is>
      </c>
      <c r="F64" s="5" t="inlineStr">
        <is>
          <t>text</t>
        </is>
      </c>
      <c r="G64" s="5" t="inlineStr"/>
      <c r="H64" s="5" t="inlineStr"/>
      <c r="I64" s="5" t="inlineStr">
        <is>
          <t>107, 255, 433, 267</t>
        </is>
      </c>
      <c r="J64" s="5" t="inlineStr">
        <is>
          <t>question</t>
        </is>
      </c>
      <c r="K64" s="5" t="inlineStr">
        <is>
          <t>R15,R13</t>
        </is>
      </c>
      <c r="L64" s="5">
        <f> R15.altAddress.street ?? R13.address.street</f>
        <v/>
      </c>
      <c r="M64" s="5" t="inlineStr"/>
      <c r="N64" s="5" t="inlineStr">
        <is>
          <t>Alternate: a second address, or the employer (R13) as Business.</t>
        </is>
      </c>
      <c r="O64" s="5" t="inlineStr"/>
    </row>
    <row r="65">
      <c r="A65" s="5" t="n">
        <v>64</v>
      </c>
      <c r="B65" s="5" t="n">
        <v>3</v>
      </c>
      <c r="C65" s="5" t="inlineStr">
        <is>
          <t>4 alt</t>
        </is>
      </c>
      <c r="D65" s="5" t="inlineStr">
        <is>
          <t>Home</t>
        </is>
      </c>
      <c r="E65" s="5" t="inlineStr">
        <is>
          <t>SER-001[0].Page3[0].List4[0].Li4[0].altAddDef[0]</t>
        </is>
      </c>
      <c r="F65" s="5" t="inlineStr">
        <is>
          <t>checkbox</t>
        </is>
      </c>
      <c r="G65" s="5" t="inlineStr">
        <is>
          <t>1</t>
        </is>
      </c>
      <c r="H65" s="5" t="inlineStr"/>
      <c r="I65" s="5" t="inlineStr">
        <is>
          <t>436, 256, 445, 265</t>
        </is>
      </c>
      <c r="J65" s="5" t="inlineStr">
        <is>
          <t>question</t>
        </is>
      </c>
      <c r="K65" s="5" t="inlineStr">
        <is>
          <t>R15</t>
        </is>
      </c>
      <c r="L65" s="5" t="inlineStr">
        <is>
          <t>check if alternate is home</t>
        </is>
      </c>
      <c r="M65" s="5" t="inlineStr"/>
      <c r="N65" s="5" t="inlineStr"/>
      <c r="O65" s="5" t="inlineStr"/>
    </row>
    <row r="66">
      <c r="A66" s="5" t="n">
        <v>65</v>
      </c>
      <c r="B66" s="5" t="n">
        <v>3</v>
      </c>
      <c r="C66" s="5" t="inlineStr">
        <is>
          <t>4 alt</t>
        </is>
      </c>
      <c r="D66" s="5" t="inlineStr">
        <is>
          <t>Business</t>
        </is>
      </c>
      <c r="E66" s="5" t="inlineStr">
        <is>
          <t>SER-001[0].Page3[0].List4[0].Li4[0].altAddDef[1]</t>
        </is>
      </c>
      <c r="F66" s="5" t="inlineStr">
        <is>
          <t>checkbox</t>
        </is>
      </c>
      <c r="G66" s="5" t="inlineStr">
        <is>
          <t>2</t>
        </is>
      </c>
      <c r="H66" s="5" t="inlineStr"/>
      <c r="I66" s="5" t="inlineStr">
        <is>
          <t>490, 256, 499, 265</t>
        </is>
      </c>
      <c r="J66" s="5" t="inlineStr">
        <is>
          <t>question</t>
        </is>
      </c>
      <c r="K66" s="5" t="inlineStr">
        <is>
          <t>R15,R13</t>
        </is>
      </c>
      <c r="L66" s="5" t="inlineStr">
        <is>
          <t>check if alternate is business (R13)</t>
        </is>
      </c>
      <c r="M66" s="5" t="inlineStr"/>
      <c r="N66" s="5" t="inlineStr"/>
      <c r="O66" s="5" t="inlineStr"/>
    </row>
    <row r="67">
      <c r="A67" s="5" t="n">
        <v>66</v>
      </c>
      <c r="B67" s="5" t="n">
        <v>3</v>
      </c>
      <c r="C67" s="5" t="inlineStr">
        <is>
          <t>4 alt</t>
        </is>
      </c>
      <c r="D67" s="5" t="inlineStr">
        <is>
          <t>City:</t>
        </is>
      </c>
      <c r="E67" s="5" t="inlineStr">
        <is>
          <t>SER-001[0].Page3[0].List4[0].Li4[0].altCity[0]</t>
        </is>
      </c>
      <c r="F67" s="5" t="inlineStr">
        <is>
          <t>text</t>
        </is>
      </c>
      <c r="G67" s="5" t="inlineStr"/>
      <c r="H67" s="5" t="inlineStr"/>
      <c r="I67" s="5" t="inlineStr">
        <is>
          <t>88, 271, 327, 283</t>
        </is>
      </c>
      <c r="J67" s="5" t="inlineStr">
        <is>
          <t>question</t>
        </is>
      </c>
      <c r="K67" s="5" t="inlineStr">
        <is>
          <t>R15,R13</t>
        </is>
      </c>
      <c r="L67" s="5">
        <f> R15.altAddress.city ?? R13.address.city</f>
        <v/>
      </c>
      <c r="M67" s="5" t="inlineStr"/>
      <c r="N67" s="5" t="inlineStr"/>
      <c r="O67" s="5" t="inlineStr"/>
    </row>
    <row r="68">
      <c r="A68" s="5" t="n">
        <v>67</v>
      </c>
      <c r="B68" s="5" t="n">
        <v>3</v>
      </c>
      <c r="C68" s="5" t="inlineStr">
        <is>
          <t>4 alt</t>
        </is>
      </c>
      <c r="D68" s="5" t="inlineStr">
        <is>
          <t>State:</t>
        </is>
      </c>
      <c r="E68" s="5" t="inlineStr">
        <is>
          <t>SER-001[0].Page3[0].List4[0].Li4[0].altState[0]</t>
        </is>
      </c>
      <c r="F68" s="5" t="inlineStr">
        <is>
          <t>text</t>
        </is>
      </c>
      <c r="G68" s="5" t="inlineStr"/>
      <c r="H68" s="5" t="inlineStr"/>
      <c r="I68" s="5" t="inlineStr">
        <is>
          <t>364, 271, 426, 283</t>
        </is>
      </c>
      <c r="J68" s="5" t="inlineStr">
        <is>
          <t>question</t>
        </is>
      </c>
      <c r="K68" s="5" t="inlineStr">
        <is>
          <t>R15,R13</t>
        </is>
      </c>
      <c r="L68" s="5">
        <f> R15.altAddress.state ?? R13.address.state</f>
        <v/>
      </c>
      <c r="M68" s="5" t="inlineStr"/>
      <c r="N68" s="5" t="inlineStr"/>
      <c r="O68" s="5" t="inlineStr"/>
    </row>
    <row r="69">
      <c r="A69" s="5" t="n">
        <v>68</v>
      </c>
      <c r="B69" s="5" t="n">
        <v>3</v>
      </c>
      <c r="C69" s="5" t="inlineStr">
        <is>
          <t>4 alt</t>
        </is>
      </c>
      <c r="D69" s="5" t="inlineStr">
        <is>
          <t>Zip:</t>
        </is>
      </c>
      <c r="E69" s="5" t="inlineStr">
        <is>
          <t>SER-001[0].Page3[0].List4[0].Li4[0].altZip[0]</t>
        </is>
      </c>
      <c r="F69" s="5" t="inlineStr">
        <is>
          <t>text</t>
        </is>
      </c>
      <c r="G69" s="5" t="inlineStr"/>
      <c r="H69" s="5" t="inlineStr"/>
      <c r="I69" s="5" t="inlineStr">
        <is>
          <t>457, 271, 572, 283</t>
        </is>
      </c>
      <c r="J69" s="5" t="inlineStr">
        <is>
          <t>question</t>
        </is>
      </c>
      <c r="K69" s="5" t="inlineStr">
        <is>
          <t>R15,R13</t>
        </is>
      </c>
      <c r="L69" s="5">
        <f> R15.altAddress.zip ?? R13.address.zip</f>
        <v/>
      </c>
      <c r="M69" s="5" t="inlineStr"/>
      <c r="N69" s="5" t="inlineStr"/>
      <c r="O69" s="5" t="inlineStr"/>
    </row>
    <row r="70">
      <c r="A70" s="5" t="n">
        <v>69</v>
      </c>
      <c r="B70" s="5" t="n">
        <v>3</v>
      </c>
      <c r="C70" s="5" t="inlineStr">
        <is>
          <t>4 alt</t>
        </is>
      </c>
      <c r="D70" s="5" t="inlineStr">
        <is>
          <t>Gate code or special instructions:</t>
        </is>
      </c>
      <c r="E70" s="5" t="inlineStr">
        <is>
          <t>SER-001[0].Page3[0].List4[0].Li4[0].altGateCode[0]</t>
        </is>
      </c>
      <c r="F70" s="5" t="inlineStr">
        <is>
          <t>text</t>
        </is>
      </c>
      <c r="G70" s="5" t="inlineStr"/>
      <c r="H70" s="5" t="inlineStr"/>
      <c r="I70" s="5" t="inlineStr">
        <is>
          <t>213, 287, 574, 299</t>
        </is>
      </c>
      <c r="J70" s="5" t="inlineStr">
        <is>
          <t>question</t>
        </is>
      </c>
      <c r="K70" s="5" t="inlineStr">
        <is>
          <t>R15</t>
        </is>
      </c>
      <c r="L70" s="5">
        <f> R15.altInstructions</f>
        <v/>
      </c>
      <c r="M70" s="5" t="inlineStr"/>
      <c r="N70" s="5" t="inlineStr"/>
      <c r="O70" s="5" t="inlineStr"/>
    </row>
    <row r="71">
      <c r="A71" s="5" t="n">
        <v>70</v>
      </c>
      <c r="B71" s="5" t="n">
        <v>3</v>
      </c>
      <c r="C71" s="5" t="inlineStr">
        <is>
          <t>4 alt</t>
        </is>
      </c>
      <c r="D71" s="5" t="inlineStr">
        <is>
          <t>Best time to serve at this address (example: 8 a.m.–noon):</t>
        </is>
      </c>
      <c r="E71" s="5" t="inlineStr">
        <is>
          <t>SER-001[0].Page3[0].List4[0].Li4[0].altServeTime[0]</t>
        </is>
      </c>
      <c r="F71" s="5" t="inlineStr">
        <is>
          <t>text</t>
        </is>
      </c>
      <c r="G71" s="5" t="inlineStr"/>
      <c r="H71" s="5" t="inlineStr"/>
      <c r="I71" s="5" t="inlineStr">
        <is>
          <t>321, 303, 574, 315</t>
        </is>
      </c>
      <c r="J71" s="5" t="inlineStr">
        <is>
          <t>question</t>
        </is>
      </c>
      <c r="K71" s="5" t="inlineStr">
        <is>
          <t>R15</t>
        </is>
      </c>
      <c r="L71" s="5">
        <f> R15.altBestTime</f>
        <v/>
      </c>
      <c r="M71" s="5" t="inlineStr"/>
      <c r="N71" s="5" t="inlineStr"/>
      <c r="O71" s="5" t="inlineStr"/>
    </row>
    <row r="72">
      <c r="A72" s="6" t="n">
        <v>71</v>
      </c>
      <c r="B72" s="6" t="n">
        <v>3</v>
      </c>
      <c r="C72" s="6" t="inlineStr">
        <is>
          <t>5a</t>
        </is>
      </c>
      <c r="D72" s="6" t="inlineStr">
        <is>
          <t>What type of court papers are you giving the sheriff to serve (examples: summons, restraining order, eviction, small claims, bank levy, or writ of attachment)?</t>
        </is>
      </c>
      <c r="E72" s="6" t="inlineStr">
        <is>
          <t>SER-001[0].Page3[0].List5[0].Li5a[0].typePapers[0]</t>
        </is>
      </c>
      <c r="F72" s="6" t="inlineStr">
        <is>
          <t>text</t>
        </is>
      </c>
      <c r="G72" s="6" t="inlineStr"/>
      <c r="H72" s="6" t="inlineStr"/>
      <c r="I72" s="6" t="inlineStr">
        <is>
          <t>78, 401, 574, 414</t>
        </is>
      </c>
      <c r="J72" s="6" t="inlineStr">
        <is>
          <t>derived</t>
        </is>
      </c>
      <c r="K72" s="6" t="inlineStr">
        <is>
          <t>(fixed)</t>
        </is>
      </c>
      <c r="L72" s="6">
        <f> "Domestic violence restraining order"</f>
        <v/>
      </c>
      <c r="M72" s="6" t="inlineStr"/>
      <c r="N72" s="6" t="inlineStr"/>
      <c r="O72" s="6" t="inlineStr"/>
    </row>
    <row r="73">
      <c r="A73" s="6" t="n">
        <v>72</v>
      </c>
      <c r="B73" s="6" t="n">
        <v>3</v>
      </c>
      <c r="C73" s="6" t="inlineStr">
        <is>
          <t>5b</t>
        </is>
      </c>
      <c r="D73" s="6" t="inlineStr">
        <is>
          <t xml:space="preserve">List all forms or court papers you want served on the person in 3 a. (optional). (Note: You can list each form by its form number (example: FL-100, SC-100). If there is no form number, give the title </t>
        </is>
      </c>
      <c r="E73" s="6" t="inlineStr">
        <is>
          <t>SER-001[0].Page3[0].List5[0].Li5b[0].listForms[0]</t>
        </is>
      </c>
      <c r="F73" s="6" t="inlineStr">
        <is>
          <t>text</t>
        </is>
      </c>
      <c r="G73" s="6" t="inlineStr"/>
      <c r="H73" s="6" t="inlineStr"/>
      <c r="I73" s="6" t="inlineStr">
        <is>
          <t>78, 513, 574, 601</t>
        </is>
      </c>
      <c r="J73" s="6" t="inlineStr">
        <is>
          <t>derived</t>
        </is>
      </c>
      <c r="K73" s="6" t="inlineStr">
        <is>
          <t>(packet)</t>
        </is>
      </c>
      <c r="L73" s="6">
        <f> list of forms in the service set</f>
        <v/>
      </c>
      <c r="M73" s="6" t="inlineStr"/>
      <c r="N73" s="6" t="inlineStr"/>
      <c r="O73" s="6" t="inlineStr"/>
    </row>
    <row r="74">
      <c r="A74" s="6" t="n">
        <v>73</v>
      </c>
      <c r="B74" s="6" t="n">
        <v>3</v>
      </c>
      <c r="C74" s="6" t="inlineStr">
        <is>
          <t>5c</t>
        </is>
      </c>
      <c r="D74" s="6" t="inlineStr">
        <is>
          <t>I don’t know</t>
        </is>
      </c>
      <c r="E74" s="6" t="inlineStr">
        <is>
          <t>SER-001[0].Page3[0].List5[0].Li5c[0].Hearing[0]</t>
        </is>
      </c>
      <c r="F74" s="6" t="inlineStr">
        <is>
          <t>checkbox</t>
        </is>
      </c>
      <c r="G74" s="6" t="inlineStr">
        <is>
          <t>1</t>
        </is>
      </c>
      <c r="H74" s="6" t="inlineStr"/>
      <c r="I74" s="6" t="inlineStr">
        <is>
          <t>78, 632, 87, 641</t>
        </is>
      </c>
      <c r="J74" s="6" t="inlineStr">
        <is>
          <t>derived</t>
        </is>
      </c>
      <c r="K74" s="6" t="inlineStr">
        <is>
          <t>X1</t>
        </is>
      </c>
      <c r="L74" s="6" t="inlineStr">
        <is>
          <t>check if X1 not known</t>
        </is>
      </c>
      <c r="M74" s="6" t="inlineStr"/>
      <c r="N74" s="6" t="inlineStr">
        <is>
          <t>Exports 1 / 2 / 3.</t>
        </is>
      </c>
      <c r="O74" s="6" t="inlineStr"/>
    </row>
    <row r="75">
      <c r="A75" s="6" t="n">
        <v>74</v>
      </c>
      <c r="B75" s="6" t="n">
        <v>3</v>
      </c>
      <c r="C75" s="6" t="inlineStr">
        <is>
          <t>5c</t>
        </is>
      </c>
      <c r="D75" s="6" t="inlineStr">
        <is>
          <t>No</t>
        </is>
      </c>
      <c r="E75" s="6" t="inlineStr">
        <is>
          <t>SER-001[0].Page3[0].List5[0].Li5c[0].Hearing[1]</t>
        </is>
      </c>
      <c r="F75" s="6" t="inlineStr">
        <is>
          <t>checkbox</t>
        </is>
      </c>
      <c r="G75" s="6" t="inlineStr">
        <is>
          <t>2</t>
        </is>
      </c>
      <c r="H75" s="6" t="inlineStr"/>
      <c r="I75" s="6" t="inlineStr">
        <is>
          <t>78, 647, 87, 656</t>
        </is>
      </c>
      <c r="J75" s="6" t="inlineStr">
        <is>
          <t>derived</t>
        </is>
      </c>
      <c r="K75" s="6" t="inlineStr">
        <is>
          <t>X1</t>
        </is>
      </c>
      <c r="L75" s="6" t="inlineStr">
        <is>
          <t>never</t>
        </is>
      </c>
      <c r="M75" s="6" t="inlineStr"/>
      <c r="N75" s="6" t="inlineStr"/>
      <c r="O75" s="6" t="inlineStr"/>
    </row>
    <row r="76">
      <c r="A76" s="6" t="n">
        <v>75</v>
      </c>
      <c r="B76" s="6" t="n">
        <v>3</v>
      </c>
      <c r="C76" s="6" t="inlineStr">
        <is>
          <t>5c</t>
        </is>
      </c>
      <c r="D76" s="6" t="inlineStr">
        <is>
          <t>Yes</t>
        </is>
      </c>
      <c r="E76" s="6" t="inlineStr">
        <is>
          <t>SER-001[0].Page3[0].List5[0].Li5c[0].Hearing[2]</t>
        </is>
      </c>
      <c r="F76" s="6" t="inlineStr">
        <is>
          <t>checkbox</t>
        </is>
      </c>
      <c r="G76" s="6" t="inlineStr">
        <is>
          <t>3</t>
        </is>
      </c>
      <c r="H76" s="6" t="inlineStr"/>
      <c r="I76" s="6" t="inlineStr">
        <is>
          <t>78, 661, 87, 670</t>
        </is>
      </c>
      <c r="J76" s="6" t="inlineStr">
        <is>
          <t>derived</t>
        </is>
      </c>
      <c r="K76" s="6" t="inlineStr">
        <is>
          <t>X1</t>
        </is>
      </c>
      <c r="L76" s="6" t="inlineStr">
        <is>
          <t>check if X1 known</t>
        </is>
      </c>
      <c r="M76" s="6" t="inlineStr"/>
      <c r="N76" s="6" t="inlineStr"/>
      <c r="O76" s="6" t="inlineStr"/>
    </row>
    <row r="77">
      <c r="A77" s="5" t="n">
        <v>76</v>
      </c>
      <c r="B77" s="5" t="n">
        <v>3</v>
      </c>
      <c r="C77" s="5" t="inlineStr">
        <is>
          <t>5c</t>
        </is>
      </c>
      <c r="D77" s="5" t="inlineStr">
        <is>
          <t>(if yes, give date of hearing):</t>
        </is>
      </c>
      <c r="E77" s="5" t="inlineStr">
        <is>
          <t>SER-001[0].Page3[0].List5[0].Li5c[0].hearingDate[0]</t>
        </is>
      </c>
      <c r="F77" s="5" t="inlineStr">
        <is>
          <t>text</t>
        </is>
      </c>
      <c r="G77" s="5" t="inlineStr"/>
      <c r="H77" s="5" t="inlineStr"/>
      <c r="I77" s="5" t="inlineStr">
        <is>
          <t>247, 661, 450, 673</t>
        </is>
      </c>
      <c r="J77" s="5" t="inlineStr">
        <is>
          <t>question</t>
        </is>
      </c>
      <c r="K77" s="5" t="inlineStr">
        <is>
          <t>X1</t>
        </is>
      </c>
      <c r="L77" s="5">
        <f> fmtDate(X1.date)</f>
        <v/>
      </c>
      <c r="M77" s="5" t="inlineStr">
        <is>
          <t>X1 known</t>
        </is>
      </c>
      <c r="N77" s="5" t="inlineStr"/>
      <c r="O77" s="5" t="inlineStr"/>
    </row>
    <row r="78">
      <c r="A78" s="5" t="n">
        <v>77</v>
      </c>
      <c r="B78" s="5" t="n">
        <v>4</v>
      </c>
      <c r="C78" s="5" t="inlineStr">
        <is>
          <t>Caption</t>
        </is>
      </c>
      <c r="D78" s="5" t="inlineStr">
        <is>
          <t>Court Case Number:</t>
        </is>
      </c>
      <c r="E78" s="5" t="inlineStr">
        <is>
          <t>SER-001[0].Page4[0].PxCaption[0].CaseNumber[0]</t>
        </is>
      </c>
      <c r="F78" s="5" t="inlineStr">
        <is>
          <t>text</t>
        </is>
      </c>
      <c r="G78" s="5" t="inlineStr"/>
      <c r="H78" s="5" t="inlineStr"/>
      <c r="I78" s="5" t="inlineStr">
        <is>
          <t>401, 47, 576, 63</t>
        </is>
      </c>
      <c r="J78" s="5" t="inlineStr">
        <is>
          <t>question</t>
        </is>
      </c>
      <c r="K78" s="5" t="inlineStr">
        <is>
          <t>X0</t>
        </is>
      </c>
      <c r="L78" s="5">
        <f> X0</f>
        <v/>
      </c>
      <c r="M78" s="5" t="inlineStr">
        <is>
          <t>stage 2</t>
        </is>
      </c>
      <c r="N78" s="5" t="inlineStr"/>
      <c r="O78" s="5" t="inlineStr"/>
    </row>
    <row r="79">
      <c r="A79" s="6" t="n">
        <v>78</v>
      </c>
      <c r="B79" s="6" t="n">
        <v>4</v>
      </c>
      <c r="C79" s="6" t="inlineStr">
        <is>
          <t>5d</t>
        </is>
      </c>
      <c r="D79" s="6" t="inlineStr">
        <is>
          <t>I don’t know</t>
        </is>
      </c>
      <c r="E79" s="6" t="inlineStr">
        <is>
          <t>SER-001[0].Page4[0].List5Continued[0].Li5d[0].deadline[0]</t>
        </is>
      </c>
      <c r="F79" s="6" t="inlineStr">
        <is>
          <t>checkbox</t>
        </is>
      </c>
      <c r="G79" s="6" t="inlineStr">
        <is>
          <t>1</t>
        </is>
      </c>
      <c r="H79" s="6" t="inlineStr"/>
      <c r="I79" s="6" t="inlineStr">
        <is>
          <t>78, 92, 87, 101</t>
        </is>
      </c>
      <c r="J79" s="6" t="inlineStr">
        <is>
          <t>derived</t>
        </is>
      </c>
      <c r="K79" s="6" t="inlineStr">
        <is>
          <t>X1</t>
        </is>
      </c>
      <c r="L79" s="6" t="inlineStr">
        <is>
          <t>check if X1 not known</t>
        </is>
      </c>
      <c r="M79" s="6" t="inlineStr"/>
      <c r="N79" s="6" t="inlineStr"/>
      <c r="O79" s="6" t="inlineStr"/>
    </row>
    <row r="80">
      <c r="A80" s="6" t="n">
        <v>79</v>
      </c>
      <c r="B80" s="6" t="n">
        <v>4</v>
      </c>
      <c r="C80" s="6" t="inlineStr">
        <is>
          <t>5d</t>
        </is>
      </c>
      <c r="D80" s="6" t="inlineStr">
        <is>
          <t>No</t>
        </is>
      </c>
      <c r="E80" s="6" t="inlineStr">
        <is>
          <t>SER-001[0].Page4[0].List5Continued[0].Li5d[0].deadline[1]</t>
        </is>
      </c>
      <c r="F80" s="6" t="inlineStr">
        <is>
          <t>checkbox</t>
        </is>
      </c>
      <c r="G80" s="6" t="inlineStr">
        <is>
          <t>2</t>
        </is>
      </c>
      <c r="H80" s="6" t="inlineStr"/>
      <c r="I80" s="6" t="inlineStr">
        <is>
          <t>78, 106, 87, 115</t>
        </is>
      </c>
      <c r="J80" s="6" t="inlineStr">
        <is>
          <t>derived</t>
        </is>
      </c>
      <c r="K80" s="6" t="inlineStr">
        <is>
          <t>X1</t>
        </is>
      </c>
      <c r="L80" s="6" t="inlineStr">
        <is>
          <t>never</t>
        </is>
      </c>
      <c r="M80" s="6" t="inlineStr"/>
      <c r="N80" s="6" t="inlineStr"/>
      <c r="O80" s="6" t="inlineStr"/>
    </row>
    <row r="81">
      <c r="A81" s="6" t="n">
        <v>80</v>
      </c>
      <c r="B81" s="6" t="n">
        <v>4</v>
      </c>
      <c r="C81" s="6" t="inlineStr">
        <is>
          <t>5d</t>
        </is>
      </c>
      <c r="D81" s="6" t="inlineStr">
        <is>
          <t>Yes</t>
        </is>
      </c>
      <c r="E81" s="6" t="inlineStr">
        <is>
          <t>SER-001[0].Page4[0].List5Continued[0].Li5d[0].deadline[2]</t>
        </is>
      </c>
      <c r="F81" s="6" t="inlineStr">
        <is>
          <t>checkbox</t>
        </is>
      </c>
      <c r="G81" s="6" t="inlineStr">
        <is>
          <t>3</t>
        </is>
      </c>
      <c r="H81" s="6" t="inlineStr"/>
      <c r="I81" s="6" t="inlineStr">
        <is>
          <t>78, 120, 87, 129</t>
        </is>
      </c>
      <c r="J81" s="6" t="inlineStr">
        <is>
          <t>derived</t>
        </is>
      </c>
      <c r="K81" s="6" t="inlineStr">
        <is>
          <t>X1</t>
        </is>
      </c>
      <c r="L81" s="6" t="inlineStr">
        <is>
          <t>check if X1 known</t>
        </is>
      </c>
      <c r="M81" s="6" t="inlineStr"/>
      <c r="N81" s="6" t="inlineStr"/>
      <c r="O81" s="6" t="inlineStr"/>
    </row>
    <row r="82">
      <c r="A82" s="6" t="n">
        <v>81</v>
      </c>
      <c r="B82" s="6" t="n">
        <v>4</v>
      </c>
      <c r="C82" s="6" t="inlineStr">
        <is>
          <t>5d</t>
        </is>
      </c>
      <c r="D82" s="6" t="inlineStr">
        <is>
          <t>(if yes, give deadline):</t>
        </is>
      </c>
      <c r="E82" s="6" t="inlineStr">
        <is>
          <t>SER-001[0].Page4[0].List5Continued[0].Li5d[0].deadlineDate[0]</t>
        </is>
      </c>
      <c r="F82" s="6" t="inlineStr">
        <is>
          <t>text</t>
        </is>
      </c>
      <c r="G82" s="6" t="inlineStr"/>
      <c r="H82" s="6" t="inlineStr"/>
      <c r="I82" s="6" t="inlineStr">
        <is>
          <t>215, 120, 513, 132</t>
        </is>
      </c>
      <c r="J82" s="6" t="inlineStr">
        <is>
          <t>derived</t>
        </is>
      </c>
      <c r="K82" s="6" t="inlineStr">
        <is>
          <t>X1</t>
        </is>
      </c>
      <c r="L82" s="6">
        <f> fmtDate(X1.date - X1.serviceDays (default 5))</f>
        <v/>
      </c>
      <c r="M82" s="6" t="inlineStr">
        <is>
          <t>X1 known</t>
        </is>
      </c>
      <c r="N82" s="6" t="inlineStr">
        <is>
          <t>Service deadline from DV-109 item 6.</t>
        </is>
      </c>
      <c r="O82" s="6" t="inlineStr"/>
    </row>
    <row r="83">
      <c r="A83" s="6" t="n">
        <v>82</v>
      </c>
      <c r="B83" s="6" t="n">
        <v>4</v>
      </c>
      <c r="C83" s="6" t="inlineStr">
        <is>
          <t>5e</t>
        </is>
      </c>
      <c r="D83" s="6" t="inlineStr">
        <is>
          <t>I don’t know</t>
        </is>
      </c>
      <c r="E83" s="6" t="inlineStr">
        <is>
          <t>SER-001[0].Page4[0].List5Continued[0].Li5e[0].altService[0]</t>
        </is>
      </c>
      <c r="F83" s="6" t="inlineStr">
        <is>
          <t>checkbox</t>
        </is>
      </c>
      <c r="G83" s="6" t="inlineStr">
        <is>
          <t>1</t>
        </is>
      </c>
      <c r="H83" s="6" t="inlineStr"/>
      <c r="I83" s="6" t="inlineStr">
        <is>
          <t>78, 184, 87, 193</t>
        </is>
      </c>
      <c r="J83" s="6" t="inlineStr">
        <is>
          <t>derived</t>
        </is>
      </c>
      <c r="K83" s="6" t="inlineStr">
        <is>
          <t>X3</t>
        </is>
      </c>
      <c r="L83" s="6" t="inlineStr">
        <is>
          <t>never</t>
        </is>
      </c>
      <c r="M83" s="6" t="inlineStr"/>
      <c r="N83" s="6" t="inlineStr"/>
      <c r="O83" s="6" t="inlineStr"/>
    </row>
    <row r="84">
      <c r="A84" s="6" t="n">
        <v>83</v>
      </c>
      <c r="B84" s="6" t="n">
        <v>4</v>
      </c>
      <c r="C84" s="6" t="inlineStr">
        <is>
          <t>5e</t>
        </is>
      </c>
      <c r="D84" s="6" t="inlineStr">
        <is>
          <t>No</t>
        </is>
      </c>
      <c r="E84" s="6" t="inlineStr">
        <is>
          <t>SER-001[0].Page4[0].List5Continued[0].Li5e[0].altService[1]</t>
        </is>
      </c>
      <c r="F84" s="6" t="inlineStr">
        <is>
          <t>checkbox</t>
        </is>
      </c>
      <c r="G84" s="6" t="inlineStr">
        <is>
          <t>2</t>
        </is>
      </c>
      <c r="H84" s="6" t="inlineStr"/>
      <c r="I84" s="6" t="inlineStr">
        <is>
          <t>78, 199, 87, 208</t>
        </is>
      </c>
      <c r="J84" s="6" t="inlineStr">
        <is>
          <t>derived</t>
        </is>
      </c>
      <c r="K84" s="6" t="inlineStr">
        <is>
          <t>X3</t>
        </is>
      </c>
      <c r="L84" s="6" t="inlineStr">
        <is>
          <t>check if X3 != "Y"</t>
        </is>
      </c>
      <c r="M84" s="6" t="inlineStr"/>
      <c r="N84" s="6" t="inlineStr">
        <is>
          <t>Map: "No" unless alternative service was allowed.</t>
        </is>
      </c>
      <c r="O84" s="6" t="inlineStr"/>
    </row>
    <row r="85">
      <c r="A85" s="6" t="n">
        <v>84</v>
      </c>
      <c r="B85" s="6" t="n">
        <v>4</v>
      </c>
      <c r="C85" s="6" t="inlineStr">
        <is>
          <t>5e</t>
        </is>
      </c>
      <c r="D85" s="6" t="inlineStr">
        <is>
          <t>Yes (if yes, include a copy of the order allowing another type of service)</t>
        </is>
      </c>
      <c r="E85" s="6" t="inlineStr">
        <is>
          <t>SER-001[0].Page4[0].List5Continued[0].Li5e[0].altService[2]</t>
        </is>
      </c>
      <c r="F85" s="6" t="inlineStr">
        <is>
          <t>checkbox</t>
        </is>
      </c>
      <c r="G85" s="6" t="inlineStr">
        <is>
          <t>3</t>
        </is>
      </c>
      <c r="H85" s="6" t="inlineStr"/>
      <c r="I85" s="6" t="inlineStr">
        <is>
          <t>78, 213, 87, 222</t>
        </is>
      </c>
      <c r="J85" s="6" t="inlineStr">
        <is>
          <t>derived</t>
        </is>
      </c>
      <c r="K85" s="6" t="inlineStr">
        <is>
          <t>X3</t>
        </is>
      </c>
      <c r="L85" s="6" t="inlineStr">
        <is>
          <t>check if X3 == "Y"</t>
        </is>
      </c>
      <c r="M85" s="6" t="inlineStr"/>
      <c r="N85" s="6" t="inlineStr"/>
      <c r="O85" s="6" t="inlineStr"/>
    </row>
    <row r="86">
      <c r="A86" s="5" t="n">
        <v>85</v>
      </c>
      <c r="B86" s="5" t="n">
        <v>4</v>
      </c>
      <c r="C86" s="5" t="inlineStr">
        <is>
          <t>5f</t>
        </is>
      </c>
      <c r="D86" s="5" t="inlineStr">
        <is>
          <t>No</t>
        </is>
      </c>
      <c r="E86" s="5" t="inlineStr">
        <is>
          <t>SER-001[0].Page4[0].List5Continued[0].Li5f[0].othInfo[0]</t>
        </is>
      </c>
      <c r="F86" s="5" t="inlineStr">
        <is>
          <t>checkbox</t>
        </is>
      </c>
      <c r="G86" s="5" t="inlineStr">
        <is>
          <t>1</t>
        </is>
      </c>
      <c r="H86" s="5" t="inlineStr"/>
      <c r="I86" s="5" t="inlineStr">
        <is>
          <t>78, 262, 87, 271</t>
        </is>
      </c>
      <c r="J86" s="5" t="inlineStr">
        <is>
          <t>question</t>
        </is>
      </c>
      <c r="K86" s="5" t="inlineStr">
        <is>
          <t>V3</t>
        </is>
      </c>
      <c r="L86" s="5" t="inlineStr">
        <is>
          <t>check if V3 is empty</t>
        </is>
      </c>
      <c r="M86" s="5" t="inlineStr"/>
      <c r="N86" s="5" t="inlineStr"/>
      <c r="O86" s="5" t="inlineStr"/>
    </row>
    <row r="87">
      <c r="A87" s="5" t="n">
        <v>86</v>
      </c>
      <c r="B87" s="5" t="n">
        <v>4</v>
      </c>
      <c r="C87" s="5" t="inlineStr">
        <is>
          <t>5f</t>
        </is>
      </c>
      <c r="D87" s="5" t="inlineStr">
        <is>
          <t>Yes</t>
        </is>
      </c>
      <c r="E87" s="5" t="inlineStr">
        <is>
          <t>SER-001[0].Page4[0].List5Continued[0].Li5f[0].othInfo[1]</t>
        </is>
      </c>
      <c r="F87" s="5" t="inlineStr">
        <is>
          <t>checkbox</t>
        </is>
      </c>
      <c r="G87" s="5" t="inlineStr">
        <is>
          <t>2</t>
        </is>
      </c>
      <c r="H87" s="5" t="inlineStr"/>
      <c r="I87" s="5" t="inlineStr">
        <is>
          <t>78, 277, 87, 286</t>
        </is>
      </c>
      <c r="J87" s="5" t="inlineStr">
        <is>
          <t>question</t>
        </is>
      </c>
      <c r="K87" s="5" t="inlineStr">
        <is>
          <t>V3</t>
        </is>
      </c>
      <c r="L87" s="5" t="inlineStr">
        <is>
          <t>check if V3 is not empty</t>
        </is>
      </c>
      <c r="M87" s="5" t="inlineStr"/>
      <c r="N87" s="5" t="inlineStr"/>
      <c r="O87" s="5" t="inlineStr"/>
    </row>
    <row r="88">
      <c r="A88" s="5" t="n">
        <v>87</v>
      </c>
      <c r="B88" s="5" t="n">
        <v>4</v>
      </c>
      <c r="C88" s="5" t="inlineStr">
        <is>
          <t>5f</t>
        </is>
      </c>
      <c r="D88" s="5" t="inlineStr">
        <is>
          <t>(if yes, give information below):</t>
        </is>
      </c>
      <c r="E88" s="5" t="inlineStr">
        <is>
          <t>SER-001[0].Page4[0].List5Continued[0].Li5f[0].TextField[0]</t>
        </is>
      </c>
      <c r="F88" s="5" t="inlineStr">
        <is>
          <t>text</t>
        </is>
      </c>
      <c r="G88" s="5" t="inlineStr"/>
      <c r="H88" s="5" t="inlineStr"/>
      <c r="I88" s="5" t="inlineStr">
        <is>
          <t>78, 289, 575, 403</t>
        </is>
      </c>
      <c r="J88" s="5" t="inlineStr">
        <is>
          <t>question</t>
        </is>
      </c>
      <c r="K88" s="5" t="inlineStr">
        <is>
          <t>V3</t>
        </is>
      </c>
      <c r="L88" s="5">
        <f> V3</f>
        <v/>
      </c>
      <c r="M88" s="5" t="inlineStr">
        <is>
          <t>V3 given</t>
        </is>
      </c>
      <c r="N88" s="5" t="inlineStr"/>
      <c r="O88" s="5" t="inlineStr"/>
    </row>
    <row r="89">
      <c r="A89" s="6" t="n">
        <v>88</v>
      </c>
      <c r="B89" s="6" t="n">
        <v>4</v>
      </c>
      <c r="C89" s="6" t="inlineStr">
        <is>
          <t>6</t>
        </is>
      </c>
      <c r="D89" s="6" t="inlineStr">
        <is>
          <t>Yes</t>
        </is>
      </c>
      <c r="E89" s="6" t="inlineStr">
        <is>
          <t>SER-001[0].Page4[0].List6[0].Li6[0].levy[0]</t>
        </is>
      </c>
      <c r="F89" s="6" t="inlineStr">
        <is>
          <t>checkbox</t>
        </is>
      </c>
      <c r="G89" s="6" t="inlineStr">
        <is>
          <t>1</t>
        </is>
      </c>
      <c r="H89" s="6" t="inlineStr"/>
      <c r="I89" s="6" t="inlineStr">
        <is>
          <t>63, 518, 72, 527</t>
        </is>
      </c>
      <c r="J89" s="6" t="inlineStr">
        <is>
          <t>derived</t>
        </is>
      </c>
      <c r="K89" s="6" t="inlineStr">
        <is>
          <t>(fixed)</t>
        </is>
      </c>
      <c r="L89" s="6" t="inlineStr">
        <is>
          <t>never</t>
        </is>
      </c>
      <c r="M89" s="6" t="inlineStr"/>
      <c r="N89" s="6" t="inlineStr">
        <is>
          <t>Map: item 6 is left blank.</t>
        </is>
      </c>
      <c r="O89" s="6" t="inlineStr"/>
    </row>
    <row r="90">
      <c r="A90" s="6" t="n">
        <v>89</v>
      </c>
      <c r="B90" s="6" t="n">
        <v>4</v>
      </c>
      <c r="C90" s="6" t="inlineStr">
        <is>
          <t>6</t>
        </is>
      </c>
      <c r="D90" s="6" t="inlineStr">
        <is>
          <t>No. I only want the sheriff to act as levying officer. A registered process server has or will serve my papers.</t>
        </is>
      </c>
      <c r="E90" s="6" t="inlineStr">
        <is>
          <t>SER-001[0].Page4[0].List6[0].Li6[0].levy[1]</t>
        </is>
      </c>
      <c r="F90" s="6" t="inlineStr">
        <is>
          <t>checkbox</t>
        </is>
      </c>
      <c r="G90" s="6" t="inlineStr">
        <is>
          <t>2</t>
        </is>
      </c>
      <c r="H90" s="6" t="inlineStr"/>
      <c r="I90" s="6" t="inlineStr">
        <is>
          <t>63, 532, 72, 541</t>
        </is>
      </c>
      <c r="J90" s="6" t="inlineStr">
        <is>
          <t>derived</t>
        </is>
      </c>
      <c r="K90" s="6" t="inlineStr">
        <is>
          <t>(fixed)</t>
        </is>
      </c>
      <c r="L90" s="6" t="inlineStr">
        <is>
          <t>never</t>
        </is>
      </c>
      <c r="M90" s="6" t="inlineStr"/>
      <c r="N90" s="6" t="inlineStr"/>
      <c r="O90" s="6" t="inlineStr"/>
    </row>
    <row r="91">
      <c r="A91" s="5" t="n">
        <v>90</v>
      </c>
      <c r="B91" s="5" t="n">
        <v>4</v>
      </c>
      <c r="C91" s="5" t="inlineStr">
        <is>
          <t>Signature</t>
        </is>
      </c>
      <c r="D91" s="5" t="inlineStr">
        <is>
          <t>Date:</t>
        </is>
      </c>
      <c r="E91" s="5" t="inlineStr">
        <is>
          <t>SER-001[0].Page4[0].sig[0].SigDate[0]</t>
        </is>
      </c>
      <c r="F91" s="5" t="inlineStr">
        <is>
          <t>text</t>
        </is>
      </c>
      <c r="G91" s="5" t="inlineStr"/>
      <c r="H91" s="5" t="inlineStr"/>
      <c r="I91" s="5" t="inlineStr">
        <is>
          <t>63, 616, 284, 629</t>
        </is>
      </c>
      <c r="J91" s="5" t="inlineStr">
        <is>
          <t>question</t>
        </is>
      </c>
      <c r="K91" s="5" t="inlineStr">
        <is>
          <t>G2</t>
        </is>
      </c>
      <c r="L91" s="5">
        <f> fmtDate(G2)</f>
        <v/>
      </c>
      <c r="M91" s="5" t="inlineStr"/>
      <c r="N91" s="5" t="inlineStr">
        <is>
          <t>SER-001 is a stage-2 form, so it uses G2 (the map previously said G1).</t>
        </is>
      </c>
      <c r="O91" s="5" t="inlineStr"/>
    </row>
    <row r="92">
      <c r="A92" s="5" t="n">
        <v>91</v>
      </c>
      <c r="B92" s="5" t="n">
        <v>4</v>
      </c>
      <c r="C92" s="5" t="inlineStr">
        <is>
          <t>Signature</t>
        </is>
      </c>
      <c r="D92" s="5" t="inlineStr">
        <is>
          <t>Type or print your name</t>
        </is>
      </c>
      <c r="E92" s="5" t="inlineStr">
        <is>
          <t>SER-001[0].Page4[0].sig[0].typeName[0]</t>
        </is>
      </c>
      <c r="F92" s="5" t="inlineStr">
        <is>
          <t>text</t>
        </is>
      </c>
      <c r="G92" s="5" t="inlineStr"/>
      <c r="H92" s="5" t="inlineStr"/>
      <c r="I92" s="5" t="inlineStr">
        <is>
          <t>36, 635, 283, 648</t>
        </is>
      </c>
      <c r="J92" s="5" t="inlineStr">
        <is>
          <t>question</t>
        </is>
      </c>
      <c r="K92" s="5" t="inlineStr">
        <is>
          <t>P1</t>
        </is>
      </c>
      <c r="L92" s="5">
        <f> P1</f>
        <v/>
      </c>
      <c r="M92" s="5" t="inlineStr"/>
      <c r="N92" s="5" t="inlineStr"/>
      <c r="O92" s="5" t="inlineStr"/>
    </row>
    <row r="93">
      <c r="A93" s="7" t="n">
        <v>92</v>
      </c>
      <c r="B93" s="7" t="n">
        <v>5</v>
      </c>
      <c r="C93" s="7" t="inlineStr">
        <is>
          <t>—</t>
        </is>
      </c>
      <c r="D93" s="7" t="inlineStr">
        <is>
          <t>Print</t>
        </is>
      </c>
      <c r="E93" s="7" t="inlineStr">
        <is>
          <t>SER-001[0].#pageSet[0].MPLast[0].Print[0]</t>
        </is>
      </c>
      <c r="F93" s="7" t="inlineStr">
        <is>
          <t>button</t>
        </is>
      </c>
      <c r="G93" s="7" t="inlineStr"/>
      <c r="H93" s="7" t="inlineStr"/>
      <c r="I93" s="7" t="inlineStr">
        <is>
          <t>258, 765, 339, 782</t>
        </is>
      </c>
      <c r="J93" s="7" t="inlineStr">
        <is>
          <t>ignore (UI button)</t>
        </is>
      </c>
      <c r="K93" s="7" t="inlineStr"/>
      <c r="L93" s="7" t="inlineStr"/>
      <c r="M93" s="7" t="inlineStr"/>
      <c r="N93" s="7" t="inlineStr">
        <is>
          <t>Print/Save/Clear button. Do not fill.</t>
        </is>
      </c>
      <c r="O93" s="7" t="inlineStr"/>
    </row>
    <row r="94">
      <c r="A94" s="7" t="n">
        <v>93</v>
      </c>
      <c r="B94" s="7" t="n">
        <v>5</v>
      </c>
      <c r="C94" s="7" t="inlineStr">
        <is>
          <t>—</t>
        </is>
      </c>
      <c r="D94" s="7" t="inlineStr">
        <is>
          <t>Save</t>
        </is>
      </c>
      <c r="E94" s="7" t="inlineStr">
        <is>
          <t>SER-001[0].#pageSet[0].MPLast[0].Save[0]</t>
        </is>
      </c>
      <c r="F94" s="7" t="inlineStr">
        <is>
          <t>button</t>
        </is>
      </c>
      <c r="G94" s="7" t="inlineStr"/>
      <c r="H94" s="7" t="inlineStr"/>
      <c r="I94" s="7" t="inlineStr">
        <is>
          <t>345, 765, 426, 782</t>
        </is>
      </c>
      <c r="J94" s="7" t="inlineStr">
        <is>
          <t>ignore (UI button)</t>
        </is>
      </c>
      <c r="K94" s="7" t="inlineStr"/>
      <c r="L94" s="7" t="inlineStr"/>
      <c r="M94" s="7" t="inlineStr"/>
      <c r="N94" s="7" t="inlineStr">
        <is>
          <t>Print/Save/Clear button. Do not fill.</t>
        </is>
      </c>
      <c r="O94" s="7" t="inlineStr"/>
    </row>
    <row r="95">
      <c r="A95" s="7" t="n">
        <v>94</v>
      </c>
      <c r="B95" s="7" t="n">
        <v>5</v>
      </c>
      <c r="C95" s="7" t="inlineStr">
        <is>
          <t>—</t>
        </is>
      </c>
      <c r="D95" s="7" t="inlineStr">
        <is>
          <t>Clear</t>
        </is>
      </c>
      <c r="E95" s="7" t="inlineStr">
        <is>
          <t>SER-001[0].#pageSet[0].MPLast[0].Reset[0]</t>
        </is>
      </c>
      <c r="F95" s="7" t="inlineStr">
        <is>
          <t>button</t>
        </is>
      </c>
      <c r="G95" s="7" t="inlineStr"/>
      <c r="H95" s="7" t="inlineStr"/>
      <c r="I95" s="7" t="inlineStr">
        <is>
          <t>494, 765, 575, 782</t>
        </is>
      </c>
      <c r="J95" s="7" t="inlineStr">
        <is>
          <t>ignore (UI button)</t>
        </is>
      </c>
      <c r="K95" s="7" t="inlineStr"/>
      <c r="L95" s="7" t="inlineStr"/>
      <c r="M95" s="7" t="inlineStr"/>
      <c r="N95" s="7" t="inlineStr">
        <is>
          <t>Print/Save/Clear button. Do not fill.</t>
        </is>
      </c>
      <c r="O95" s="7" t="inlineStr"/>
    </row>
    <row r="96">
      <c r="A96" s="5" t="n">
        <v>95</v>
      </c>
      <c r="B96" s="5" t="n">
        <v>5</v>
      </c>
      <c r="C96" s="5" t="inlineStr">
        <is>
          <t>Caption</t>
        </is>
      </c>
      <c r="D96" s="5" t="inlineStr">
        <is>
          <t>Court Case Number:</t>
        </is>
      </c>
      <c r="E96" s="5" t="inlineStr">
        <is>
          <t>SER-001[0].Page5[0].PxCaption[0].CaseNumber[0]</t>
        </is>
      </c>
      <c r="F96" s="5" t="inlineStr">
        <is>
          <t>text</t>
        </is>
      </c>
      <c r="G96" s="5" t="inlineStr"/>
      <c r="H96" s="5" t="inlineStr"/>
      <c r="I96" s="5" t="inlineStr">
        <is>
          <t>401, 47, 576, 63</t>
        </is>
      </c>
      <c r="J96" s="5" t="inlineStr">
        <is>
          <t>question</t>
        </is>
      </c>
      <c r="K96" s="5" t="inlineStr">
        <is>
          <t>X0</t>
        </is>
      </c>
      <c r="L96" s="5">
        <f> X0</f>
        <v/>
      </c>
      <c r="M96" s="5" t="inlineStr">
        <is>
          <t>stage 2</t>
        </is>
      </c>
      <c r="N96" s="5" t="inlineStr"/>
      <c r="O96" s="5" t="inlineStr"/>
    </row>
  </sheetData>
  <autoFilter ref="A1:O96"/>
  <dataValidations count="1">
    <dataValidation sqref="J2:J96" showDropDown="0" showInputMessage="0" showErrorMessage="0" allowBlank="1" type="list">
      <formula1>"question,derived,court/clerk,server,ignore (UI button)"</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7" t="n">
        <v>1</v>
      </c>
      <c r="B2" s="7" t="n">
        <v>1</v>
      </c>
      <c r="C2" s="7" t="inlineStr">
        <is>
          <t>—</t>
        </is>
      </c>
      <c r="D2" s="7" t="inlineStr">
        <is>
          <t>Print this form</t>
        </is>
      </c>
      <c r="E2" s="7" t="inlineStr">
        <is>
          <t>DV-200[0].#pageSet[0].PageArea1[0].FooterSub[0].#area[0].Print_bt[0]</t>
        </is>
      </c>
      <c r="F2" s="7" t="inlineStr">
        <is>
          <t>button</t>
        </is>
      </c>
      <c r="G2" s="7" t="inlineStr"/>
      <c r="H2" s="7" t="inlineStr"/>
      <c r="I2" s="7" t="inlineStr">
        <is>
          <t>259, 767, 340, 784</t>
        </is>
      </c>
      <c r="J2" s="7" t="inlineStr">
        <is>
          <t>ignore (UI button)</t>
        </is>
      </c>
      <c r="K2" s="7" t="inlineStr"/>
      <c r="L2" s="7" t="inlineStr"/>
      <c r="M2" s="7" t="inlineStr"/>
      <c r="N2" s="7" t="inlineStr">
        <is>
          <t>Print/Save/Clear button. Do not fill.</t>
        </is>
      </c>
      <c r="O2" s="7" t="inlineStr"/>
    </row>
    <row r="3">
      <c r="A3" s="7" t="n">
        <v>2</v>
      </c>
      <c r="B3" s="7" t="n">
        <v>1</v>
      </c>
      <c r="C3" s="7" t="inlineStr">
        <is>
          <t>—</t>
        </is>
      </c>
      <c r="D3" s="7" t="inlineStr">
        <is>
          <t>Save this form</t>
        </is>
      </c>
      <c r="E3" s="7" t="inlineStr">
        <is>
          <t>DV-200[0].#pageSet[0].PageArea1[0].FooterSub[0].#area[0].Save_bt[0]</t>
        </is>
      </c>
      <c r="F3" s="7" t="inlineStr">
        <is>
          <t>button</t>
        </is>
      </c>
      <c r="G3" s="7" t="inlineStr"/>
      <c r="H3" s="7" t="inlineStr"/>
      <c r="I3" s="7" t="inlineStr">
        <is>
          <t>346, 767, 427, 784</t>
        </is>
      </c>
      <c r="J3" s="7" t="inlineStr">
        <is>
          <t>ignore (UI button)</t>
        </is>
      </c>
      <c r="K3" s="7" t="inlineStr"/>
      <c r="L3" s="7" t="inlineStr"/>
      <c r="M3" s="7" t="inlineStr"/>
      <c r="N3" s="7" t="inlineStr">
        <is>
          <t>Print/Save/Clear button. Do not fill.</t>
        </is>
      </c>
      <c r="O3" s="7" t="inlineStr"/>
    </row>
    <row r="4">
      <c r="A4" s="7" t="n">
        <v>3</v>
      </c>
      <c r="B4" s="7" t="n">
        <v>1</v>
      </c>
      <c r="C4" s="7" t="inlineStr">
        <is>
          <t>—</t>
        </is>
      </c>
      <c r="D4" s="7" t="inlineStr">
        <is>
          <t>Clear this form</t>
        </is>
      </c>
      <c r="E4" s="7" t="inlineStr">
        <is>
          <t>DV-200[0].#pageSet[0].PageArea1[0].FooterSub[0].#area[0].Reset_bt[0]</t>
        </is>
      </c>
      <c r="F4" s="7" t="inlineStr">
        <is>
          <t>button</t>
        </is>
      </c>
      <c r="G4" s="7" t="inlineStr"/>
      <c r="H4" s="7" t="inlineStr"/>
      <c r="I4" s="7" t="inlineStr">
        <is>
          <t>495, 767, 576, 784</t>
        </is>
      </c>
      <c r="J4" s="7" t="inlineStr">
        <is>
          <t>ignore (UI button)</t>
        </is>
      </c>
      <c r="K4" s="7" t="inlineStr"/>
      <c r="L4" s="7" t="inlineStr"/>
      <c r="M4" s="7" t="inlineStr"/>
      <c r="N4" s="7" t="inlineStr">
        <is>
          <t>Print/Save/Clear button. Do not fill.</t>
        </is>
      </c>
      <c r="O4" s="7" t="inlineStr"/>
    </row>
    <row r="5">
      <c r="A5" s="7" t="n">
        <v>4</v>
      </c>
      <c r="B5" s="7" t="n">
        <v>1</v>
      </c>
      <c r="C5" s="7" t="inlineStr">
        <is>
          <t>—</t>
        </is>
      </c>
      <c r="D5" s="7" t="inlineStr">
        <is>
          <t>For your protection and privacy, please press the Clear This Form button after you have printed the form.</t>
        </is>
      </c>
      <c r="E5" s="7" t="inlineStr">
        <is>
          <t>DV-200[0].#pageSet[0].PageArea1[0].FooterSub[0].#area[0].T23[1]</t>
        </is>
      </c>
      <c r="F5" s="7" t="inlineStr">
        <is>
          <t>button</t>
        </is>
      </c>
      <c r="G5" s="7" t="inlineStr"/>
      <c r="H5" s="7" t="inlineStr"/>
      <c r="I5" s="7" t="inlineStr">
        <is>
          <t>36, 761, 248, 784</t>
        </is>
      </c>
      <c r="J5" s="7" t="inlineStr">
        <is>
          <t>ignore (UI button)</t>
        </is>
      </c>
      <c r="K5" s="7" t="inlineStr"/>
      <c r="L5" s="7" t="inlineStr"/>
      <c r="M5" s="7" t="inlineStr"/>
      <c r="N5" s="7" t="inlineStr">
        <is>
          <t>Print/Save/Clear button. Do not fill.</t>
        </is>
      </c>
      <c r="O5" s="7" t="inlineStr"/>
    </row>
    <row r="6">
      <c r="A6" s="6" t="n">
        <v>5</v>
      </c>
      <c r="B6" s="6" t="n">
        <v>1</v>
      </c>
      <c r="C6" s="6" t="inlineStr">
        <is>
          <t>Caption</t>
        </is>
      </c>
      <c r="D6" s="6" t="inlineStr">
        <is>
          <t>Superior Court of California, County of</t>
        </is>
      </c>
      <c r="E6" s="6" t="inlineStr">
        <is>
          <t>DV-200[0].Page1[0].Stamp_court_case[0].CourtInfo_ft[0]</t>
        </is>
      </c>
      <c r="F6" s="6" t="inlineStr">
        <is>
          <t>text</t>
        </is>
      </c>
      <c r="G6" s="6" t="inlineStr"/>
      <c r="H6" s="6" t="inlineStr"/>
      <c r="I6" s="6" t="inlineStr">
        <is>
          <t>398, 208, 573, 275</t>
        </is>
      </c>
      <c r="J6" s="6" t="inlineStr">
        <is>
          <t>derived</t>
        </is>
      </c>
      <c r="K6" s="6" t="inlineStr">
        <is>
          <t>S1,S2</t>
        </is>
      </c>
      <c r="L6" s="6">
        <f> S1.countyName + "\n" + courthouse(S1,S2).streetAddress + ", " + courthouse(S1,S2).cityZip</f>
        <v/>
      </c>
      <c r="M6" s="6" t="inlineStr"/>
      <c r="N6" s="6" t="inlineStr"/>
      <c r="O6" s="6" t="inlineStr"/>
    </row>
    <row r="7">
      <c r="A7" s="5" t="n">
        <v>6</v>
      </c>
      <c r="B7" s="5" t="n">
        <v>1</v>
      </c>
      <c r="C7" s="5" t="inlineStr">
        <is>
          <t>Caption</t>
        </is>
      </c>
      <c r="D7" s="5" t="inlineStr">
        <is>
          <t>Case Number:</t>
        </is>
      </c>
      <c r="E7" s="5" t="inlineStr">
        <is>
          <t>DV-200[0].Page1[0].Stamp_court_case[0].CaseNumber_ft[0]</t>
        </is>
      </c>
      <c r="F7" s="5" t="inlineStr">
        <is>
          <t>text</t>
        </is>
      </c>
      <c r="G7" s="5" t="inlineStr"/>
      <c r="H7" s="5" t="inlineStr"/>
      <c r="I7" s="5" t="inlineStr">
        <is>
          <t>398, 304, 573, 321</t>
        </is>
      </c>
      <c r="J7" s="5" t="inlineStr">
        <is>
          <t>question</t>
        </is>
      </c>
      <c r="K7" s="5" t="inlineStr">
        <is>
          <t>X0</t>
        </is>
      </c>
      <c r="L7" s="5">
        <f> X0</f>
        <v/>
      </c>
      <c r="M7" s="5" t="inlineStr"/>
      <c r="N7" s="5" t="inlineStr"/>
      <c r="O7" s="5" t="inlineStr"/>
    </row>
    <row r="8">
      <c r="A8" s="5" t="n">
        <v>7</v>
      </c>
      <c r="B8" s="5" t="n">
        <v>1</v>
      </c>
      <c r="C8" s="5" t="inlineStr">
        <is>
          <t>1</t>
        </is>
      </c>
      <c r="D8" s="5" t="inlineStr">
        <is>
          <t>Name of Party Asking for Protection:</t>
        </is>
      </c>
      <c r="E8" s="5" t="inlineStr">
        <is>
          <t>DV-200[0].Page1[0].List1[0].Li1[0].TextField2[0]</t>
        </is>
      </c>
      <c r="F8" s="5" t="inlineStr">
        <is>
          <t>text</t>
        </is>
      </c>
      <c r="G8" s="5" t="inlineStr"/>
      <c r="H8" s="5" t="inlineStr"/>
      <c r="I8" s="5" t="inlineStr">
        <is>
          <t>63, 86, 385, 100</t>
        </is>
      </c>
      <c r="J8" s="5" t="inlineStr">
        <is>
          <t>question</t>
        </is>
      </c>
      <c r="K8" s="5" t="inlineStr">
        <is>
          <t>P1</t>
        </is>
      </c>
      <c r="L8" s="5">
        <f> P1</f>
        <v/>
      </c>
      <c r="M8" s="5" t="inlineStr"/>
      <c r="N8" s="5" t="inlineStr"/>
      <c r="O8" s="5" t="inlineStr"/>
    </row>
    <row r="9">
      <c r="A9" s="5" t="n">
        <v>8</v>
      </c>
      <c r="B9" s="5" t="n">
        <v>1</v>
      </c>
      <c r="C9" s="5" t="inlineStr">
        <is>
          <t>2</t>
        </is>
      </c>
      <c r="D9" s="5" t="inlineStr">
        <is>
          <t>Name of Party to Be Restrained:</t>
        </is>
      </c>
      <c r="E9" s="5" t="inlineStr">
        <is>
          <t>DV-200[0].Page1[0].List2[0].Li1[0].TextField2[0]</t>
        </is>
      </c>
      <c r="F9" s="5" t="inlineStr">
        <is>
          <t>text</t>
        </is>
      </c>
      <c r="G9" s="5" t="inlineStr"/>
      <c r="H9" s="5" t="inlineStr"/>
      <c r="I9" s="5" t="inlineStr">
        <is>
          <t>63, 118, 385, 131</t>
        </is>
      </c>
      <c r="J9" s="5" t="inlineStr">
        <is>
          <t>question</t>
        </is>
      </c>
      <c r="K9" s="5" t="inlineStr">
        <is>
          <t>R1</t>
        </is>
      </c>
      <c r="L9" s="5">
        <f> R1</f>
        <v/>
      </c>
      <c r="M9" s="5" t="inlineStr"/>
      <c r="N9" s="5" t="inlineStr"/>
      <c r="O9" s="5" t="inlineStr"/>
    </row>
    <row r="10">
      <c r="A10" s="6" t="n">
        <v>9</v>
      </c>
      <c r="B10" s="6" t="n">
        <v>1</v>
      </c>
      <c r="C10" s="6" t="inlineStr">
        <is>
          <t>4a</t>
        </is>
      </c>
      <c r="D10" s="6" t="inlineStr">
        <is>
          <t>DV-109 with DV-100 and a blank DV-120 (Notice of Court  Hearing; Request for Domestic Violence Restraining Order; blank Response to Request for Domestic Violence Restraining Order)</t>
        </is>
      </c>
      <c r="E10" s="6" t="inlineStr">
        <is>
          <t>DV-200[0].Page1[0].List4[0].Li1[0].item4a_cb[0]</t>
        </is>
      </c>
      <c r="F10" s="6" t="inlineStr">
        <is>
          <t>checkbox</t>
        </is>
      </c>
      <c r="G10" s="6" t="inlineStr">
        <is>
          <t>1</t>
        </is>
      </c>
      <c r="H10" s="6" t="inlineStr"/>
      <c r="I10" s="6" t="inlineStr">
        <is>
          <t>78, 285, 87, 294</t>
        </is>
      </c>
      <c r="J10" s="6" t="inlineStr">
        <is>
          <t>derived</t>
        </is>
      </c>
      <c r="K10" s="6" t="inlineStr">
        <is>
          <t>(packet)</t>
        </is>
      </c>
      <c r="L10" s="6" t="inlineStr">
        <is>
          <t>check (always in the stage-2 service set)</t>
        </is>
      </c>
      <c r="M10" s="6" t="inlineStr"/>
      <c r="N10" s="6" t="inlineStr">
        <is>
          <t>Label covers DV-109, DV-100 and a blank DV-120.</t>
        </is>
      </c>
      <c r="O10" s="6" t="inlineStr"/>
    </row>
    <row r="11">
      <c r="A11" s="6" t="n">
        <v>10</v>
      </c>
      <c r="B11" s="6" t="n">
        <v>1</v>
      </c>
      <c r="C11" s="6" t="inlineStr">
        <is>
          <t>4b</t>
        </is>
      </c>
      <c r="D11" s="6" t="inlineStr">
        <is>
          <t>DV-110 (Temporary Restraining Order)</t>
        </is>
      </c>
      <c r="E11" s="6" t="inlineStr">
        <is>
          <t>DV-200[0].Page1[0].List4[0].Li2[0].item4b_cb[0]</t>
        </is>
      </c>
      <c r="F11" s="6" t="inlineStr">
        <is>
          <t>checkbox</t>
        </is>
      </c>
      <c r="G11" s="6" t="inlineStr">
        <is>
          <t>1</t>
        </is>
      </c>
      <c r="H11" s="6" t="inlineStr"/>
      <c r="I11" s="6" t="inlineStr">
        <is>
          <t>78, 327, 87, 336</t>
        </is>
      </c>
      <c r="J11" s="6" t="inlineStr">
        <is>
          <t>derived</t>
        </is>
      </c>
      <c r="K11" s="6" t="inlineStr">
        <is>
          <t>X7</t>
        </is>
      </c>
      <c r="L11" s="6" t="inlineStr">
        <is>
          <t>check if X7 in ("all","partly")</t>
        </is>
      </c>
      <c r="M11" s="6" t="inlineStr"/>
      <c r="N11" s="6" t="inlineStr">
        <is>
          <t>New X7: did the judge grant the temporary order?</t>
        </is>
      </c>
      <c r="O11" s="6" t="inlineStr"/>
    </row>
    <row r="12">
      <c r="A12" s="6" t="n">
        <v>11</v>
      </c>
      <c r="B12" s="6" t="n">
        <v>1</v>
      </c>
      <c r="C12" s="6" t="inlineStr">
        <is>
          <t>4c</t>
        </is>
      </c>
      <c r="D12" s="6" t="inlineStr">
        <is>
          <t>DV-105 and DV-140 (Request for Child Custody and Visitation Orders, Child Custody and Visitation Order)</t>
        </is>
      </c>
      <c r="E12" s="6" t="inlineStr">
        <is>
          <t>DV-200[0].Page1[0].List4[0].Li3[0].item4c_cb[0]</t>
        </is>
      </c>
      <c r="F12" s="6" t="inlineStr">
        <is>
          <t>checkbox</t>
        </is>
      </c>
      <c r="G12" s="6" t="inlineStr">
        <is>
          <t>1</t>
        </is>
      </c>
      <c r="H12" s="6" t="inlineStr"/>
      <c r="I12" s="6" t="inlineStr">
        <is>
          <t>78, 341, 87, 350</t>
        </is>
      </c>
      <c r="J12" s="6" t="inlineStr">
        <is>
          <t>derived</t>
        </is>
      </c>
      <c r="K12" s="6" t="inlineStr">
        <is>
          <t>O15</t>
        </is>
      </c>
      <c r="L12" s="6" t="inlineStr">
        <is>
          <t>check if O15</t>
        </is>
      </c>
      <c r="M12" s="6" t="inlineStr"/>
      <c r="N12" s="6" t="inlineStr"/>
      <c r="O12" s="6" t="inlineStr"/>
    </row>
    <row r="13">
      <c r="A13" s="6" t="n">
        <v>12</v>
      </c>
      <c r="B13" s="6" t="n">
        <v>1</v>
      </c>
      <c r="C13" s="6" t="inlineStr">
        <is>
          <t>4d</t>
        </is>
      </c>
      <c r="D13" s="6" t="inlineStr">
        <is>
          <t>FL-150 with a blank FL-150 (Income and Expense Declaration)</t>
        </is>
      </c>
      <c r="E13" s="6" t="inlineStr">
        <is>
          <t>DV-200[0].Page1[0].List4[0].Li4[0].item4d_cb[0]</t>
        </is>
      </c>
      <c r="F13" s="6" t="inlineStr">
        <is>
          <t>checkbox</t>
        </is>
      </c>
      <c r="G13" s="6" t="inlineStr">
        <is>
          <t>1</t>
        </is>
      </c>
      <c r="H13" s="6" t="inlineStr"/>
      <c r="I13" s="6" t="inlineStr">
        <is>
          <t>78, 355, 87, 364</t>
        </is>
      </c>
      <c r="J13" s="6" t="inlineStr">
        <is>
          <t>derived</t>
        </is>
      </c>
      <c r="K13" s="6" t="inlineStr">
        <is>
          <t>(packet)</t>
        </is>
      </c>
      <c r="L13" s="6" t="inlineStr">
        <is>
          <t>check if FL-150 was filed</t>
        </is>
      </c>
      <c r="M13" s="6" t="inlineStr"/>
      <c r="N13" s="6" t="inlineStr"/>
      <c r="O13" s="6" t="inlineStr"/>
    </row>
    <row r="14">
      <c r="A14" s="6" t="n">
        <v>13</v>
      </c>
      <c r="B14" s="6" t="n">
        <v>1</v>
      </c>
      <c r="C14" s="6" t="inlineStr">
        <is>
          <t>4e</t>
        </is>
      </c>
      <c r="D14" s="6" t="inlineStr">
        <is>
          <t>FL-155 with a blank FL-155 (Financial Statement (Simplified))</t>
        </is>
      </c>
      <c r="E14" s="6" t="inlineStr">
        <is>
          <t>DV-200[0].Page1[0].List4[0].Li5[0].item4e_cb[0]</t>
        </is>
      </c>
      <c r="F14" s="6" t="inlineStr">
        <is>
          <t>checkbox</t>
        </is>
      </c>
      <c r="G14" s="6" t="inlineStr">
        <is>
          <t>1</t>
        </is>
      </c>
      <c r="H14" s="6" t="inlineStr"/>
      <c r="I14" s="6" t="inlineStr">
        <is>
          <t>78, 369, 87, 378</t>
        </is>
      </c>
      <c r="J14" s="6" t="inlineStr">
        <is>
          <t>derived</t>
        </is>
      </c>
      <c r="K14" s="6" t="inlineStr">
        <is>
          <t>(packet)</t>
        </is>
      </c>
      <c r="L14" s="6" t="inlineStr">
        <is>
          <t>check if FL-155 was filed</t>
        </is>
      </c>
      <c r="M14" s="6" t="inlineStr"/>
      <c r="N14" s="6" t="inlineStr"/>
      <c r="O14" s="6" t="inlineStr"/>
    </row>
    <row r="15">
      <c r="A15" s="8" t="n">
        <v>14</v>
      </c>
      <c r="B15" s="8" t="n">
        <v>1</v>
      </c>
      <c r="C15" s="8" t="inlineStr">
        <is>
          <t>4f</t>
        </is>
      </c>
      <c r="D15" s="8" t="inlineStr">
        <is>
          <t>DV-115 (Request to Continue Hearing)</t>
        </is>
      </c>
      <c r="E15" s="8" t="inlineStr">
        <is>
          <t>DV-200[0].Page1[0].List4[0].Li6[0].item4f_cb[0]</t>
        </is>
      </c>
      <c r="F15" s="8" t="inlineStr">
        <is>
          <t>checkbox</t>
        </is>
      </c>
      <c r="G15" s="8" t="inlineStr">
        <is>
          <t>1</t>
        </is>
      </c>
      <c r="H15" s="8" t="inlineStr"/>
      <c r="I15" s="8" t="inlineStr">
        <is>
          <t>78, 383, 87, 392</t>
        </is>
      </c>
      <c r="J15" s="8" t="inlineStr">
        <is>
          <t>court/clerk</t>
        </is>
      </c>
      <c r="K15" s="8" t="inlineStr"/>
      <c r="L15" s="8" t="inlineStr"/>
      <c r="M15" s="8" t="inlineStr"/>
      <c r="N15" s="8" t="inlineStr">
        <is>
          <t>DV-115 is excluded from the wizard: leave blank.</t>
        </is>
      </c>
      <c r="O15" s="8" t="inlineStr"/>
    </row>
    <row r="16">
      <c r="A16" s="8" t="n">
        <v>15</v>
      </c>
      <c r="B16" s="8" t="n">
        <v>1</v>
      </c>
      <c r="C16" s="8" t="inlineStr">
        <is>
          <t>4g</t>
        </is>
      </c>
      <c r="D16" s="8" t="inlineStr">
        <is>
          <t>DV-116 (Order on Request to Continue Hearing)</t>
        </is>
      </c>
      <c r="E16" s="8" t="inlineStr">
        <is>
          <t>DV-200[0].Page1[0].List4[0].Li7[0].item4g_cb[0]</t>
        </is>
      </c>
      <c r="F16" s="8" t="inlineStr">
        <is>
          <t>checkbox</t>
        </is>
      </c>
      <c r="G16" s="8" t="inlineStr">
        <is>
          <t>1</t>
        </is>
      </c>
      <c r="H16" s="8" t="inlineStr"/>
      <c r="I16" s="8" t="inlineStr">
        <is>
          <t>78, 397, 87, 406</t>
        </is>
      </c>
      <c r="J16" s="8" t="inlineStr">
        <is>
          <t>court/clerk</t>
        </is>
      </c>
      <c r="K16" s="8" t="inlineStr"/>
      <c r="L16" s="8" t="inlineStr"/>
      <c r="M16" s="8" t="inlineStr"/>
      <c r="N16" s="8" t="inlineStr">
        <is>
          <t>DV-116 is excluded from the wizard: leave blank.</t>
        </is>
      </c>
      <c r="O16" s="8" t="inlineStr"/>
    </row>
    <row r="17">
      <c r="A17" s="6" t="n">
        <v>16</v>
      </c>
      <c r="B17" s="6" t="n">
        <v>1</v>
      </c>
      <c r="C17" s="6" t="inlineStr">
        <is>
          <t>4h</t>
        </is>
      </c>
      <c r="D17" s="6" t="inlineStr">
        <is>
          <t>DV-130 (Restraining Order After Hearing)</t>
        </is>
      </c>
      <c r="E17" s="6" t="inlineStr">
        <is>
          <t>DV-200[0].Page1[0].List4[0].Li8[0].item4h_cb[0]</t>
        </is>
      </c>
      <c r="F17" s="6" t="inlineStr">
        <is>
          <t>checkbox</t>
        </is>
      </c>
      <c r="G17" s="6" t="inlineStr">
        <is>
          <t>1</t>
        </is>
      </c>
      <c r="H17" s="6" t="inlineStr"/>
      <c r="I17" s="6" t="inlineStr">
        <is>
          <t>78, 411, 87, 420</t>
        </is>
      </c>
      <c r="J17" s="6" t="inlineStr">
        <is>
          <t>derived</t>
        </is>
      </c>
      <c r="K17" s="6" t="inlineStr">
        <is>
          <t>(packet)</t>
        </is>
      </c>
      <c r="L17" s="6" t="inlineStr">
        <is>
          <t>check on the after-hearing copy only (serving DV-130)</t>
        </is>
      </c>
      <c r="M17" s="6" t="inlineStr"/>
      <c r="N17" s="6" t="inlineStr">
        <is>
          <t>The wizard makes a second DV-200 when DV-130 must be served in person.</t>
        </is>
      </c>
      <c r="O17" s="6" t="inlineStr"/>
    </row>
    <row r="18">
      <c r="A18" s="6" t="n">
        <v>17</v>
      </c>
      <c r="B18" s="6" t="n">
        <v>1</v>
      </c>
      <c r="C18" s="6" t="inlineStr">
        <is>
          <t>4i</t>
        </is>
      </c>
      <c r="D18" s="6" t="inlineStr">
        <is>
          <t>Other (specify):</t>
        </is>
      </c>
      <c r="E18" s="6" t="inlineStr">
        <is>
          <t>DV-200[0].Page1[0].List4[0].Li9[0].item4h_cb[0]</t>
        </is>
      </c>
      <c r="F18" s="6" t="inlineStr">
        <is>
          <t>checkbox</t>
        </is>
      </c>
      <c r="G18" s="6" t="inlineStr">
        <is>
          <t>1</t>
        </is>
      </c>
      <c r="H18" s="6" t="inlineStr"/>
      <c r="I18" s="6" t="inlineStr">
        <is>
          <t>78, 425, 87, 434</t>
        </is>
      </c>
      <c r="J18" s="6" t="inlineStr">
        <is>
          <t>derived</t>
        </is>
      </c>
      <c r="K18" s="6" t="inlineStr">
        <is>
          <t>(packet)</t>
        </is>
      </c>
      <c r="L18" s="6" t="inlineStr">
        <is>
          <t>check if the "other" list below is not empty</t>
        </is>
      </c>
      <c r="M18" s="6" t="inlineStr"/>
      <c r="N18" s="6" t="inlineStr"/>
      <c r="O18" s="6" t="inlineStr"/>
    </row>
    <row r="19">
      <c r="A19" s="6" t="n">
        <v>18</v>
      </c>
      <c r="B19" s="6" t="n">
        <v>1</v>
      </c>
      <c r="C19" s="6" t="inlineStr">
        <is>
          <t>4i</t>
        </is>
      </c>
      <c r="D19" s="6" t="inlineStr">
        <is>
          <t>OtherSpecify_tf</t>
        </is>
      </c>
      <c r="E19" s="6" t="inlineStr">
        <is>
          <t>DV-200[0].Page1[0].List4[0].Li9[0].OtherSpecify_tf[0]</t>
        </is>
      </c>
      <c r="F19" s="6" t="inlineStr">
        <is>
          <t>text</t>
        </is>
      </c>
      <c r="G19" s="6" t="inlineStr"/>
      <c r="H19" s="6" t="inlineStr"/>
      <c r="I19" s="6" t="inlineStr">
        <is>
          <t>165, 424, 576, 435</t>
        </is>
      </c>
      <c r="J19" s="6" t="inlineStr">
        <is>
          <t>derived</t>
        </is>
      </c>
      <c r="K19" s="6" t="inlineStr">
        <is>
          <t>K5,X2</t>
        </is>
      </c>
      <c r="L19" s="6">
        <f> join(["DV-120-INFO (blank)", "DV-250 (blank)"] + (K5=="Y" ? ["DV-108","DV-145"] : []) + (X2 in ("granted","partly") ? ["DV-165","DV-170"] : []), ", ")</f>
        <v/>
      </c>
      <c r="M19" s="6" t="inlineStr"/>
      <c r="N19" s="6" t="inlineStr">
        <is>
          <t>Field name is a leftover ("OtherSpecify_tf"). Shares the name "item4h_cb" with the box above but sits under Li9.</t>
        </is>
      </c>
      <c r="O19" s="6" t="inlineStr"/>
    </row>
    <row r="20">
      <c r="A20" s="9" t="n">
        <v>19</v>
      </c>
      <c r="B20" s="9" t="n">
        <v>1</v>
      </c>
      <c r="C20" s="9" t="inlineStr">
        <is>
          <t>5 (court)</t>
        </is>
      </c>
      <c r="D20" s="9" t="inlineStr">
        <is>
          <t>Date:</t>
        </is>
      </c>
      <c r="E20" s="9" t="inlineStr">
        <is>
          <t>DV-200[0].Page1[0].List5[0].Li1[0].date[0]</t>
        </is>
      </c>
      <c r="F20" s="9" t="inlineStr">
        <is>
          <t>text</t>
        </is>
      </c>
      <c r="G20" s="9" t="inlineStr"/>
      <c r="H20" s="9" t="inlineStr"/>
      <c r="I20" s="9" t="inlineStr">
        <is>
          <t>106, 465, 233, 476</t>
        </is>
      </c>
      <c r="J20" s="9" t="inlineStr">
        <is>
          <t>server</t>
        </is>
      </c>
      <c r="K20" s="9" t="inlineStr"/>
      <c r="L20" s="9" t="inlineStr"/>
      <c r="M20" s="9" t="inlineStr"/>
      <c r="N20" s="9" t="inlineStr">
        <is>
          <t>Completed by the server.</t>
        </is>
      </c>
      <c r="O20" s="9" t="inlineStr"/>
    </row>
    <row r="21">
      <c r="A21" s="9" t="n">
        <v>20</v>
      </c>
      <c r="B21" s="9" t="n">
        <v>1</v>
      </c>
      <c r="C21" s="9" t="inlineStr">
        <is>
          <t>5 (court)</t>
        </is>
      </c>
      <c r="D21" s="9" t="inlineStr">
        <is>
          <t>Time:</t>
        </is>
      </c>
      <c r="E21" s="9" t="inlineStr">
        <is>
          <t>DV-200[0].Page1[0].List5[0].Li1[0].time[0]</t>
        </is>
      </c>
      <c r="F21" s="9" t="inlineStr">
        <is>
          <t>text</t>
        </is>
      </c>
      <c r="G21" s="9" t="inlineStr"/>
      <c r="H21" s="9" t="inlineStr"/>
      <c r="I21" s="9" t="inlineStr">
        <is>
          <t>268, 465, 353, 476</t>
        </is>
      </c>
      <c r="J21" s="9" t="inlineStr">
        <is>
          <t>server</t>
        </is>
      </c>
      <c r="K21" s="9" t="inlineStr"/>
      <c r="L21" s="9" t="inlineStr"/>
      <c r="M21" s="9" t="inlineStr"/>
      <c r="N21" s="9" t="inlineStr">
        <is>
          <t>Completed by the server.</t>
        </is>
      </c>
      <c r="O21" s="9" t="inlineStr"/>
    </row>
    <row r="22">
      <c r="A22" s="9" t="n">
        <v>21</v>
      </c>
      <c r="B22" s="9" t="n">
        <v>1</v>
      </c>
      <c r="C22" s="9" t="inlineStr">
        <is>
          <t>5 (court)</t>
        </is>
      </c>
      <c r="D22" s="9" t="inlineStr">
        <is>
          <t>p.m.</t>
        </is>
      </c>
      <c r="E22" s="9" t="inlineStr">
        <is>
          <t>DV-200[0].Page1[0].List5[0].Li1[0].TeimDef_cb[0]</t>
        </is>
      </c>
      <c r="F22" s="9" t="inlineStr">
        <is>
          <t>checkbox</t>
        </is>
      </c>
      <c r="G22" s="9" t="inlineStr">
        <is>
          <t>2</t>
        </is>
      </c>
      <c r="H22" s="9" t="inlineStr"/>
      <c r="I22" s="9" t="inlineStr">
        <is>
          <t>405, 466, 414, 475</t>
        </is>
      </c>
      <c r="J22" s="9" t="inlineStr">
        <is>
          <t>server</t>
        </is>
      </c>
      <c r="K22" s="9" t="inlineStr"/>
      <c r="L22" s="9" t="inlineStr"/>
      <c r="M22" s="9" t="inlineStr"/>
      <c r="N22" s="9" t="inlineStr">
        <is>
          <t>Completed by the server.</t>
        </is>
      </c>
      <c r="O22" s="9" t="inlineStr"/>
    </row>
    <row r="23">
      <c r="A23" s="9" t="n">
        <v>22</v>
      </c>
      <c r="B23" s="9" t="n">
        <v>1</v>
      </c>
      <c r="C23" s="9" t="inlineStr">
        <is>
          <t>5 (court)</t>
        </is>
      </c>
      <c r="D23" s="9" t="inlineStr">
        <is>
          <t>a.m.</t>
        </is>
      </c>
      <c r="E23" s="9" t="inlineStr">
        <is>
          <t>DV-200[0].Page1[0].List5[0].Li1[0].TeimDef_cb[1]</t>
        </is>
      </c>
      <c r="F23" s="9" t="inlineStr">
        <is>
          <t>checkbox</t>
        </is>
      </c>
      <c r="G23" s="9" t="inlineStr">
        <is>
          <t>1</t>
        </is>
      </c>
      <c r="H23" s="9" t="inlineStr"/>
      <c r="I23" s="9" t="inlineStr">
        <is>
          <t>363, 466, 372, 475</t>
        </is>
      </c>
      <c r="J23" s="9" t="inlineStr">
        <is>
          <t>server</t>
        </is>
      </c>
      <c r="K23" s="9" t="inlineStr"/>
      <c r="L23" s="9" t="inlineStr"/>
      <c r="M23" s="9" t="inlineStr"/>
      <c r="N23" s="9" t="inlineStr">
        <is>
          <t>Completed by the server.</t>
        </is>
      </c>
      <c r="O23" s="9" t="inlineStr"/>
    </row>
    <row r="24">
      <c r="A24" s="9" t="n">
        <v>23</v>
      </c>
      <c r="B24" s="9" t="n">
        <v>1</v>
      </c>
      <c r="C24" s="9" t="inlineStr">
        <is>
          <t>5 (court)</t>
        </is>
      </c>
      <c r="D24" s="9" t="inlineStr">
        <is>
          <t>At this address:</t>
        </is>
      </c>
      <c r="E24" s="9" t="inlineStr">
        <is>
          <t>DV-200[0].Page1[0].List5[0].Li2[0].T1611[0]</t>
        </is>
      </c>
      <c r="F24" s="9" t="inlineStr">
        <is>
          <t>text</t>
        </is>
      </c>
      <c r="G24" s="9" t="inlineStr"/>
      <c r="H24" s="9" t="inlineStr"/>
      <c r="I24" s="9" t="inlineStr">
        <is>
          <t>147, 481, 575, 492</t>
        </is>
      </c>
      <c r="J24" s="9" t="inlineStr">
        <is>
          <t>server</t>
        </is>
      </c>
      <c r="K24" s="9" t="inlineStr"/>
      <c r="L24" s="9" t="inlineStr"/>
      <c r="M24" s="9" t="inlineStr"/>
      <c r="N24" s="9" t="inlineStr">
        <is>
          <t>Completed by the server.</t>
        </is>
      </c>
      <c r="O24" s="9" t="inlineStr"/>
    </row>
    <row r="25">
      <c r="A25" s="9" t="n">
        <v>24</v>
      </c>
      <c r="B25" s="9" t="n">
        <v>1</v>
      </c>
      <c r="C25" s="9" t="inlineStr">
        <is>
          <t>5 (court)</t>
        </is>
      </c>
      <c r="D25" s="9" t="inlineStr">
        <is>
          <t>City:</t>
        </is>
      </c>
      <c r="E25" s="9" t="inlineStr">
        <is>
          <t>DV-200[0].Page1[0].List5[0].Li2[0].T1981[0]</t>
        </is>
      </c>
      <c r="F25" s="9" t="inlineStr">
        <is>
          <t>text</t>
        </is>
      </c>
      <c r="G25" s="9" t="inlineStr"/>
      <c r="H25" s="9" t="inlineStr"/>
      <c r="I25" s="9" t="inlineStr">
        <is>
          <t>102, 497, 361, 508</t>
        </is>
      </c>
      <c r="J25" s="9" t="inlineStr">
        <is>
          <t>server</t>
        </is>
      </c>
      <c r="K25" s="9" t="inlineStr"/>
      <c r="L25" s="9" t="inlineStr"/>
      <c r="M25" s="9" t="inlineStr"/>
      <c r="N25" s="9" t="inlineStr">
        <is>
          <t>Completed by the server.</t>
        </is>
      </c>
      <c r="O25" s="9" t="inlineStr"/>
    </row>
    <row r="26">
      <c r="A26" s="9" t="n">
        <v>25</v>
      </c>
      <c r="B26" s="9" t="n">
        <v>1</v>
      </c>
      <c r="C26" s="9" t="inlineStr">
        <is>
          <t>5 (court)</t>
        </is>
      </c>
      <c r="D26" s="9" t="inlineStr">
        <is>
          <t>State:</t>
        </is>
      </c>
      <c r="E26" s="9" t="inlineStr">
        <is>
          <t>DV-200[0].Page1[0].List5[0].Li2[0].T1982[0]</t>
        </is>
      </c>
      <c r="F26" s="9" t="inlineStr">
        <is>
          <t>text</t>
        </is>
      </c>
      <c r="G26" s="9" t="inlineStr"/>
      <c r="H26" s="9" t="inlineStr"/>
      <c r="I26" s="9" t="inlineStr">
        <is>
          <t>397, 497, 462, 508</t>
        </is>
      </c>
      <c r="J26" s="9" t="inlineStr">
        <is>
          <t>server</t>
        </is>
      </c>
      <c r="K26" s="9" t="inlineStr"/>
      <c r="L26" s="9" t="inlineStr"/>
      <c r="M26" s="9" t="inlineStr"/>
      <c r="N26" s="9" t="inlineStr">
        <is>
          <t>Completed by the server.</t>
        </is>
      </c>
      <c r="O26" s="9" t="inlineStr"/>
    </row>
    <row r="27">
      <c r="A27" s="9" t="n">
        <v>26</v>
      </c>
      <c r="B27" s="9" t="n">
        <v>1</v>
      </c>
      <c r="C27" s="9" t="inlineStr">
        <is>
          <t>5 (court)</t>
        </is>
      </c>
      <c r="D27" s="9" t="inlineStr">
        <is>
          <t>Zip:</t>
        </is>
      </c>
      <c r="E27" s="9" t="inlineStr">
        <is>
          <t>DV-200[0].Page1[0].List5[0].Li2[0].T1983[0]</t>
        </is>
      </c>
      <c r="F27" s="9" t="inlineStr">
        <is>
          <t>text</t>
        </is>
      </c>
      <c r="G27" s="9" t="inlineStr"/>
      <c r="H27" s="9" t="inlineStr"/>
      <c r="I27" s="9" t="inlineStr">
        <is>
          <t>492, 497, 575, 508</t>
        </is>
      </c>
      <c r="J27" s="9" t="inlineStr">
        <is>
          <t>server</t>
        </is>
      </c>
      <c r="K27" s="9" t="inlineStr"/>
      <c r="L27" s="9" t="inlineStr"/>
      <c r="M27" s="9" t="inlineStr"/>
      <c r="N27" s="9" t="inlineStr">
        <is>
          <t>Completed by the server.</t>
        </is>
      </c>
      <c r="O27" s="9" t="inlineStr"/>
    </row>
    <row r="28">
      <c r="A28" s="9" t="n">
        <v>27</v>
      </c>
      <c r="B28" s="9" t="n">
        <v>1</v>
      </c>
      <c r="C28" s="9" t="inlineStr">
        <is>
          <t>6 (court)</t>
        </is>
      </c>
      <c r="D28" s="9" t="inlineStr">
        <is>
          <t>Name:</t>
        </is>
      </c>
      <c r="E28" s="9" t="inlineStr">
        <is>
          <t>DV-200[0].Page1[0].List6[0].Li1[0].T198[0]</t>
        </is>
      </c>
      <c r="F28" s="9" t="inlineStr">
        <is>
          <t>text</t>
        </is>
      </c>
      <c r="G28" s="9" t="inlineStr"/>
      <c r="H28" s="9" t="inlineStr"/>
      <c r="I28" s="9" t="inlineStr">
        <is>
          <t>94, 537, 575, 548</t>
        </is>
      </c>
      <c r="J28" s="9" t="inlineStr">
        <is>
          <t>server</t>
        </is>
      </c>
      <c r="K28" s="9" t="inlineStr"/>
      <c r="L28" s="9" t="inlineStr"/>
      <c r="M28" s="9" t="inlineStr"/>
      <c r="N28" s="9" t="inlineStr">
        <is>
          <t>Completed by the server.</t>
        </is>
      </c>
      <c r="O28" s="9" t="inlineStr"/>
    </row>
    <row r="29">
      <c r="A29" s="9" t="n">
        <v>28</v>
      </c>
      <c r="B29" s="9" t="n">
        <v>1</v>
      </c>
      <c r="C29" s="9" t="inlineStr">
        <is>
          <t>6 (court)</t>
        </is>
      </c>
      <c r="D29" s="9" t="inlineStr">
        <is>
          <t>Address:</t>
        </is>
      </c>
      <c r="E29" s="9" t="inlineStr">
        <is>
          <t>DV-200[0].Page1[0].List6[0].Li1[0].T199[0]</t>
        </is>
      </c>
      <c r="F29" s="9" t="inlineStr">
        <is>
          <t>text</t>
        </is>
      </c>
      <c r="G29" s="9" t="inlineStr"/>
      <c r="H29" s="9" t="inlineStr"/>
      <c r="I29" s="9" t="inlineStr">
        <is>
          <t>107, 550, 575, 561</t>
        </is>
      </c>
      <c r="J29" s="9" t="inlineStr">
        <is>
          <t>server</t>
        </is>
      </c>
      <c r="K29" s="9" t="inlineStr"/>
      <c r="L29" s="9" t="inlineStr"/>
      <c r="M29" s="9" t="inlineStr"/>
      <c r="N29" s="9" t="inlineStr">
        <is>
          <t>Completed by the server.</t>
        </is>
      </c>
      <c r="O29" s="9" t="inlineStr"/>
    </row>
    <row r="30">
      <c r="A30" s="9" t="n">
        <v>29</v>
      </c>
      <c r="B30" s="9" t="n">
        <v>1</v>
      </c>
      <c r="C30" s="9" t="inlineStr">
        <is>
          <t>6 (court)</t>
        </is>
      </c>
      <c r="D30" s="9" t="inlineStr">
        <is>
          <t>City:</t>
        </is>
      </c>
      <c r="E30" s="9" t="inlineStr">
        <is>
          <t>DV-200[0].Page1[0].List6[0].Li1[0].T200[0]</t>
        </is>
      </c>
      <c r="F30" s="9" t="inlineStr">
        <is>
          <t>text</t>
        </is>
      </c>
      <c r="G30" s="9" t="inlineStr"/>
      <c r="H30" s="9" t="inlineStr"/>
      <c r="I30" s="9" t="inlineStr">
        <is>
          <t>90, 563, 362, 574</t>
        </is>
      </c>
      <c r="J30" s="9" t="inlineStr">
        <is>
          <t>server</t>
        </is>
      </c>
      <c r="K30" s="9" t="inlineStr"/>
      <c r="L30" s="9" t="inlineStr"/>
      <c r="M30" s="9" t="inlineStr"/>
      <c r="N30" s="9" t="inlineStr">
        <is>
          <t>Completed by the server.</t>
        </is>
      </c>
      <c r="O30" s="9" t="inlineStr"/>
    </row>
    <row r="31">
      <c r="A31" s="9" t="n">
        <v>30</v>
      </c>
      <c r="B31" s="9" t="n">
        <v>1</v>
      </c>
      <c r="C31" s="9" t="inlineStr">
        <is>
          <t>6 (court)</t>
        </is>
      </c>
      <c r="D31" s="9" t="inlineStr">
        <is>
          <t>State:</t>
        </is>
      </c>
      <c r="E31" s="9" t="inlineStr">
        <is>
          <t>DV-200[0].Page1[0].List6[0].Li1[0].T1981[0]</t>
        </is>
      </c>
      <c r="F31" s="9" t="inlineStr">
        <is>
          <t>text</t>
        </is>
      </c>
      <c r="G31" s="9" t="inlineStr"/>
      <c r="H31" s="9" t="inlineStr"/>
      <c r="I31" s="9" t="inlineStr">
        <is>
          <t>398, 563, 462, 574</t>
        </is>
      </c>
      <c r="J31" s="9" t="inlineStr">
        <is>
          <t>server</t>
        </is>
      </c>
      <c r="K31" s="9" t="inlineStr"/>
      <c r="L31" s="9" t="inlineStr"/>
      <c r="M31" s="9" t="inlineStr"/>
      <c r="N31" s="9" t="inlineStr">
        <is>
          <t>Completed by the server.</t>
        </is>
      </c>
      <c r="O31" s="9" t="inlineStr"/>
    </row>
    <row r="32">
      <c r="A32" s="9" t="n">
        <v>31</v>
      </c>
      <c r="B32" s="9" t="n">
        <v>1</v>
      </c>
      <c r="C32" s="9" t="inlineStr">
        <is>
          <t>6 (court)</t>
        </is>
      </c>
      <c r="D32" s="9" t="inlineStr">
        <is>
          <t>Zip:</t>
        </is>
      </c>
      <c r="E32" s="9" t="inlineStr">
        <is>
          <t>DV-200[0].Page1[0].List6[0].Li1[0].T1982[0]</t>
        </is>
      </c>
      <c r="F32" s="9" t="inlineStr">
        <is>
          <t>text</t>
        </is>
      </c>
      <c r="G32" s="9" t="inlineStr"/>
      <c r="H32" s="9" t="inlineStr"/>
      <c r="I32" s="9" t="inlineStr">
        <is>
          <t>493, 563, 575, 574</t>
        </is>
      </c>
      <c r="J32" s="9" t="inlineStr">
        <is>
          <t>server</t>
        </is>
      </c>
      <c r="K32" s="9" t="inlineStr"/>
      <c r="L32" s="9" t="inlineStr"/>
      <c r="M32" s="9" t="inlineStr"/>
      <c r="N32" s="9" t="inlineStr">
        <is>
          <t>Completed by the server.</t>
        </is>
      </c>
      <c r="O32" s="9" t="inlineStr"/>
    </row>
    <row r="33">
      <c r="A33" s="9" t="n">
        <v>32</v>
      </c>
      <c r="B33" s="9" t="n">
        <v>1</v>
      </c>
      <c r="C33" s="9" t="inlineStr">
        <is>
          <t>6 (court)</t>
        </is>
      </c>
      <c r="D33" s="9" t="inlineStr">
        <is>
          <t>Telephone:</t>
        </is>
      </c>
      <c r="E33" s="9" t="inlineStr">
        <is>
          <t>DV-200[0].Page1[0].List6[0].Li1[0].Tel_tf[0]</t>
        </is>
      </c>
      <c r="F33" s="9" t="inlineStr">
        <is>
          <t>text</t>
        </is>
      </c>
      <c r="G33" s="9" t="inlineStr"/>
      <c r="H33" s="9" t="inlineStr"/>
      <c r="I33" s="9" t="inlineStr">
        <is>
          <t>115, 577, 362, 588</t>
        </is>
      </c>
      <c r="J33" s="9" t="inlineStr">
        <is>
          <t>server</t>
        </is>
      </c>
      <c r="K33" s="9" t="inlineStr"/>
      <c r="L33" s="9" t="inlineStr"/>
      <c r="M33" s="9" t="inlineStr"/>
      <c r="N33" s="9" t="inlineStr">
        <is>
          <t>Completed by the server.</t>
        </is>
      </c>
      <c r="O33" s="9" t="inlineStr"/>
    </row>
    <row r="34">
      <c r="A34" s="9" t="n">
        <v>33</v>
      </c>
      <c r="B34" s="9" t="n">
        <v>1</v>
      </c>
      <c r="C34" s="9" t="inlineStr">
        <is>
          <t>6 (court)</t>
        </is>
      </c>
      <c r="D34" s="9" t="inlineStr">
        <is>
          <t>County of registration:</t>
        </is>
      </c>
      <c r="E34" s="9" t="inlineStr">
        <is>
          <t>DV-200[0].Page1[0].List6[0].Li1[0].T2981[0]</t>
        </is>
      </c>
      <c r="F34" s="9" t="inlineStr">
        <is>
          <t>text</t>
        </is>
      </c>
      <c r="G34" s="9" t="inlineStr"/>
      <c r="H34" s="9" t="inlineStr"/>
      <c r="I34" s="9" t="inlineStr">
        <is>
          <t>167, 606, 332, 617</t>
        </is>
      </c>
      <c r="J34" s="9" t="inlineStr">
        <is>
          <t>server</t>
        </is>
      </c>
      <c r="K34" s="9" t="inlineStr"/>
      <c r="L34" s="9" t="inlineStr"/>
      <c r="M34" s="9" t="inlineStr"/>
      <c r="N34" s="9" t="inlineStr">
        <is>
          <t>Completed by the server.</t>
        </is>
      </c>
      <c r="O34" s="9" t="inlineStr"/>
    </row>
    <row r="35">
      <c r="A35" s="9" t="n">
        <v>34</v>
      </c>
      <c r="B35" s="9" t="n">
        <v>1</v>
      </c>
      <c r="C35" s="9" t="inlineStr">
        <is>
          <t>6 (court)</t>
        </is>
      </c>
      <c r="D35" s="9" t="inlineStr">
        <is>
          <t>Registration number:</t>
        </is>
      </c>
      <c r="E35" s="9" t="inlineStr">
        <is>
          <t>DV-200[0].Page1[0].List6[0].Li1[0].T12298[0]</t>
        </is>
      </c>
      <c r="F35" s="9" t="inlineStr">
        <is>
          <t>text</t>
        </is>
      </c>
      <c r="G35" s="9" t="inlineStr"/>
      <c r="H35" s="9" t="inlineStr"/>
      <c r="I35" s="9" t="inlineStr">
        <is>
          <t>442, 605, 575, 616</t>
        </is>
      </c>
      <c r="J35" s="9" t="inlineStr">
        <is>
          <t>server</t>
        </is>
      </c>
      <c r="K35" s="9" t="inlineStr"/>
      <c r="L35" s="9" t="inlineStr"/>
      <c r="M35" s="9" t="inlineStr"/>
      <c r="N35" s="9" t="inlineStr">
        <is>
          <t>Completed by the server.</t>
        </is>
      </c>
      <c r="O35" s="9" t="inlineStr"/>
    </row>
    <row r="36">
      <c r="A36" s="9" t="n">
        <v>35</v>
      </c>
      <c r="B36" s="9" t="n">
        <v>1</v>
      </c>
      <c r="C36" s="9" t="inlineStr">
        <is>
          <t>7 (court)</t>
        </is>
      </c>
      <c r="D36" s="9" t="inlineStr">
        <is>
          <t>Date:</t>
        </is>
      </c>
      <c r="E36" s="9" t="inlineStr">
        <is>
          <t>DV-200[0].Page1[0].List7[0].Li1[0].T161[0]</t>
        </is>
      </c>
      <c r="F36" s="9" t="inlineStr">
        <is>
          <t>text</t>
        </is>
      </c>
      <c r="G36" s="9" t="inlineStr"/>
      <c r="H36" s="9" t="inlineStr"/>
      <c r="I36" s="9" t="inlineStr">
        <is>
          <t>92, 674, 303, 685</t>
        </is>
      </c>
      <c r="J36" s="9" t="inlineStr">
        <is>
          <t>server</t>
        </is>
      </c>
      <c r="K36" s="9" t="inlineStr"/>
      <c r="L36" s="9" t="inlineStr"/>
      <c r="M36" s="9" t="inlineStr"/>
      <c r="N36" s="9" t="inlineStr">
        <is>
          <t>Completed by the server.</t>
        </is>
      </c>
      <c r="O36" s="9" t="inlineStr"/>
    </row>
    <row r="37">
      <c r="A37" s="9" t="n">
        <v>36</v>
      </c>
      <c r="B37" s="9" t="n">
        <v>1</v>
      </c>
      <c r="C37" s="9" t="inlineStr">
        <is>
          <t>7 (court)</t>
        </is>
      </c>
      <c r="D37" s="9" t="inlineStr">
        <is>
          <t>Type or print server’s name</t>
        </is>
      </c>
      <c r="E37" s="9" t="inlineStr">
        <is>
          <t>DV-200[0].Page1[0].List7[0].Li1[0].T214[0]</t>
        </is>
      </c>
      <c r="F37" s="9" t="inlineStr">
        <is>
          <t>text</t>
        </is>
      </c>
      <c r="G37" s="9" t="inlineStr"/>
      <c r="H37" s="9" t="inlineStr"/>
      <c r="I37" s="9" t="inlineStr">
        <is>
          <t>64, 694, 303, 705</t>
        </is>
      </c>
      <c r="J37" s="9" t="inlineStr">
        <is>
          <t>server</t>
        </is>
      </c>
      <c r="K37" s="9" t="inlineStr"/>
      <c r="L37" s="9" t="inlineStr"/>
      <c r="M37" s="9" t="inlineStr"/>
      <c r="N37" s="9" t="inlineStr">
        <is>
          <t>Completed by the server.</t>
        </is>
      </c>
      <c r="O37" s="9" t="inlineStr"/>
    </row>
  </sheetData>
  <autoFilter ref="A1:O37"/>
  <dataValidations count="1">
    <dataValidation sqref="J2:J37" showDropDown="0" showInputMessage="0" showErrorMessage="0" allowBlank="1" type="list">
      <formula1>"question,derived,court/clerk,server,ignore (UI button)"</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9" t="n">
        <v>1</v>
      </c>
      <c r="B2" s="9" t="n">
        <v>1</v>
      </c>
      <c r="C2" s="9" t="inlineStr">
        <is>
          <t>(server)</t>
        </is>
      </c>
      <c r="D2" s="9" t="inlineStr">
        <is>
          <t>County of registration:</t>
        </is>
      </c>
      <c r="E2" s="9" t="inlineStr">
        <is>
          <t>DV-250[0].Page1[0].T78[0]</t>
        </is>
      </c>
      <c r="F2" s="9" t="inlineStr">
        <is>
          <t>text</t>
        </is>
      </c>
      <c r="G2" s="9" t="inlineStr"/>
      <c r="H2" s="9" t="inlineStr"/>
      <c r="I2" s="9" t="inlineStr">
        <is>
          <t>188, 610, 362, 621</t>
        </is>
      </c>
      <c r="J2" s="9" t="inlineStr">
        <is>
          <t>server</t>
        </is>
      </c>
      <c r="K2" s="9" t="inlineStr"/>
      <c r="L2" s="9" t="inlineStr"/>
      <c r="M2" s="9" t="inlineStr"/>
      <c r="N2" s="9" t="inlineStr">
        <is>
          <t>Completed by the server.</t>
        </is>
      </c>
      <c r="O2" s="9" t="inlineStr"/>
    </row>
    <row r="3">
      <c r="A3" s="9" t="n">
        <v>2</v>
      </c>
      <c r="B3" s="9" t="n">
        <v>1</v>
      </c>
      <c r="C3" s="9" t="inlineStr">
        <is>
          <t>(server)</t>
        </is>
      </c>
      <c r="D3" s="9" t="inlineStr">
        <is>
          <t>City:</t>
        </is>
      </c>
      <c r="E3" s="9" t="inlineStr">
        <is>
          <t>DV-250[0].Page1[0].T79[0]</t>
        </is>
      </c>
      <c r="F3" s="9" t="inlineStr">
        <is>
          <t>text</t>
        </is>
      </c>
      <c r="G3" s="9" t="inlineStr"/>
      <c r="H3" s="9" t="inlineStr"/>
      <c r="I3" s="9" t="inlineStr">
        <is>
          <t>87, 566, 364, 577</t>
        </is>
      </c>
      <c r="J3" s="9" t="inlineStr">
        <is>
          <t>server</t>
        </is>
      </c>
      <c r="K3" s="9" t="inlineStr"/>
      <c r="L3" s="9" t="inlineStr"/>
      <c r="M3" s="9" t="inlineStr"/>
      <c r="N3" s="9" t="inlineStr">
        <is>
          <t>Completed by the server.</t>
        </is>
      </c>
      <c r="O3" s="9" t="inlineStr"/>
    </row>
    <row r="4">
      <c r="A4" s="9" t="n">
        <v>3</v>
      </c>
      <c r="B4" s="9" t="n">
        <v>1</v>
      </c>
      <c r="C4" s="9" t="inlineStr">
        <is>
          <t>(server)</t>
        </is>
      </c>
      <c r="D4" s="9" t="inlineStr">
        <is>
          <t>State:</t>
        </is>
      </c>
      <c r="E4" s="9" t="inlineStr">
        <is>
          <t>DV-250[0].Page1[0].T78[1]</t>
        </is>
      </c>
      <c r="F4" s="9" t="inlineStr">
        <is>
          <t>text</t>
        </is>
      </c>
      <c r="G4" s="9" t="inlineStr"/>
      <c r="H4" s="9" t="inlineStr"/>
      <c r="I4" s="9" t="inlineStr">
        <is>
          <t>397, 566, 476, 577</t>
        </is>
      </c>
      <c r="J4" s="9" t="inlineStr">
        <is>
          <t>server</t>
        </is>
      </c>
      <c r="K4" s="9" t="inlineStr"/>
      <c r="L4" s="9" t="inlineStr"/>
      <c r="M4" s="9" t="inlineStr"/>
      <c r="N4" s="9" t="inlineStr">
        <is>
          <t>Completed by the server.</t>
        </is>
      </c>
      <c r="O4" s="9" t="inlineStr"/>
    </row>
    <row r="5">
      <c r="A5" s="9" t="n">
        <v>4</v>
      </c>
      <c r="B5" s="9" t="n">
        <v>1</v>
      </c>
      <c r="C5" s="9" t="inlineStr">
        <is>
          <t>(server)</t>
        </is>
      </c>
      <c r="D5" s="9" t="inlineStr">
        <is>
          <t>Zip:</t>
        </is>
      </c>
      <c r="E5" s="9" t="inlineStr">
        <is>
          <t>DV-250[0].Page1[0].T77[0]</t>
        </is>
      </c>
      <c r="F5" s="9" t="inlineStr">
        <is>
          <t>text</t>
        </is>
      </c>
      <c r="G5" s="9" t="inlineStr"/>
      <c r="H5" s="9" t="inlineStr"/>
      <c r="I5" s="9" t="inlineStr">
        <is>
          <t>508, 566, 576, 577</t>
        </is>
      </c>
      <c r="J5" s="9" t="inlineStr">
        <is>
          <t>server</t>
        </is>
      </c>
      <c r="K5" s="9" t="inlineStr"/>
      <c r="L5" s="9" t="inlineStr"/>
      <c r="M5" s="9" t="inlineStr"/>
      <c r="N5" s="9" t="inlineStr">
        <is>
          <t>Completed by the server.</t>
        </is>
      </c>
      <c r="O5" s="9" t="inlineStr"/>
    </row>
    <row r="6">
      <c r="A6" s="9" t="n">
        <v>5</v>
      </c>
      <c r="B6" s="9" t="n">
        <v>1</v>
      </c>
      <c r="C6" s="9" t="inlineStr">
        <is>
          <t>(server)</t>
        </is>
      </c>
      <c r="D6" s="9" t="inlineStr">
        <is>
          <t>Telephone:</t>
        </is>
      </c>
      <c r="E6" s="9" t="inlineStr">
        <is>
          <t>DV-250[0].Page1[0].T42[0]</t>
        </is>
      </c>
      <c r="F6" s="9" t="inlineStr">
        <is>
          <t>text</t>
        </is>
      </c>
      <c r="G6" s="9" t="inlineStr"/>
      <c r="H6" s="9" t="inlineStr"/>
      <c r="I6" s="9" t="inlineStr">
        <is>
          <t>117, 579, 281, 590</t>
        </is>
      </c>
      <c r="J6" s="9" t="inlineStr">
        <is>
          <t>server</t>
        </is>
      </c>
      <c r="K6" s="9" t="inlineStr"/>
      <c r="L6" s="9" t="inlineStr"/>
      <c r="M6" s="9" t="inlineStr"/>
      <c r="N6" s="9" t="inlineStr">
        <is>
          <t>Completed by the server.</t>
        </is>
      </c>
      <c r="O6" s="9" t="inlineStr"/>
    </row>
    <row r="7">
      <c r="A7" s="9" t="n">
        <v>6</v>
      </c>
      <c r="B7" s="9" t="n">
        <v>1</v>
      </c>
      <c r="C7" s="9" t="inlineStr">
        <is>
          <t>(server)</t>
        </is>
      </c>
      <c r="D7" s="9" t="inlineStr">
        <is>
          <t>Name:</t>
        </is>
      </c>
      <c r="E7" s="9" t="inlineStr">
        <is>
          <t>DV-250[0].Page1[0].ParentRel[0]</t>
        </is>
      </c>
      <c r="F7" s="9" t="inlineStr">
        <is>
          <t>text</t>
        </is>
      </c>
      <c r="G7" s="9" t="inlineStr"/>
      <c r="H7" s="9" t="inlineStr"/>
      <c r="I7" s="9" t="inlineStr">
        <is>
          <t>95, 541, 576, 552</t>
        </is>
      </c>
      <c r="J7" s="9" t="inlineStr">
        <is>
          <t>server</t>
        </is>
      </c>
      <c r="K7" s="9" t="inlineStr"/>
      <c r="L7" s="9" t="inlineStr"/>
      <c r="M7" s="9" t="inlineStr"/>
      <c r="N7" s="9" t="inlineStr">
        <is>
          <t>Completed by the server.</t>
        </is>
      </c>
      <c r="O7" s="9" t="inlineStr"/>
    </row>
    <row r="8">
      <c r="A8" s="9" t="n">
        <v>7</v>
      </c>
      <c r="B8" s="9" t="n">
        <v>1</v>
      </c>
      <c r="C8" s="9" t="inlineStr">
        <is>
          <t>(server)</t>
        </is>
      </c>
      <c r="D8" s="9" t="inlineStr">
        <is>
          <t>Address:</t>
        </is>
      </c>
      <c r="E8" s="9" t="inlineStr">
        <is>
          <t>DV-250[0].Page1[0].T72[0]</t>
        </is>
      </c>
      <c r="F8" s="9" t="inlineStr">
        <is>
          <t>text</t>
        </is>
      </c>
      <c r="G8" s="9" t="inlineStr"/>
      <c r="H8" s="9" t="inlineStr"/>
      <c r="I8" s="9" t="inlineStr">
        <is>
          <t>105, 554, 576, 565</t>
        </is>
      </c>
      <c r="J8" s="9" t="inlineStr">
        <is>
          <t>server</t>
        </is>
      </c>
      <c r="K8" s="9" t="inlineStr"/>
      <c r="L8" s="9" t="inlineStr"/>
      <c r="M8" s="9" t="inlineStr"/>
      <c r="N8" s="9" t="inlineStr">
        <is>
          <t>Completed by the server.</t>
        </is>
      </c>
      <c r="O8" s="9" t="inlineStr"/>
    </row>
    <row r="9">
      <c r="A9" s="6" t="n">
        <v>8</v>
      </c>
      <c r="B9" s="6" t="n">
        <v>1</v>
      </c>
      <c r="C9" s="6" t="inlineStr">
        <is>
          <t>Caption</t>
        </is>
      </c>
      <c r="D9" s="6" t="inlineStr">
        <is>
          <t>Superior Court of California, County of</t>
        </is>
      </c>
      <c r="E9" s="6" t="inlineStr">
        <is>
          <t>DV-250[0].Page1[0].Stamp_court_case[0].CourtInfo_ft[0]</t>
        </is>
      </c>
      <c r="F9" s="6" t="inlineStr">
        <is>
          <t>text</t>
        </is>
      </c>
      <c r="G9" s="6" t="inlineStr"/>
      <c r="H9" s="6" t="inlineStr"/>
      <c r="I9" s="6" t="inlineStr">
        <is>
          <t>398, 208, 573, 275</t>
        </is>
      </c>
      <c r="J9" s="6" t="inlineStr">
        <is>
          <t>derived</t>
        </is>
      </c>
      <c r="K9" s="6" t="inlineStr">
        <is>
          <t>S1,S2</t>
        </is>
      </c>
      <c r="L9" s="6">
        <f> S1.countyName + "\n" + courthouse(S1,S2).streetAddress + ", " + courthouse(S1,S2).cityZip</f>
        <v/>
      </c>
      <c r="M9" s="6" t="inlineStr"/>
      <c r="N9" s="6" t="inlineStr"/>
      <c r="O9" s="6" t="inlineStr"/>
    </row>
    <row r="10">
      <c r="A10" s="5" t="n">
        <v>9</v>
      </c>
      <c r="B10" s="5" t="n">
        <v>1</v>
      </c>
      <c r="C10" s="5" t="inlineStr">
        <is>
          <t>Caption</t>
        </is>
      </c>
      <c r="D10" s="5" t="inlineStr">
        <is>
          <t>Case Number:</t>
        </is>
      </c>
      <c r="E10" s="5" t="inlineStr">
        <is>
          <t>DV-250[0].Page1[0].Stamp_court_case[0].CaseNumber_ft[0]</t>
        </is>
      </c>
      <c r="F10" s="5" t="inlineStr">
        <is>
          <t>text</t>
        </is>
      </c>
      <c r="G10" s="5" t="inlineStr"/>
      <c r="H10" s="5" t="inlineStr"/>
      <c r="I10" s="5" t="inlineStr">
        <is>
          <t>398, 304, 573, 321</t>
        </is>
      </c>
      <c r="J10" s="5" t="inlineStr">
        <is>
          <t>question</t>
        </is>
      </c>
      <c r="K10" s="5" t="inlineStr">
        <is>
          <t>X0</t>
        </is>
      </c>
      <c r="L10" s="5">
        <f> X0</f>
        <v/>
      </c>
      <c r="M10" s="5" t="inlineStr"/>
      <c r="N10" s="5" t="inlineStr"/>
      <c r="O10" s="5" t="inlineStr"/>
    </row>
    <row r="11">
      <c r="A11" s="6" t="n">
        <v>10</v>
      </c>
      <c r="B11" s="6" t="n">
        <v>1</v>
      </c>
      <c r="C11" s="6" t="inlineStr">
        <is>
          <t>4</t>
        </is>
      </c>
      <c r="D11" s="6" t="inlineStr">
        <is>
          <t>DV-112, Waiver of Hearing on Denied Request for Temporary Restraining Order</t>
        </is>
      </c>
      <c r="E11" s="6" t="inlineStr">
        <is>
          <t>DV-250[0].Page1[0].TRO_cb[0]</t>
        </is>
      </c>
      <c r="F11" s="6" t="inlineStr">
        <is>
          <t>checkbox</t>
        </is>
      </c>
      <c r="G11" s="6" t="inlineStr">
        <is>
          <t>1</t>
        </is>
      </c>
      <c r="H11" s="6" t="inlineStr"/>
      <c r="I11" s="6" t="inlineStr">
        <is>
          <t>78, 321, 87, 330</t>
        </is>
      </c>
      <c r="J11" s="6" t="inlineStr">
        <is>
          <t>derived</t>
        </is>
      </c>
      <c r="K11" s="6" t="inlineStr">
        <is>
          <t>(fixed)</t>
        </is>
      </c>
      <c r="L11" s="6" t="inlineStr">
        <is>
          <t>never</t>
        </is>
      </c>
      <c r="M11" s="6" t="inlineStr"/>
      <c r="N11" s="6" t="inlineStr">
        <is>
          <t>DV-112 is excluded.</t>
        </is>
      </c>
      <c r="O11" s="6" t="inlineStr"/>
    </row>
    <row r="12">
      <c r="A12" s="6" t="n">
        <v>11</v>
      </c>
      <c r="B12" s="6" t="n">
        <v>1</v>
      </c>
      <c r="C12" s="6" t="inlineStr">
        <is>
          <t>4</t>
        </is>
      </c>
      <c r="D12" s="6" t="inlineStr">
        <is>
          <t>DV-120, Response to Request for Domestic Violence Restraining Order</t>
        </is>
      </c>
      <c r="E12" s="6" t="inlineStr">
        <is>
          <t>DV-250[0].Page1[0].TRO_cb[1]</t>
        </is>
      </c>
      <c r="F12" s="6" t="inlineStr">
        <is>
          <t>checkbox</t>
        </is>
      </c>
      <c r="G12" s="6" t="inlineStr">
        <is>
          <t>5</t>
        </is>
      </c>
      <c r="H12" s="6" t="inlineStr"/>
      <c r="I12" s="6" t="inlineStr">
        <is>
          <t>78, 350, 87, 359</t>
        </is>
      </c>
      <c r="J12" s="6" t="inlineStr">
        <is>
          <t>derived</t>
        </is>
      </c>
      <c r="K12" s="6" t="inlineStr">
        <is>
          <t>(fixed)</t>
        </is>
      </c>
      <c r="L12" s="6" t="inlineStr">
        <is>
          <t>never</t>
        </is>
      </c>
      <c r="M12" s="6" t="inlineStr"/>
      <c r="N12" s="6" t="inlineStr">
        <is>
          <t>DV-120 is the respondent's form.</t>
        </is>
      </c>
      <c r="O12" s="6" t="inlineStr"/>
    </row>
    <row r="13">
      <c r="A13" s="6" t="n">
        <v>12</v>
      </c>
      <c r="B13" s="6" t="n">
        <v>1</v>
      </c>
      <c r="C13" s="6" t="inlineStr">
        <is>
          <t>4</t>
        </is>
      </c>
      <c r="D13" s="6" t="inlineStr">
        <is>
          <t>FL-150, Income and Expense Declaration</t>
        </is>
      </c>
      <c r="E13" s="6" t="inlineStr">
        <is>
          <t>DV-250[0].Page1[0].TRO_cb[2]</t>
        </is>
      </c>
      <c r="F13" s="6" t="inlineStr">
        <is>
          <t>checkbox</t>
        </is>
      </c>
      <c r="G13" s="6" t="inlineStr">
        <is>
          <t>7</t>
        </is>
      </c>
      <c r="H13" s="6" t="inlineStr"/>
      <c r="I13" s="6" t="inlineStr">
        <is>
          <t>78, 364, 87, 373</t>
        </is>
      </c>
      <c r="J13" s="6" t="inlineStr">
        <is>
          <t>derived</t>
        </is>
      </c>
      <c r="K13" s="6" t="inlineStr">
        <is>
          <t>(packet)</t>
        </is>
      </c>
      <c r="L13" s="6" t="inlineStr">
        <is>
          <t>check if FL-150 is being mailed</t>
        </is>
      </c>
      <c r="M13" s="6" t="inlineStr"/>
      <c r="N13" s="6" t="inlineStr"/>
      <c r="O13" s="6" t="inlineStr"/>
    </row>
    <row r="14">
      <c r="A14" s="6" t="n">
        <v>13</v>
      </c>
      <c r="B14" s="6" t="n">
        <v>1</v>
      </c>
      <c r="C14" s="6" t="inlineStr">
        <is>
          <t>4</t>
        </is>
      </c>
      <c r="D14" s="6" t="inlineStr">
        <is>
          <t>Other</t>
        </is>
      </c>
      <c r="E14" s="6" t="inlineStr">
        <is>
          <t>DV-250[0].Page1[0].TRO_cb[3]</t>
        </is>
      </c>
      <c r="F14" s="6" t="inlineStr">
        <is>
          <t>checkbox</t>
        </is>
      </c>
      <c r="G14" s="6" t="inlineStr">
        <is>
          <t>7</t>
        </is>
      </c>
      <c r="H14" s="6" t="inlineStr"/>
      <c r="I14" s="6" t="inlineStr">
        <is>
          <t>78, 408, 87, 417</t>
        </is>
      </c>
      <c r="J14" s="6" t="inlineStr">
        <is>
          <t>derived</t>
        </is>
      </c>
      <c r="K14" s="6" t="inlineStr">
        <is>
          <t>(packet)</t>
        </is>
      </c>
      <c r="L14" s="6" t="inlineStr">
        <is>
          <t>check if other forms are mailed (e.g. a blank FL-150 with DV-570)</t>
        </is>
      </c>
      <c r="M14" s="6" t="inlineStr"/>
      <c r="N14" s="6" t="inlineStr"/>
      <c r="O14" s="6" t="inlineStr"/>
    </row>
    <row r="15">
      <c r="A15" s="6" t="n">
        <v>14</v>
      </c>
      <c r="B15" s="6" t="n">
        <v>1</v>
      </c>
      <c r="C15" s="6" t="inlineStr">
        <is>
          <t>4</t>
        </is>
      </c>
      <c r="D15" s="6" t="inlineStr">
        <is>
          <t>DV-130, Restraining Order After Hearing (Order of Protection)</t>
        </is>
      </c>
      <c r="E15" s="6" t="inlineStr">
        <is>
          <t>DV-250[0].Page1[0].TRO_cb[4]</t>
        </is>
      </c>
      <c r="F15" s="6" t="inlineStr">
        <is>
          <t>checkbox</t>
        </is>
      </c>
      <c r="G15" s="6" t="inlineStr">
        <is>
          <t>7</t>
        </is>
      </c>
      <c r="H15" s="6" t="inlineStr"/>
      <c r="I15" s="6" t="inlineStr">
        <is>
          <t>78, 393, 87, 402</t>
        </is>
      </c>
      <c r="J15" s="6" t="inlineStr">
        <is>
          <t>derived</t>
        </is>
      </c>
      <c r="K15" s="6" t="inlineStr">
        <is>
          <t>(packet)</t>
        </is>
      </c>
      <c r="L15" s="6" t="inlineStr">
        <is>
          <t>check on the after-hearing copy when DV-130 says service by mail</t>
        </is>
      </c>
      <c r="M15" s="6" t="inlineStr"/>
      <c r="N15" s="6" t="inlineStr"/>
      <c r="O15" s="6" t="inlineStr"/>
    </row>
    <row r="16">
      <c r="A16" s="6" t="n">
        <v>15</v>
      </c>
      <c r="B16" s="6" t="n">
        <v>1</v>
      </c>
      <c r="C16" s="6" t="inlineStr">
        <is>
          <t>4</t>
        </is>
      </c>
      <c r="D16" s="6" t="inlineStr">
        <is>
          <t>FL-155, Simplified Financial Statement</t>
        </is>
      </c>
      <c r="E16" s="6" t="inlineStr">
        <is>
          <t>DV-250[0].Page1[0].TRO_cb[5]</t>
        </is>
      </c>
      <c r="F16" s="6" t="inlineStr">
        <is>
          <t>checkbox</t>
        </is>
      </c>
      <c r="G16" s="6" t="inlineStr">
        <is>
          <t>7</t>
        </is>
      </c>
      <c r="H16" s="6" t="inlineStr"/>
      <c r="I16" s="6" t="inlineStr">
        <is>
          <t>78, 379, 87, 388</t>
        </is>
      </c>
      <c r="J16" s="6" t="inlineStr">
        <is>
          <t>derived</t>
        </is>
      </c>
      <c r="K16" s="6" t="inlineStr">
        <is>
          <t>(packet)</t>
        </is>
      </c>
      <c r="L16" s="6" t="inlineStr">
        <is>
          <t>check if FL-155 is being mailed</t>
        </is>
      </c>
      <c r="M16" s="6" t="inlineStr"/>
      <c r="N16" s="6" t="inlineStr"/>
      <c r="O16" s="6" t="inlineStr"/>
    </row>
    <row r="17">
      <c r="A17" s="5" t="n">
        <v>16</v>
      </c>
      <c r="B17" s="5" t="n">
        <v>1</v>
      </c>
      <c r="C17" s="5" t="inlineStr">
        <is>
          <t>1</t>
        </is>
      </c>
      <c r="D17" s="5" t="inlineStr">
        <is>
          <t>Name of Person Asking for Protection:</t>
        </is>
      </c>
      <c r="E17" s="5" t="inlineStr">
        <is>
          <t>DV-250[0].Page1[0].T40[0]</t>
        </is>
      </c>
      <c r="F17" s="5" t="inlineStr">
        <is>
          <t>text</t>
        </is>
      </c>
      <c r="G17" s="5" t="inlineStr"/>
      <c r="H17" s="5" t="inlineStr"/>
      <c r="I17" s="5" t="inlineStr">
        <is>
          <t>62, 89, 387, 103</t>
        </is>
      </c>
      <c r="J17" s="5" t="inlineStr">
        <is>
          <t>question</t>
        </is>
      </c>
      <c r="K17" s="5" t="inlineStr">
        <is>
          <t>P1</t>
        </is>
      </c>
      <c r="L17" s="5">
        <f> P1</f>
        <v/>
      </c>
      <c r="M17" s="5" t="inlineStr"/>
      <c r="N17" s="5" t="inlineStr"/>
      <c r="O17" s="5" t="inlineStr"/>
    </row>
    <row r="18">
      <c r="A18" s="5" t="n">
        <v>17</v>
      </c>
      <c r="B18" s="5" t="n">
        <v>1</v>
      </c>
      <c r="C18" s="5" t="inlineStr">
        <is>
          <t>2</t>
        </is>
      </c>
      <c r="D18" s="5" t="inlineStr">
        <is>
          <t>Name of Person to Be Restrained:</t>
        </is>
      </c>
      <c r="E18" s="5" t="inlineStr">
        <is>
          <t>DV-250[0].Page1[0].T145[0]</t>
        </is>
      </c>
      <c r="F18" s="5" t="inlineStr">
        <is>
          <t>text</t>
        </is>
      </c>
      <c r="G18" s="5" t="inlineStr"/>
      <c r="H18" s="5" t="inlineStr"/>
      <c r="I18" s="5" t="inlineStr">
        <is>
          <t>62, 124, 386, 135</t>
        </is>
      </c>
      <c r="J18" s="5" t="inlineStr">
        <is>
          <t>question</t>
        </is>
      </c>
      <c r="K18" s="5" t="inlineStr">
        <is>
          <t>R1</t>
        </is>
      </c>
      <c r="L18" s="5">
        <f> R1</f>
        <v/>
      </c>
      <c r="M18" s="5" t="inlineStr"/>
      <c r="N18" s="5" t="inlineStr"/>
      <c r="O18" s="5" t="inlineStr"/>
    </row>
    <row r="19">
      <c r="A19" s="6" t="n">
        <v>18</v>
      </c>
      <c r="B19" s="6" t="n">
        <v>1</v>
      </c>
      <c r="C19" s="6" t="inlineStr">
        <is>
          <t>4</t>
        </is>
      </c>
      <c r="D19" s="6" t="inlineStr">
        <is>
          <t>Other (specify):</t>
        </is>
      </c>
      <c r="E19" s="6" t="inlineStr">
        <is>
          <t>DV-250[0].Page1[0].#field[17]</t>
        </is>
      </c>
      <c r="F19" s="6" t="inlineStr">
        <is>
          <t>text</t>
        </is>
      </c>
      <c r="G19" s="6" t="inlineStr"/>
      <c r="H19" s="6" t="inlineStr"/>
      <c r="I19" s="6" t="inlineStr">
        <is>
          <t>171, 408, 569, 419</t>
        </is>
      </c>
      <c r="J19" s="6" t="inlineStr">
        <is>
          <t>derived</t>
        </is>
      </c>
      <c r="K19" s="6" t="inlineStr">
        <is>
          <t>(packet)</t>
        </is>
      </c>
      <c r="L19" s="6">
        <f> list of other forms mailed</f>
        <v/>
      </c>
      <c r="M19" s="6" t="inlineStr"/>
      <c r="N19" s="6" t="inlineStr"/>
      <c r="O19" s="6" t="inlineStr"/>
    </row>
    <row r="20">
      <c r="A20" s="5" t="n">
        <v>19</v>
      </c>
      <c r="B20" s="5" t="n">
        <v>1</v>
      </c>
      <c r="C20" s="5" t="inlineStr">
        <is>
          <t>5b</t>
        </is>
      </c>
      <c r="D20" s="5" t="inlineStr">
        <is>
          <t>To this address:</t>
        </is>
      </c>
      <c r="E20" s="5" t="inlineStr">
        <is>
          <t>DV-250[0].Page1[0].T72[1]</t>
        </is>
      </c>
      <c r="F20" s="5" t="inlineStr">
        <is>
          <t>text</t>
        </is>
      </c>
      <c r="G20" s="5" t="inlineStr"/>
      <c r="H20" s="5" t="inlineStr"/>
      <c r="I20" s="5" t="inlineStr">
        <is>
          <t>152, 463, 576, 474</t>
        </is>
      </c>
      <c r="J20" s="5" t="inlineStr">
        <is>
          <t>question</t>
        </is>
      </c>
      <c r="K20" s="5" t="inlineStr">
        <is>
          <t>R14</t>
        </is>
      </c>
      <c r="L20" s="5">
        <f> R14.street</f>
        <v/>
      </c>
      <c r="M20" s="5" t="inlineStr"/>
      <c r="N20" s="5" t="inlineStr"/>
      <c r="O20" s="5" t="inlineStr"/>
    </row>
    <row r="21">
      <c r="A21" s="5" t="n">
        <v>20</v>
      </c>
      <c r="B21" s="5" t="n">
        <v>1</v>
      </c>
      <c r="C21" s="5" t="inlineStr">
        <is>
          <t>5a</t>
        </is>
      </c>
      <c r="D21" s="5" t="inlineStr">
        <is>
          <t>Name of person served:</t>
        </is>
      </c>
      <c r="E21" s="5" t="inlineStr">
        <is>
          <t>DV-250[0].Page1[0].ParentRel[1]</t>
        </is>
      </c>
      <c r="F21" s="5" t="inlineStr">
        <is>
          <t>text</t>
        </is>
      </c>
      <c r="G21" s="5" t="inlineStr"/>
      <c r="H21" s="5" t="inlineStr"/>
      <c r="I21" s="5" t="inlineStr">
        <is>
          <t>186, 450, 576, 461</t>
        </is>
      </c>
      <c r="J21" s="5" t="inlineStr">
        <is>
          <t>question</t>
        </is>
      </c>
      <c r="K21" s="5" t="inlineStr">
        <is>
          <t>R1</t>
        </is>
      </c>
      <c r="L21" s="5">
        <f> R1</f>
        <v/>
      </c>
      <c r="M21" s="5" t="inlineStr"/>
      <c r="N21" s="5" t="inlineStr"/>
      <c r="O21" s="5" t="inlineStr"/>
    </row>
    <row r="22">
      <c r="A22" s="9" t="n">
        <v>21</v>
      </c>
      <c r="B22" s="9" t="n">
        <v>1</v>
      </c>
      <c r="C22" s="9" t="inlineStr">
        <is>
          <t>(server)</t>
        </is>
      </c>
      <c r="D22" s="9" t="inlineStr">
        <is>
          <t>Mailed on (date):</t>
        </is>
      </c>
      <c r="E22" s="9" t="inlineStr">
        <is>
          <t>DV-250[0].Page1[0].T42[1]</t>
        </is>
      </c>
      <c r="F22" s="9" t="inlineStr">
        <is>
          <t>text</t>
        </is>
      </c>
      <c r="G22" s="9" t="inlineStr"/>
      <c r="H22" s="9" t="inlineStr"/>
      <c r="I22" s="9" t="inlineStr">
        <is>
          <t>161, 488, 297, 499</t>
        </is>
      </c>
      <c r="J22" s="9" t="inlineStr">
        <is>
          <t>server</t>
        </is>
      </c>
      <c r="K22" s="9" t="inlineStr"/>
      <c r="L22" s="9" t="inlineStr"/>
      <c r="M22" s="9" t="inlineStr"/>
      <c r="N22" s="9" t="inlineStr">
        <is>
          <t>Completed by the server.</t>
        </is>
      </c>
      <c r="O22" s="9" t="inlineStr"/>
    </row>
    <row r="23">
      <c r="A23" s="9" t="n">
        <v>22</v>
      </c>
      <c r="B23" s="9" t="n">
        <v>1</v>
      </c>
      <c r="C23" s="9" t="inlineStr">
        <is>
          <t>(server)</t>
        </is>
      </c>
      <c r="D23" s="9" t="inlineStr">
        <is>
          <t>Mailed from (city):</t>
        </is>
      </c>
      <c r="E23" s="9" t="inlineStr">
        <is>
          <t>DV-250[0].Page1[0].T73[0]</t>
        </is>
      </c>
      <c r="F23" s="9" t="inlineStr">
        <is>
          <t>text</t>
        </is>
      </c>
      <c r="G23" s="9" t="inlineStr"/>
      <c r="H23" s="9" t="inlineStr"/>
      <c r="I23" s="9" t="inlineStr">
        <is>
          <t>165, 501, 377, 512</t>
        </is>
      </c>
      <c r="J23" s="9" t="inlineStr">
        <is>
          <t>server</t>
        </is>
      </c>
      <c r="K23" s="9" t="inlineStr"/>
      <c r="L23" s="9" t="inlineStr"/>
      <c r="M23" s="9" t="inlineStr"/>
      <c r="N23" s="9" t="inlineStr">
        <is>
          <t>Completed by the server.</t>
        </is>
      </c>
      <c r="O23" s="9" t="inlineStr"/>
    </row>
    <row r="24">
      <c r="A24" s="5" t="n">
        <v>23</v>
      </c>
      <c r="B24" s="5" t="n">
        <v>1</v>
      </c>
      <c r="C24" s="5" t="inlineStr">
        <is>
          <t>5b</t>
        </is>
      </c>
      <c r="D24" s="5" t="inlineStr">
        <is>
          <t>Zip:</t>
        </is>
      </c>
      <c r="E24" s="5" t="inlineStr">
        <is>
          <t>DV-250[0].Page1[0].T77[1]</t>
        </is>
      </c>
      <c r="F24" s="5" t="inlineStr">
        <is>
          <t>text</t>
        </is>
      </c>
      <c r="G24" s="5" t="inlineStr"/>
      <c r="H24" s="5" t="inlineStr"/>
      <c r="I24" s="5" t="inlineStr">
        <is>
          <t>508, 476, 576, 487</t>
        </is>
      </c>
      <c r="J24" s="5" t="inlineStr">
        <is>
          <t>question</t>
        </is>
      </c>
      <c r="K24" s="5" t="inlineStr">
        <is>
          <t>R14</t>
        </is>
      </c>
      <c r="L24" s="5">
        <f> R14.zip</f>
        <v/>
      </c>
      <c r="M24" s="5" t="inlineStr"/>
      <c r="N24" s="5" t="inlineStr"/>
      <c r="O24" s="5" t="inlineStr"/>
    </row>
    <row r="25">
      <c r="A25" s="5" t="n">
        <v>24</v>
      </c>
      <c r="B25" s="5" t="n">
        <v>1</v>
      </c>
      <c r="C25" s="5" t="inlineStr">
        <is>
          <t>5b</t>
        </is>
      </c>
      <c r="D25" s="5" t="inlineStr">
        <is>
          <t>State:</t>
        </is>
      </c>
      <c r="E25" s="5" t="inlineStr">
        <is>
          <t>DV-250[0].Page1[0].T78[2]</t>
        </is>
      </c>
      <c r="F25" s="5" t="inlineStr">
        <is>
          <t>text</t>
        </is>
      </c>
      <c r="G25" s="5" t="inlineStr"/>
      <c r="H25" s="5" t="inlineStr"/>
      <c r="I25" s="5" t="inlineStr">
        <is>
          <t>402, 476, 480, 487</t>
        </is>
      </c>
      <c r="J25" s="5" t="inlineStr">
        <is>
          <t>question</t>
        </is>
      </c>
      <c r="K25" s="5" t="inlineStr">
        <is>
          <t>R14</t>
        </is>
      </c>
      <c r="L25" s="5">
        <f> R14.state</f>
        <v/>
      </c>
      <c r="M25" s="5" t="inlineStr"/>
      <c r="N25" s="5" t="inlineStr"/>
      <c r="O25" s="5" t="inlineStr"/>
    </row>
    <row r="26">
      <c r="A26" s="5" t="n">
        <v>25</v>
      </c>
      <c r="B26" s="5" t="n">
        <v>1</v>
      </c>
      <c r="C26" s="5" t="inlineStr">
        <is>
          <t>5b</t>
        </is>
      </c>
      <c r="D26" s="5" t="inlineStr">
        <is>
          <t>City:</t>
        </is>
      </c>
      <c r="E26" s="5" t="inlineStr">
        <is>
          <t>DV-250[0].Page1[0].T79[1]</t>
        </is>
      </c>
      <c r="F26" s="5" t="inlineStr">
        <is>
          <t>text</t>
        </is>
      </c>
      <c r="G26" s="5" t="inlineStr"/>
      <c r="H26" s="5" t="inlineStr"/>
      <c r="I26" s="5" t="inlineStr">
        <is>
          <t>103, 476, 365, 487</t>
        </is>
      </c>
      <c r="J26" s="5" t="inlineStr">
        <is>
          <t>question</t>
        </is>
      </c>
      <c r="K26" s="5" t="inlineStr">
        <is>
          <t>R14</t>
        </is>
      </c>
      <c r="L26" s="5">
        <f> R14.city</f>
        <v/>
      </c>
      <c r="M26" s="5" t="inlineStr"/>
      <c r="N26" s="5" t="inlineStr"/>
      <c r="O26" s="5" t="inlineStr"/>
    </row>
    <row r="27">
      <c r="A27" s="9" t="n">
        <v>26</v>
      </c>
      <c r="B27" s="9" t="n">
        <v>1</v>
      </c>
      <c r="C27" s="9" t="inlineStr">
        <is>
          <t>(server)</t>
        </is>
      </c>
      <c r="D27" s="9" t="inlineStr">
        <is>
          <t>(state):</t>
        </is>
      </c>
      <c r="E27" s="9" t="inlineStr">
        <is>
          <t>DV-250[0].Page1[0].T78[3]</t>
        </is>
      </c>
      <c r="F27" s="9" t="inlineStr">
        <is>
          <t>text</t>
        </is>
      </c>
      <c r="G27" s="9" t="inlineStr"/>
      <c r="H27" s="9" t="inlineStr"/>
      <c r="I27" s="9" t="inlineStr">
        <is>
          <t>418, 501, 490, 512</t>
        </is>
      </c>
      <c r="J27" s="9" t="inlineStr">
        <is>
          <t>server</t>
        </is>
      </c>
      <c r="K27" s="9" t="inlineStr"/>
      <c r="L27" s="9" t="inlineStr"/>
      <c r="M27" s="9" t="inlineStr"/>
      <c r="N27" s="9" t="inlineStr">
        <is>
          <t>Completed by the server.</t>
        </is>
      </c>
      <c r="O27" s="9" t="inlineStr"/>
    </row>
    <row r="28">
      <c r="A28" s="9" t="n">
        <v>27</v>
      </c>
      <c r="B28" s="9" t="n">
        <v>1</v>
      </c>
      <c r="C28" s="9" t="inlineStr">
        <is>
          <t>(server)</t>
        </is>
      </c>
      <c r="D28" s="9" t="inlineStr">
        <is>
          <t>Registration number:</t>
        </is>
      </c>
      <c r="E28" s="9" t="inlineStr">
        <is>
          <t>DV-250[0].Page1[0].T78[4]</t>
        </is>
      </c>
      <c r="F28" s="9" t="inlineStr">
        <is>
          <t>text</t>
        </is>
      </c>
      <c r="G28" s="9" t="inlineStr"/>
      <c r="H28" s="9" t="inlineStr"/>
      <c r="I28" s="9" t="inlineStr">
        <is>
          <t>466, 610, 575, 621</t>
        </is>
      </c>
      <c r="J28" s="9" t="inlineStr">
        <is>
          <t>server</t>
        </is>
      </c>
      <c r="K28" s="9" t="inlineStr"/>
      <c r="L28" s="9" t="inlineStr"/>
      <c r="M28" s="9" t="inlineStr"/>
      <c r="N28" s="9" t="inlineStr">
        <is>
          <t>Completed by the server.</t>
        </is>
      </c>
      <c r="O28" s="9" t="inlineStr"/>
    </row>
    <row r="29">
      <c r="A29" s="9" t="n">
        <v>28</v>
      </c>
      <c r="B29" s="9" t="n">
        <v>1</v>
      </c>
      <c r="C29" s="9" t="inlineStr">
        <is>
          <t>(server)</t>
        </is>
      </c>
      <c r="D29" s="9" t="inlineStr">
        <is>
          <t>Date:</t>
        </is>
      </c>
      <c r="E29" s="9" t="inlineStr">
        <is>
          <t>DV-250[0].Page1[0].PartySignature_dt[0]</t>
        </is>
      </c>
      <c r="F29" s="9" t="inlineStr">
        <is>
          <t>text</t>
        </is>
      </c>
      <c r="G29" s="9" t="inlineStr"/>
      <c r="H29" s="9" t="inlineStr"/>
      <c r="I29" s="9" t="inlineStr">
        <is>
          <t>94, 659, 287, 672</t>
        </is>
      </c>
      <c r="J29" s="9" t="inlineStr">
        <is>
          <t>server</t>
        </is>
      </c>
      <c r="K29" s="9" t="inlineStr"/>
      <c r="L29" s="9" t="inlineStr"/>
      <c r="M29" s="9" t="inlineStr"/>
      <c r="N29" s="9" t="inlineStr">
        <is>
          <t>Completed by the server.</t>
        </is>
      </c>
      <c r="O29" s="9" t="inlineStr"/>
    </row>
    <row r="30">
      <c r="A30" s="9" t="n">
        <v>29</v>
      </c>
      <c r="B30" s="9" t="n">
        <v>1</v>
      </c>
      <c r="C30" s="9" t="inlineStr">
        <is>
          <t>(server)</t>
        </is>
      </c>
      <c r="D30" s="9" t="inlineStr">
        <is>
          <t>Type or print server's name</t>
        </is>
      </c>
      <c r="E30" s="9" t="inlineStr">
        <is>
          <t>DV-250[0].Page1[0].PartyName_ft[0]</t>
        </is>
      </c>
      <c r="F30" s="9" t="inlineStr">
        <is>
          <t>text</t>
        </is>
      </c>
      <c r="G30" s="9" t="inlineStr"/>
      <c r="H30" s="9" t="inlineStr"/>
      <c r="I30" s="9" t="inlineStr">
        <is>
          <t>62, 685, 297, 697</t>
        </is>
      </c>
      <c r="J30" s="9" t="inlineStr">
        <is>
          <t>server</t>
        </is>
      </c>
      <c r="K30" s="9" t="inlineStr"/>
      <c r="L30" s="9" t="inlineStr"/>
      <c r="M30" s="9" t="inlineStr"/>
      <c r="N30" s="9" t="inlineStr">
        <is>
          <t>Completed by the server.</t>
        </is>
      </c>
      <c r="O30" s="9" t="inlineStr"/>
    </row>
    <row r="31">
      <c r="A31" s="7" t="n">
        <v>30</v>
      </c>
      <c r="B31" s="7" t="n">
        <v>1</v>
      </c>
      <c r="C31" s="7" t="inlineStr">
        <is>
          <t>—</t>
        </is>
      </c>
      <c r="D31" s="7" t="inlineStr">
        <is>
          <t>Print this form</t>
        </is>
      </c>
      <c r="E31" s="7" t="inlineStr">
        <is>
          <t>DV-250[0].Page1[0].#area[10].Print[0]</t>
        </is>
      </c>
      <c r="F31" s="7" t="inlineStr">
        <is>
          <t>button</t>
        </is>
      </c>
      <c r="G31" s="7" t="inlineStr"/>
      <c r="H31" s="7" t="inlineStr"/>
      <c r="I31" s="7" t="inlineStr">
        <is>
          <t>259, 760, 340, 777</t>
        </is>
      </c>
      <c r="J31" s="7" t="inlineStr">
        <is>
          <t>ignore (UI button)</t>
        </is>
      </c>
      <c r="K31" s="7" t="inlineStr"/>
      <c r="L31" s="7" t="inlineStr"/>
      <c r="M31" s="7" t="inlineStr"/>
      <c r="N31" s="7" t="inlineStr">
        <is>
          <t>Print/Save/Clear button. Do not fill.</t>
        </is>
      </c>
      <c r="O31" s="7" t="inlineStr"/>
    </row>
    <row r="32">
      <c r="A32" s="7" t="n">
        <v>31</v>
      </c>
      <c r="B32" s="7" t="n">
        <v>1</v>
      </c>
      <c r="C32" s="7" t="inlineStr">
        <is>
          <t>—</t>
        </is>
      </c>
      <c r="D32" s="7" t="inlineStr">
        <is>
          <t>Save this form</t>
        </is>
      </c>
      <c r="E32" s="7" t="inlineStr">
        <is>
          <t>DV-250[0].Page1[0].#area[10].Save[0]</t>
        </is>
      </c>
      <c r="F32" s="7" t="inlineStr">
        <is>
          <t>button</t>
        </is>
      </c>
      <c r="G32" s="7" t="inlineStr"/>
      <c r="H32" s="7" t="inlineStr"/>
      <c r="I32" s="7" t="inlineStr">
        <is>
          <t>345, 760, 426, 777</t>
        </is>
      </c>
      <c r="J32" s="7" t="inlineStr">
        <is>
          <t>ignore (UI button)</t>
        </is>
      </c>
      <c r="K32" s="7" t="inlineStr"/>
      <c r="L32" s="7" t="inlineStr"/>
      <c r="M32" s="7" t="inlineStr"/>
      <c r="N32" s="7" t="inlineStr">
        <is>
          <t>Print/Save/Clear button. Do not fill.</t>
        </is>
      </c>
      <c r="O32" s="7" t="inlineStr"/>
    </row>
    <row r="33">
      <c r="A33" s="7" t="n">
        <v>32</v>
      </c>
      <c r="B33" s="7" t="n">
        <v>1</v>
      </c>
      <c r="C33" s="7" t="inlineStr">
        <is>
          <t>—</t>
        </is>
      </c>
      <c r="D33" s="7" t="inlineStr">
        <is>
          <t>Clear this form</t>
        </is>
      </c>
      <c r="E33" s="7" t="inlineStr">
        <is>
          <t>DV-250[0].Page1[0].#area[10].Reset[0]</t>
        </is>
      </c>
      <c r="F33" s="7" t="inlineStr">
        <is>
          <t>button</t>
        </is>
      </c>
      <c r="G33" s="7" t="inlineStr"/>
      <c r="H33" s="7" t="inlineStr"/>
      <c r="I33" s="7" t="inlineStr">
        <is>
          <t>495, 760, 576, 777</t>
        </is>
      </c>
      <c r="J33" s="7" t="inlineStr">
        <is>
          <t>ignore (UI button)</t>
        </is>
      </c>
      <c r="K33" s="7" t="inlineStr"/>
      <c r="L33" s="7" t="inlineStr"/>
      <c r="M33" s="7" t="inlineStr"/>
      <c r="N33" s="7" t="inlineStr">
        <is>
          <t>Print/Save/Clear button. Do not fill.</t>
        </is>
      </c>
      <c r="O33" s="7" t="inlineStr"/>
    </row>
    <row r="34">
      <c r="A34" s="7" t="n">
        <v>33</v>
      </c>
      <c r="B34" s="7" t="n">
        <v>1</v>
      </c>
      <c r="C34" s="7" t="inlineStr">
        <is>
          <t>—</t>
        </is>
      </c>
      <c r="D34" s="7" t="inlineStr">
        <is>
          <t>For your protection and privacy, please press the Clear This Form button after you have printed the form.</t>
        </is>
      </c>
      <c r="E34" s="7" t="inlineStr">
        <is>
          <t>DV-250[0].Page1[0].#area[10].Warning[0]</t>
        </is>
      </c>
      <c r="F34" s="7" t="inlineStr">
        <is>
          <t>button</t>
        </is>
      </c>
      <c r="G34" s="7" t="inlineStr"/>
      <c r="H34" s="7" t="inlineStr"/>
      <c r="I34" s="7" t="inlineStr">
        <is>
          <t>36, 754, 247, 777</t>
        </is>
      </c>
      <c r="J34" s="7" t="inlineStr">
        <is>
          <t>ignore (UI button)</t>
        </is>
      </c>
      <c r="K34" s="7" t="inlineStr"/>
      <c r="L34" s="7" t="inlineStr"/>
      <c r="M34" s="7" t="inlineStr"/>
      <c r="N34" s="7" t="inlineStr">
        <is>
          <t>Print/Save/Clear button. Do not fill.</t>
        </is>
      </c>
      <c r="O34" s="7" t="inlineStr"/>
    </row>
  </sheetData>
  <autoFilter ref="A1:O34"/>
  <dataValidations count="1">
    <dataValidation sqref="J2:J34" showDropDown="0" showInputMessage="0" showErrorMessage="0" allowBlank="1" type="list">
      <formula1>"question,derived,court/clerk,server,ignore (UI button)"</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17"/>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8" t="n">
        <v>1</v>
      </c>
      <c r="B2" s="8" t="n">
        <v>1</v>
      </c>
      <c r="C2" s="8" t="inlineStr">
        <is>
          <t>Caption</t>
        </is>
      </c>
      <c r="D2" s="8" t="inlineStr">
        <is>
          <t>Superior Court of California, County of Corte Superior de California, Condado de</t>
        </is>
      </c>
      <c r="E2" s="8" t="inlineStr">
        <is>
          <t>DV-210[0].Page1[0].RightCaption[0].CourtInfo_ft[0]</t>
        </is>
      </c>
      <c r="F2" s="8" t="inlineStr">
        <is>
          <t>text</t>
        </is>
      </c>
      <c r="G2" s="8" t="inlineStr"/>
      <c r="H2" s="8" t="inlineStr"/>
      <c r="I2" s="8" t="inlineStr">
        <is>
          <t>399, 251, 574, 308</t>
        </is>
      </c>
      <c r="J2" s="8" t="inlineStr">
        <is>
          <t>court/clerk</t>
        </is>
      </c>
      <c r="K2" s="8" t="inlineStr"/>
      <c r="L2" s="8" t="inlineStr"/>
      <c r="M2" s="8" t="inlineStr"/>
      <c r="N2" s="8" t="inlineStr">
        <is>
          <t>The form says to complete items 1 and 2 only. COURTCAP could be filled if your court allows it.</t>
        </is>
      </c>
      <c r="O2" s="8" t="inlineStr"/>
    </row>
    <row r="3">
      <c r="A3" s="8" t="n">
        <v>2</v>
      </c>
      <c r="B3" s="8" t="n">
        <v>1</v>
      </c>
      <c r="C3" s="8" t="inlineStr">
        <is>
          <t>(court)</t>
        </is>
      </c>
      <c r="D3" s="8" t="inlineStr">
        <is>
          <t>Case Number: Número de caso:</t>
        </is>
      </c>
      <c r="E3" s="8" t="inlineStr">
        <is>
          <t>DV-210[0].Page1[0].RightCaption[0].CaseNumber_ft[0]</t>
        </is>
      </c>
      <c r="F3" s="8" t="inlineStr">
        <is>
          <t>text</t>
        </is>
      </c>
      <c r="G3" s="8" t="inlineStr"/>
      <c r="H3" s="8" t="inlineStr"/>
      <c r="I3" s="8" t="inlineStr">
        <is>
          <t>398, 336, 573, 356</t>
        </is>
      </c>
      <c r="J3" s="8" t="inlineStr">
        <is>
          <t>court/clerk</t>
        </is>
      </c>
      <c r="K3" s="8" t="inlineStr"/>
      <c r="L3" s="8" t="inlineStr"/>
      <c r="M3" s="8" t="inlineStr"/>
      <c r="N3" s="8" t="inlineStr">
        <is>
          <t>"The court will complete the rest of this form."</t>
        </is>
      </c>
      <c r="O3" s="8" t="inlineStr"/>
    </row>
    <row r="4">
      <c r="A4" s="5" t="n">
        <v>3</v>
      </c>
      <c r="B4" s="5" t="n">
        <v>1</v>
      </c>
      <c r="C4" s="5" t="inlineStr">
        <is>
          <t>1</t>
        </is>
      </c>
      <c r="D4" s="5" t="inlineStr">
        <is>
          <t>Person asking for protection:  La persona que solicita protección:</t>
        </is>
      </c>
      <c r="E4" s="5" t="inlineStr">
        <is>
          <t>DV-210[0].Page1[0].Item1[0].T233[0]</t>
        </is>
      </c>
      <c r="F4" s="5" t="inlineStr">
        <is>
          <t>text</t>
        </is>
      </c>
      <c r="G4" s="5" t="inlineStr"/>
      <c r="H4" s="5" t="inlineStr"/>
      <c r="I4" s="5" t="inlineStr">
        <is>
          <t>61, 142, 387, 168</t>
        </is>
      </c>
      <c r="J4" s="5" t="inlineStr">
        <is>
          <t>question</t>
        </is>
      </c>
      <c r="K4" s="5" t="inlineStr">
        <is>
          <t>P1</t>
        </is>
      </c>
      <c r="L4" s="5">
        <f> P1</f>
        <v/>
      </c>
      <c r="M4" s="5" t="inlineStr">
        <is>
          <t>X3 == "Y"</t>
        </is>
      </c>
      <c r="N4" s="5" t="inlineStr"/>
      <c r="O4" s="5" t="inlineStr"/>
    </row>
    <row r="5">
      <c r="A5" s="5" t="n">
        <v>4</v>
      </c>
      <c r="B5" s="5" t="n">
        <v>1</v>
      </c>
      <c r="C5" s="5" t="inlineStr">
        <is>
          <t>2</t>
        </is>
      </c>
      <c r="D5" s="5" t="inlineStr">
        <is>
          <t>Notice to (name of person to be restrained): Aviso a (nombre de la persona a ser restringida):</t>
        </is>
      </c>
      <c r="E5" s="5" t="inlineStr">
        <is>
          <t>DV-210[0].Page1[0].Item2[0].T238[0]</t>
        </is>
      </c>
      <c r="F5" s="5" t="inlineStr">
        <is>
          <t>text</t>
        </is>
      </c>
      <c r="G5" s="5" t="inlineStr"/>
      <c r="H5" s="5" t="inlineStr"/>
      <c r="I5" s="5" t="inlineStr">
        <is>
          <t>61, 210, 388, 240</t>
        </is>
      </c>
      <c r="J5" s="5" t="inlineStr">
        <is>
          <t>question</t>
        </is>
      </c>
      <c r="K5" s="5" t="inlineStr">
        <is>
          <t>R1</t>
        </is>
      </c>
      <c r="L5" s="5">
        <f> R1</f>
        <v/>
      </c>
      <c r="M5" s="5" t="inlineStr">
        <is>
          <t>X3 == "Y"</t>
        </is>
      </c>
      <c r="N5" s="5" t="inlineStr"/>
      <c r="O5" s="5" t="inlineStr"/>
    </row>
    <row r="6">
      <c r="A6" s="8" t="n">
        <v>5</v>
      </c>
      <c r="B6" s="8" t="n">
        <v>1</v>
      </c>
      <c r="C6" s="8" t="inlineStr">
        <is>
          <t>(court)</t>
        </is>
      </c>
      <c r="D6" s="8" t="inlineStr">
        <is>
          <t>Date     Fecha:</t>
        </is>
      </c>
      <c r="E6" s="8" t="inlineStr">
        <is>
          <t>DV-210[0].Page1[0].Item3[0].T137[0]</t>
        </is>
      </c>
      <c r="F6" s="8" t="inlineStr">
        <is>
          <t>text</t>
        </is>
      </c>
      <c r="G6" s="8" t="inlineStr"/>
      <c r="H6" s="8" t="inlineStr"/>
      <c r="I6" s="8" t="inlineStr">
        <is>
          <t>128, 426, 232, 437</t>
        </is>
      </c>
      <c r="J6" s="8" t="inlineStr">
        <is>
          <t>court/clerk</t>
        </is>
      </c>
      <c r="K6" s="8" t="inlineStr"/>
      <c r="L6" s="8" t="inlineStr"/>
      <c r="M6" s="8" t="inlineStr"/>
      <c r="N6" s="8" t="inlineStr">
        <is>
          <t>"The court will complete the rest of this form."</t>
        </is>
      </c>
      <c r="O6" s="8" t="inlineStr"/>
    </row>
    <row r="7">
      <c r="A7" s="8" t="n">
        <v>6</v>
      </c>
      <c r="B7" s="8" t="n">
        <v>1</v>
      </c>
      <c r="C7" s="8" t="inlineStr">
        <is>
          <t>(court)</t>
        </is>
      </c>
      <c r="D7" s="8" t="inlineStr">
        <is>
          <t>Time    Hora:</t>
        </is>
      </c>
      <c r="E7" s="8" t="inlineStr">
        <is>
          <t>DV-210[0].Page1[0].Item3[0].T138[0]</t>
        </is>
      </c>
      <c r="F7" s="8" t="inlineStr">
        <is>
          <t>text</t>
        </is>
      </c>
      <c r="G7" s="8" t="inlineStr"/>
      <c r="H7" s="8" t="inlineStr"/>
      <c r="I7" s="8" t="inlineStr">
        <is>
          <t>128, 441, 232, 452</t>
        </is>
      </c>
      <c r="J7" s="8" t="inlineStr">
        <is>
          <t>court/clerk</t>
        </is>
      </c>
      <c r="K7" s="8" t="inlineStr"/>
      <c r="L7" s="8" t="inlineStr"/>
      <c r="M7" s="8" t="inlineStr"/>
      <c r="N7" s="8" t="inlineStr">
        <is>
          <t>"The court will complete the rest of this form."</t>
        </is>
      </c>
      <c r="O7" s="8" t="inlineStr"/>
    </row>
    <row r="8">
      <c r="A8" s="8" t="n">
        <v>7</v>
      </c>
      <c r="B8" s="8" t="n">
        <v>1</v>
      </c>
      <c r="C8" s="8" t="inlineStr">
        <is>
          <t>(court)</t>
        </is>
      </c>
      <c r="D8" s="8" t="inlineStr">
        <is>
          <t>Dept.   Depto.:</t>
        </is>
      </c>
      <c r="E8" s="8" t="inlineStr">
        <is>
          <t>DV-210[0].Page1[0].Item3[0].T146[0]</t>
        </is>
      </c>
      <c r="F8" s="8" t="inlineStr">
        <is>
          <t>text</t>
        </is>
      </c>
      <c r="G8" s="8" t="inlineStr"/>
      <c r="H8" s="8" t="inlineStr"/>
      <c r="I8" s="8" t="inlineStr">
        <is>
          <t>129, 455, 232, 466</t>
        </is>
      </c>
      <c r="J8" s="8" t="inlineStr">
        <is>
          <t>court/clerk</t>
        </is>
      </c>
      <c r="K8" s="8" t="inlineStr"/>
      <c r="L8" s="8" t="inlineStr"/>
      <c r="M8" s="8" t="inlineStr"/>
      <c r="N8" s="8" t="inlineStr">
        <is>
          <t>"The court will complete the rest of this form."</t>
        </is>
      </c>
      <c r="O8" s="8" t="inlineStr"/>
    </row>
    <row r="9">
      <c r="A9" s="8" t="n">
        <v>8</v>
      </c>
      <c r="B9" s="8" t="n">
        <v>1</v>
      </c>
      <c r="C9" s="8" t="inlineStr">
        <is>
          <t>(court)</t>
        </is>
      </c>
      <c r="D9" s="8" t="inlineStr">
        <is>
          <t>Room Sala:</t>
        </is>
      </c>
      <c r="E9" s="8" t="inlineStr">
        <is>
          <t>DV-210[0].Page1[0].Item3[0].T145[0]</t>
        </is>
      </c>
      <c r="F9" s="8" t="inlineStr">
        <is>
          <t>text</t>
        </is>
      </c>
      <c r="G9" s="8" t="inlineStr"/>
      <c r="H9" s="8" t="inlineStr"/>
      <c r="I9" s="8" t="inlineStr">
        <is>
          <t>128, 468, 233, 479</t>
        </is>
      </c>
      <c r="J9" s="8" t="inlineStr">
        <is>
          <t>court/clerk</t>
        </is>
      </c>
      <c r="K9" s="8" t="inlineStr"/>
      <c r="L9" s="8" t="inlineStr"/>
      <c r="M9" s="8" t="inlineStr"/>
      <c r="N9" s="8" t="inlineStr">
        <is>
          <t>"The court will complete the rest of this form."</t>
        </is>
      </c>
      <c r="O9" s="8" t="inlineStr"/>
    </row>
    <row r="10">
      <c r="A10" s="8" t="n">
        <v>9</v>
      </c>
      <c r="B10" s="8" t="n">
        <v>1</v>
      </c>
      <c r="C10" s="8" t="inlineStr">
        <is>
          <t>(court)</t>
        </is>
      </c>
      <c r="D10" s="8" t="inlineStr">
        <is>
          <t>Name and address of court, if different from above: Nombre y dirección de la corte, si no es la misma de arriba:</t>
        </is>
      </c>
      <c r="E10" s="8" t="inlineStr">
        <is>
          <t>DV-210[0].Page1[0].Item3[0].MultiLineField[0].TextField2[0]</t>
        </is>
      </c>
      <c r="F10" s="8" t="inlineStr">
        <is>
          <t>text</t>
        </is>
      </c>
      <c r="G10" s="8" t="inlineStr"/>
      <c r="H10" s="8" t="inlineStr"/>
      <c r="I10" s="8" t="inlineStr">
        <is>
          <t>241, 438, 575, 478</t>
        </is>
      </c>
      <c r="J10" s="8" t="inlineStr">
        <is>
          <t>court/clerk</t>
        </is>
      </c>
      <c r="K10" s="8" t="inlineStr"/>
      <c r="L10" s="8" t="inlineStr"/>
      <c r="M10" s="8" t="inlineStr"/>
      <c r="N10" s="8" t="inlineStr">
        <is>
          <t>"The court will complete the rest of this form."</t>
        </is>
      </c>
      <c r="O10" s="8" t="inlineStr"/>
    </row>
    <row r="11">
      <c r="A11" s="8" t="n">
        <v>10</v>
      </c>
      <c r="B11" s="8" t="n">
        <v>2</v>
      </c>
      <c r="C11" s="8" t="inlineStr">
        <is>
          <t>(court)</t>
        </is>
      </c>
      <c r="D11" s="8" t="inlineStr">
        <is>
          <t>Case Number: Número de caso:</t>
        </is>
      </c>
      <c r="E11" s="8" t="inlineStr">
        <is>
          <t>DV-210[0].Page2[0].TopCaption[0].CaseNumber_ft[0]</t>
        </is>
      </c>
      <c r="F11" s="8" t="inlineStr">
        <is>
          <t>text</t>
        </is>
      </c>
      <c r="G11" s="8" t="inlineStr"/>
      <c r="H11" s="8" t="inlineStr"/>
      <c r="I11" s="8" t="inlineStr">
        <is>
          <t>382, 52, 573, 68</t>
        </is>
      </c>
      <c r="J11" s="8" t="inlineStr">
        <is>
          <t>court/clerk</t>
        </is>
      </c>
      <c r="K11" s="8" t="inlineStr"/>
      <c r="L11" s="8" t="inlineStr"/>
      <c r="M11" s="8" t="inlineStr"/>
      <c r="N11" s="8" t="inlineStr">
        <is>
          <t>"The court will complete the rest of this form."</t>
        </is>
      </c>
      <c r="O11" s="8" t="inlineStr"/>
    </row>
    <row r="12">
      <c r="A12" s="8" t="n">
        <v>11</v>
      </c>
      <c r="B12" s="8" t="n">
        <v>2</v>
      </c>
      <c r="C12" s="8" t="inlineStr">
        <is>
          <t>(court)</t>
        </is>
      </c>
      <c r="D12" s="8" t="inlineStr">
        <is>
          <t>Date (Fecha):</t>
        </is>
      </c>
      <c r="E12" s="8" t="inlineStr">
        <is>
          <t>DV-210[0].Page2[0].T58[0]</t>
        </is>
      </c>
      <c r="F12" s="8" t="inlineStr">
        <is>
          <t>text</t>
        </is>
      </c>
      <c r="G12" s="8" t="inlineStr"/>
      <c r="H12" s="8" t="inlineStr"/>
      <c r="I12" s="8" t="inlineStr">
        <is>
          <t>213, 643, 286, 654</t>
        </is>
      </c>
      <c r="J12" s="8" t="inlineStr">
        <is>
          <t>court/clerk</t>
        </is>
      </c>
      <c r="K12" s="8" t="inlineStr"/>
      <c r="L12" s="8" t="inlineStr"/>
      <c r="M12" s="8" t="inlineStr"/>
      <c r="N12" s="8" t="inlineStr">
        <is>
          <t>"The court will complete the rest of this form."</t>
        </is>
      </c>
      <c r="O12" s="8" t="inlineStr"/>
    </row>
    <row r="13">
      <c r="A13" s="8" t="n">
        <v>12</v>
      </c>
      <c r="B13" s="8" t="n">
        <v>2</v>
      </c>
      <c r="C13" s="8" t="inlineStr">
        <is>
          <t>(court)</t>
        </is>
      </c>
      <c r="D13" s="8" t="inlineStr">
        <is>
          <t>Clerk, by (Secretario, por):</t>
        </is>
      </c>
      <c r="E13" s="8" t="inlineStr">
        <is>
          <t>DV-210[0].Page2[0].T56[0]</t>
        </is>
      </c>
      <c r="F13" s="8" t="inlineStr">
        <is>
          <t>text</t>
        </is>
      </c>
      <c r="G13" s="8" t="inlineStr"/>
      <c r="H13" s="8" t="inlineStr"/>
      <c r="I13" s="8" t="inlineStr">
        <is>
          <t>413, 644, 566, 655</t>
        </is>
      </c>
      <c r="J13" s="8" t="inlineStr">
        <is>
          <t>court/clerk</t>
        </is>
      </c>
      <c r="K13" s="8" t="inlineStr"/>
      <c r="L13" s="8" t="inlineStr"/>
      <c r="M13" s="8" t="inlineStr"/>
      <c r="N13" s="8" t="inlineStr">
        <is>
          <t>"The court will complete the rest of this form."</t>
        </is>
      </c>
      <c r="O13" s="8" t="inlineStr"/>
    </row>
    <row r="14">
      <c r="A14" s="7" t="n">
        <v>13</v>
      </c>
      <c r="B14" s="7" t="n">
        <v>2</v>
      </c>
      <c r="C14" s="7" t="inlineStr">
        <is>
          <t>—</t>
        </is>
      </c>
      <c r="D14" s="7" t="inlineStr">
        <is>
          <t>For your protection and privacy, please press the Clear This Form button after you have printed the form.</t>
        </is>
      </c>
      <c r="E14" s="7" t="inlineStr">
        <is>
          <t>DV-210[0].Page2[0].#area[0].Warning[0]</t>
        </is>
      </c>
      <c r="F14" s="7" t="inlineStr">
        <is>
          <t>button</t>
        </is>
      </c>
      <c r="G14" s="7" t="inlineStr"/>
      <c r="H14" s="7" t="inlineStr"/>
      <c r="I14" s="7" t="inlineStr">
        <is>
          <t>36, 754, 247, 777</t>
        </is>
      </c>
      <c r="J14" s="7" t="inlineStr">
        <is>
          <t>ignore (UI button)</t>
        </is>
      </c>
      <c r="K14" s="7" t="inlineStr"/>
      <c r="L14" s="7" t="inlineStr"/>
      <c r="M14" s="7" t="inlineStr"/>
      <c r="N14" s="7" t="inlineStr">
        <is>
          <t>Print/Save/Clear button. Do not fill.</t>
        </is>
      </c>
      <c r="O14" s="7" t="inlineStr"/>
    </row>
    <row r="15">
      <c r="A15" s="7" t="n">
        <v>14</v>
      </c>
      <c r="B15" s="7" t="n">
        <v>2</v>
      </c>
      <c r="C15" s="7" t="inlineStr">
        <is>
          <t>—</t>
        </is>
      </c>
      <c r="D15" s="7" t="inlineStr">
        <is>
          <t>Print this form</t>
        </is>
      </c>
      <c r="E15" s="7" t="inlineStr">
        <is>
          <t>DV-210[0].Page2[0].#area[0].Print[0]</t>
        </is>
      </c>
      <c r="F15" s="7" t="inlineStr">
        <is>
          <t>button</t>
        </is>
      </c>
      <c r="G15" s="7" t="inlineStr"/>
      <c r="H15" s="7" t="inlineStr"/>
      <c r="I15" s="7" t="inlineStr">
        <is>
          <t>258, 760, 339, 777</t>
        </is>
      </c>
      <c r="J15" s="7" t="inlineStr">
        <is>
          <t>ignore (UI button)</t>
        </is>
      </c>
      <c r="K15" s="7" t="inlineStr"/>
      <c r="L15" s="7" t="inlineStr"/>
      <c r="M15" s="7" t="inlineStr"/>
      <c r="N15" s="7" t="inlineStr">
        <is>
          <t>Print/Save/Clear button. Do not fill.</t>
        </is>
      </c>
      <c r="O15" s="7" t="inlineStr"/>
    </row>
    <row r="16">
      <c r="A16" s="7" t="n">
        <v>15</v>
      </c>
      <c r="B16" s="7" t="n">
        <v>2</v>
      </c>
      <c r="C16" s="7" t="inlineStr">
        <is>
          <t>—</t>
        </is>
      </c>
      <c r="D16" s="7" t="inlineStr">
        <is>
          <t>Save this form</t>
        </is>
      </c>
      <c r="E16" s="7" t="inlineStr">
        <is>
          <t>DV-210[0].Page2[0].#area[0].Save[0]</t>
        </is>
      </c>
      <c r="F16" s="7" t="inlineStr">
        <is>
          <t>button</t>
        </is>
      </c>
      <c r="G16" s="7" t="inlineStr"/>
      <c r="H16" s="7" t="inlineStr"/>
      <c r="I16" s="7" t="inlineStr">
        <is>
          <t>345, 760, 426, 777</t>
        </is>
      </c>
      <c r="J16" s="7" t="inlineStr">
        <is>
          <t>ignore (UI button)</t>
        </is>
      </c>
      <c r="K16" s="7" t="inlineStr"/>
      <c r="L16" s="7" t="inlineStr"/>
      <c r="M16" s="7" t="inlineStr"/>
      <c r="N16" s="7" t="inlineStr">
        <is>
          <t>Print/Save/Clear button. Do not fill.</t>
        </is>
      </c>
      <c r="O16" s="7" t="inlineStr"/>
    </row>
    <row r="17">
      <c r="A17" s="7" t="n">
        <v>16</v>
      </c>
      <c r="B17" s="7" t="n">
        <v>2</v>
      </c>
      <c r="C17" s="7" t="inlineStr">
        <is>
          <t>—</t>
        </is>
      </c>
      <c r="D17" s="7" t="inlineStr">
        <is>
          <t>Clear this form</t>
        </is>
      </c>
      <c r="E17" s="7" t="inlineStr">
        <is>
          <t>DV-210[0].Page2[0].#area[0].Reset[0]</t>
        </is>
      </c>
      <c r="F17" s="7" t="inlineStr">
        <is>
          <t>button</t>
        </is>
      </c>
      <c r="G17" s="7" t="inlineStr"/>
      <c r="H17" s="7" t="inlineStr"/>
      <c r="I17" s="7" t="inlineStr">
        <is>
          <t>495, 760, 576, 777</t>
        </is>
      </c>
      <c r="J17" s="7" t="inlineStr">
        <is>
          <t>ignore (UI button)</t>
        </is>
      </c>
      <c r="K17" s="7" t="inlineStr"/>
      <c r="L17" s="7" t="inlineStr"/>
      <c r="M17" s="7" t="inlineStr"/>
      <c r="N17" s="7" t="inlineStr">
        <is>
          <t>Print/Save/Clear button. Do not fill.</t>
        </is>
      </c>
      <c r="O17" s="7" t="inlineStr"/>
    </row>
  </sheetData>
  <autoFilter ref="A1:O17"/>
  <dataValidations count="1">
    <dataValidation sqref="J2:J17" showDropDown="0" showInputMessage="0" showErrorMessage="0" allowBlank="1" type="list">
      <formula1>"question,derived,court/clerk,server,ignore (UI button)"</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252"/>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7" t="n">
        <v>1</v>
      </c>
      <c r="B2" s="7" t="n">
        <v>1</v>
      </c>
      <c r="C2" s="7" t="inlineStr">
        <is>
          <t>—</t>
        </is>
      </c>
      <c r="D2" s="7" t="inlineStr">
        <is>
          <t>WWW DOT COURTS DOT CA DOT GOV</t>
        </is>
      </c>
      <c r="E2" s="7" t="inlineStr">
        <is>
          <t>DV-130[0].#pageSet[0].PageArea1[0].FooterSub[0].CourtLink[0]</t>
        </is>
      </c>
      <c r="F2" s="7" t="inlineStr">
        <is>
          <t>button</t>
        </is>
      </c>
      <c r="G2" s="7" t="inlineStr"/>
      <c r="H2" s="7" t="inlineStr"/>
      <c r="I2" s="7" t="inlineStr">
        <is>
          <t>115, 721, 151, 727</t>
        </is>
      </c>
      <c r="J2" s="7" t="inlineStr">
        <is>
          <t>ignore (UI button)</t>
        </is>
      </c>
      <c r="K2" s="7" t="inlineStr"/>
      <c r="L2" s="7" t="inlineStr"/>
      <c r="M2" s="7" t="inlineStr"/>
      <c r="N2" s="7" t="inlineStr">
        <is>
          <t>Print/Save/Clear button. Do not fill.</t>
        </is>
      </c>
      <c r="O2" s="7" t="inlineStr"/>
    </row>
    <row r="3">
      <c r="A3" s="6" t="n">
        <v>2</v>
      </c>
      <c r="B3" s="6" t="n">
        <v>1</v>
      </c>
      <c r="C3" s="6" t="inlineStr">
        <is>
          <t>Caption</t>
        </is>
      </c>
      <c r="D3" s="6" t="inlineStr">
        <is>
          <t>Superior Court of California, County of</t>
        </is>
      </c>
      <c r="E3" s="6" t="inlineStr">
        <is>
          <t>DV-130[0].Page1[0].CourtInfo_ft[0]</t>
        </is>
      </c>
      <c r="F3" s="6" t="inlineStr">
        <is>
          <t>text</t>
        </is>
      </c>
      <c r="G3" s="6" t="inlineStr"/>
      <c r="H3" s="6" t="inlineStr"/>
      <c r="I3" s="6" t="inlineStr">
        <is>
          <t>400, 210, 575, 277</t>
        </is>
      </c>
      <c r="J3" s="6" t="inlineStr">
        <is>
          <t>derived</t>
        </is>
      </c>
      <c r="K3" s="6" t="inlineStr">
        <is>
          <t>S1,S2</t>
        </is>
      </c>
      <c r="L3" s="6">
        <f> S1.countyName + "\n" + courthouse(S1,S2).streetAddress + ", " + courthouse(S1,S2).cityZip</f>
        <v/>
      </c>
      <c r="M3" s="6" t="inlineStr"/>
      <c r="N3" s="6" t="inlineStr"/>
      <c r="O3" s="6" t="inlineStr"/>
    </row>
    <row r="4">
      <c r="A4" s="5" t="n">
        <v>3</v>
      </c>
      <c r="B4" s="5" t="n">
        <v>1</v>
      </c>
      <c r="C4" s="5" t="inlineStr">
        <is>
          <t>Caption</t>
        </is>
      </c>
      <c r="D4" s="5" t="inlineStr">
        <is>
          <t>Case Number:</t>
        </is>
      </c>
      <c r="E4" s="5" t="inlineStr">
        <is>
          <t>DV-130[0].Page1[0].CaseNumber_ft[0]</t>
        </is>
      </c>
      <c r="F4" s="5" t="inlineStr">
        <is>
          <t>text</t>
        </is>
      </c>
      <c r="G4" s="5" t="inlineStr"/>
      <c r="H4" s="5" t="inlineStr"/>
      <c r="I4" s="5" t="inlineStr">
        <is>
          <t>400, 307, 575, 323</t>
        </is>
      </c>
      <c r="J4" s="5" t="inlineStr">
        <is>
          <t>question</t>
        </is>
      </c>
      <c r="K4" s="5" t="inlineStr">
        <is>
          <t>X0</t>
        </is>
      </c>
      <c r="L4" s="5">
        <f> X0</f>
        <v/>
      </c>
      <c r="M4" s="5" t="inlineStr">
        <is>
          <t>stage 3</t>
        </is>
      </c>
      <c r="N4" s="5" t="inlineStr">
        <is>
          <t>Case number from the returned papers (new X0).</t>
        </is>
      </c>
      <c r="O4" s="5" t="inlineStr"/>
    </row>
    <row r="5">
      <c r="A5" s="8" t="n">
        <v>4</v>
      </c>
      <c r="B5" s="8" t="n">
        <v>1</v>
      </c>
      <c r="C5" s="8" t="inlineStr">
        <is>
          <t>(court)</t>
        </is>
      </c>
      <c r="D5" s="8" t="inlineStr">
        <is>
          <t>Original Order</t>
        </is>
      </c>
      <c r="E5" s="8" t="inlineStr">
        <is>
          <t>DV-130[0].Page1[0].TopOrder_cb[0]</t>
        </is>
      </c>
      <c r="F5" s="8" t="inlineStr">
        <is>
          <t>checkbox</t>
        </is>
      </c>
      <c r="G5" s="8" t="inlineStr">
        <is>
          <t>11</t>
        </is>
      </c>
      <c r="H5" s="8" t="inlineStr"/>
      <c r="I5" s="8" t="inlineStr">
        <is>
          <t>60, 75, 69, 84</t>
        </is>
      </c>
      <c r="J5" s="8" t="inlineStr">
        <is>
          <t>court/clerk</t>
        </is>
      </c>
      <c r="K5" s="8" t="inlineStr"/>
      <c r="L5" s="8" t="inlineStr"/>
      <c r="M5" s="8" t="inlineStr"/>
      <c r="N5" s="8" t="inlineStr">
        <is>
          <t>Judge completes. Court-order rule: party and children info only.</t>
        </is>
      </c>
      <c r="O5" s="8" t="inlineStr"/>
    </row>
    <row r="6">
      <c r="A6" s="8" t="n">
        <v>5</v>
      </c>
      <c r="B6" s="8" t="n">
        <v>1</v>
      </c>
      <c r="C6" s="8" t="inlineStr">
        <is>
          <t>(court)</t>
        </is>
      </c>
      <c r="D6" s="8" t="inlineStr">
        <is>
          <t>Amended Order</t>
        </is>
      </c>
      <c r="E6" s="8" t="inlineStr">
        <is>
          <t>DV-130[0].Page1[0].TopOrder_cb[1]</t>
        </is>
      </c>
      <c r="F6" s="8" t="inlineStr">
        <is>
          <t>checkbox</t>
        </is>
      </c>
      <c r="G6" s="8" t="inlineStr">
        <is>
          <t>1</t>
        </is>
      </c>
      <c r="H6" s="8" t="inlineStr"/>
      <c r="I6" s="8" t="inlineStr">
        <is>
          <t>181, 75, 190, 84</t>
        </is>
      </c>
      <c r="J6" s="8" t="inlineStr">
        <is>
          <t>court/clerk</t>
        </is>
      </c>
      <c r="K6" s="8" t="inlineStr"/>
      <c r="L6" s="8" t="inlineStr"/>
      <c r="M6" s="8" t="inlineStr"/>
      <c r="N6" s="8" t="inlineStr">
        <is>
          <t>Judge completes. Court-order rule: party and children info only.</t>
        </is>
      </c>
      <c r="O6" s="8" t="inlineStr"/>
    </row>
    <row r="7">
      <c r="A7" s="8" t="n">
        <v>6</v>
      </c>
      <c r="B7" s="8" t="n">
        <v>1</v>
      </c>
      <c r="C7" s="8" t="inlineStr">
        <is>
          <t>(court)</t>
        </is>
      </c>
      <c r="D7" s="8" t="inlineStr">
        <is>
          <t>Number of times order has been amended.</t>
        </is>
      </c>
      <c r="E7" s="8" t="inlineStr">
        <is>
          <t>DV-130[0].Page1[0].AmendOrder_tf[0]</t>
        </is>
      </c>
      <c r="F7" s="8" t="inlineStr">
        <is>
          <t>text</t>
        </is>
      </c>
      <c r="G7" s="8" t="inlineStr"/>
      <c r="H7" s="8" t="inlineStr"/>
      <c r="I7" s="8" t="inlineStr">
        <is>
          <t>192, 74, 229, 86</t>
        </is>
      </c>
      <c r="J7" s="8" t="inlineStr">
        <is>
          <t>court/clerk</t>
        </is>
      </c>
      <c r="K7" s="8" t="inlineStr"/>
      <c r="L7" s="8" t="inlineStr"/>
      <c r="M7" s="8" t="inlineStr"/>
      <c r="N7" s="8" t="inlineStr">
        <is>
          <t>Judge completes. Court-order rule: party and children info only.</t>
        </is>
      </c>
      <c r="O7" s="8" t="inlineStr"/>
    </row>
    <row r="8">
      <c r="A8" s="5" t="n">
        <v>7</v>
      </c>
      <c r="B8" s="5" t="n">
        <v>1</v>
      </c>
      <c r="C8" s="5" t="inlineStr">
        <is>
          <t>1</t>
        </is>
      </c>
      <c r="D8" s="5" t="inlineStr">
        <is>
          <t>Protected Person (name):</t>
        </is>
      </c>
      <c r="E8" s="5" t="inlineStr">
        <is>
          <t>DV-130[0].Page1[0].List1[0].Li1[0].TextFielditem1[0]</t>
        </is>
      </c>
      <c r="F8" s="5" t="inlineStr">
        <is>
          <t>text</t>
        </is>
      </c>
      <c r="G8" s="5" t="inlineStr"/>
      <c r="H8" s="5" t="inlineStr"/>
      <c r="I8" s="5" t="inlineStr">
        <is>
          <t>201, 102, 393, 117</t>
        </is>
      </c>
      <c r="J8" s="5" t="inlineStr">
        <is>
          <t>question</t>
        </is>
      </c>
      <c r="K8" s="5" t="inlineStr">
        <is>
          <t>P1</t>
        </is>
      </c>
      <c r="L8" s="5">
        <f> P1 [line 1]</f>
        <v/>
      </c>
      <c r="M8" s="5" t="inlineStr"/>
      <c r="N8" s="5" t="inlineStr"/>
      <c r="O8" s="5" t="inlineStr"/>
    </row>
    <row r="9">
      <c r="A9" s="5" t="n">
        <v>8</v>
      </c>
      <c r="B9" s="5" t="n">
        <v>1</v>
      </c>
      <c r="C9" s="5" t="inlineStr">
        <is>
          <t>1</t>
        </is>
      </c>
      <c r="D9" s="5" t="inlineStr">
        <is>
          <t>Protected Person (name) continued</t>
        </is>
      </c>
      <c r="E9" s="5" t="inlineStr">
        <is>
          <t>DV-130[0].Page1[0].List1[0].Li1[0].TextFielditem1Cont[0]</t>
        </is>
      </c>
      <c r="F9" s="5" t="inlineStr">
        <is>
          <t>text</t>
        </is>
      </c>
      <c r="G9" s="5" t="inlineStr"/>
      <c r="H9" s="5" t="inlineStr"/>
      <c r="I9" s="5" t="inlineStr">
        <is>
          <t>60, 118, 393, 133</t>
        </is>
      </c>
      <c r="J9" s="5" t="inlineStr">
        <is>
          <t>question</t>
        </is>
      </c>
      <c r="K9" s="5" t="inlineStr">
        <is>
          <t>P1</t>
        </is>
      </c>
      <c r="L9" s="5">
        <f> [overflow of line 1]</f>
        <v/>
      </c>
      <c r="M9" s="5" t="inlineStr"/>
      <c r="N9" s="5" t="inlineStr"/>
      <c r="O9" s="5" t="inlineStr"/>
    </row>
    <row r="10">
      <c r="A10" s="5" t="n">
        <v>9</v>
      </c>
      <c r="B10" s="5" t="n">
        <v>1</v>
      </c>
      <c r="C10" s="5" t="inlineStr">
        <is>
          <t>2</t>
        </is>
      </c>
      <c r="D10" s="5" t="inlineStr">
        <is>
          <t>*Full Name:</t>
        </is>
      </c>
      <c r="E10" s="5" t="inlineStr">
        <is>
          <t>DV-130[0].Page1[0].List2[0].Li1[0].ParentRel[0]</t>
        </is>
      </c>
      <c r="F10" s="5" t="inlineStr">
        <is>
          <t>text</t>
        </is>
      </c>
      <c r="G10" s="5" t="inlineStr"/>
      <c r="H10" s="5" t="inlineStr"/>
      <c r="I10" s="5" t="inlineStr">
        <is>
          <t>121, 165, 389, 180</t>
        </is>
      </c>
      <c r="J10" s="5" t="inlineStr">
        <is>
          <t>question</t>
        </is>
      </c>
      <c r="K10" s="5" t="inlineStr">
        <is>
          <t>R1</t>
        </is>
      </c>
      <c r="L10" s="5">
        <f> R1</f>
        <v/>
      </c>
      <c r="M10" s="5" t="inlineStr"/>
      <c r="N10" s="5" t="inlineStr">
        <is>
          <t>Starred items (name, gender, race, age) are required for CLETS entry.</t>
        </is>
      </c>
      <c r="O10" s="5" t="inlineStr"/>
    </row>
    <row r="11">
      <c r="A11" s="5" t="n">
        <v>10</v>
      </c>
      <c r="B11" s="5" t="n">
        <v>1</v>
      </c>
      <c r="C11" s="5" t="inlineStr">
        <is>
          <t>2</t>
        </is>
      </c>
      <c r="D11" s="5" t="inlineStr">
        <is>
          <t>M</t>
        </is>
      </c>
      <c r="E11" s="5" t="inlineStr">
        <is>
          <t>DV-130[0].Page1[0].List2[0].Li1[0].gender_cb[0]</t>
        </is>
      </c>
      <c r="F11" s="5" t="inlineStr">
        <is>
          <t>checkbox</t>
        </is>
      </c>
      <c r="G11" s="5" t="inlineStr">
        <is>
          <t>1</t>
        </is>
      </c>
      <c r="H11" s="5" t="inlineStr"/>
      <c r="I11" s="5" t="inlineStr">
        <is>
          <t>111, 187, 120, 196</t>
        </is>
      </c>
      <c r="J11" s="5" t="inlineStr">
        <is>
          <t>question</t>
        </is>
      </c>
      <c r="K11" s="5" t="inlineStr">
        <is>
          <t>R5</t>
        </is>
      </c>
      <c r="L11" s="5" t="inlineStr">
        <is>
          <t>check if R5 == "M"</t>
        </is>
      </c>
      <c r="M11" s="5" t="inlineStr"/>
      <c r="N11" s="5" t="inlineStr">
        <is>
          <t>Exports 1 / 11 / 21.</t>
        </is>
      </c>
      <c r="O11" s="5" t="inlineStr"/>
    </row>
    <row r="12">
      <c r="A12" s="5" t="n">
        <v>11</v>
      </c>
      <c r="B12" s="5" t="n">
        <v>1</v>
      </c>
      <c r="C12" s="5" t="inlineStr">
        <is>
          <t>2</t>
        </is>
      </c>
      <c r="D12" s="5" t="inlineStr">
        <is>
          <t>F</t>
        </is>
      </c>
      <c r="E12" s="5" t="inlineStr">
        <is>
          <t>DV-130[0].Page1[0].List2[0].Li1[0].gender_cb[1]</t>
        </is>
      </c>
      <c r="F12" s="5" t="inlineStr">
        <is>
          <t>checkbox</t>
        </is>
      </c>
      <c r="G12" s="5" t="inlineStr">
        <is>
          <t>11</t>
        </is>
      </c>
      <c r="H12" s="5" t="inlineStr"/>
      <c r="I12" s="5" t="inlineStr">
        <is>
          <t>147, 187, 156, 196</t>
        </is>
      </c>
      <c r="J12" s="5" t="inlineStr">
        <is>
          <t>question</t>
        </is>
      </c>
      <c r="K12" s="5" t="inlineStr">
        <is>
          <t>R5</t>
        </is>
      </c>
      <c r="L12" s="5" t="inlineStr">
        <is>
          <t>check if R5 == "F"</t>
        </is>
      </c>
      <c r="M12" s="5" t="inlineStr"/>
      <c r="N12" s="5" t="inlineStr"/>
      <c r="O12" s="5" t="inlineStr"/>
    </row>
    <row r="13">
      <c r="A13" s="5" t="n">
        <v>12</v>
      </c>
      <c r="B13" s="5" t="n">
        <v>1</v>
      </c>
      <c r="C13" s="5" t="inlineStr">
        <is>
          <t>2</t>
        </is>
      </c>
      <c r="D13" s="5" t="inlineStr">
        <is>
          <t>Nonbinary</t>
        </is>
      </c>
      <c r="E13" s="5" t="inlineStr">
        <is>
          <t>DV-130[0].Page1[0].List2[0].Li1[0].gender_cb[2]</t>
        </is>
      </c>
      <c r="F13" s="5" t="inlineStr">
        <is>
          <t>checkbox</t>
        </is>
      </c>
      <c r="G13" s="5" t="inlineStr">
        <is>
          <t>21</t>
        </is>
      </c>
      <c r="H13" s="5" t="inlineStr"/>
      <c r="I13" s="5" t="inlineStr">
        <is>
          <t>179, 187, 188, 196</t>
        </is>
      </c>
      <c r="J13" s="5" t="inlineStr">
        <is>
          <t>question</t>
        </is>
      </c>
      <c r="K13" s="5" t="inlineStr">
        <is>
          <t>R5</t>
        </is>
      </c>
      <c r="L13" s="5" t="inlineStr">
        <is>
          <t>check if R5 == "X"</t>
        </is>
      </c>
      <c r="M13" s="5" t="inlineStr"/>
      <c r="N13" s="5" t="inlineStr"/>
      <c r="O13" s="5" t="inlineStr"/>
    </row>
    <row r="14">
      <c r="A14" s="5" t="n">
        <v>13</v>
      </c>
      <c r="B14" s="5" t="n">
        <v>1</v>
      </c>
      <c r="C14" s="5" t="inlineStr">
        <is>
          <t>2</t>
        </is>
      </c>
      <c r="D14" s="5" t="inlineStr">
        <is>
          <t>*Race:</t>
        </is>
      </c>
      <c r="E14" s="5" t="inlineStr">
        <is>
          <t>DV-130[0].Page1[0].List2[0].Li1[0].race[0]</t>
        </is>
      </c>
      <c r="F14" s="5" t="inlineStr">
        <is>
          <t>text</t>
        </is>
      </c>
      <c r="G14" s="5" t="inlineStr"/>
      <c r="H14" s="5" t="inlineStr"/>
      <c r="I14" s="5" t="inlineStr">
        <is>
          <t>284, 184, 390, 199</t>
        </is>
      </c>
      <c r="J14" s="5" t="inlineStr">
        <is>
          <t>question</t>
        </is>
      </c>
      <c r="K14" s="5" t="inlineStr">
        <is>
          <t>R6</t>
        </is>
      </c>
      <c r="L14" s="5">
        <f> R6</f>
        <v/>
      </c>
      <c r="M14" s="5" t="inlineStr"/>
      <c r="N14" s="5" t="inlineStr"/>
      <c r="O14" s="5" t="inlineStr"/>
    </row>
    <row r="15">
      <c r="A15" s="5" t="n">
        <v>14</v>
      </c>
      <c r="B15" s="5" t="n">
        <v>1</v>
      </c>
      <c r="C15" s="5" t="inlineStr">
        <is>
          <t>2</t>
        </is>
      </c>
      <c r="D15" s="5" t="inlineStr">
        <is>
          <t>*Age:</t>
        </is>
      </c>
      <c r="E15" s="5" t="inlineStr">
        <is>
          <t>DV-130[0].Page1[0].List2[0].Li1[0].age[0]</t>
        </is>
      </c>
      <c r="F15" s="5" t="inlineStr">
        <is>
          <t>text</t>
        </is>
      </c>
      <c r="G15" s="5" t="inlineStr"/>
      <c r="H15" s="5" t="inlineStr"/>
      <c r="I15" s="5" t="inlineStr">
        <is>
          <t>90, 201, 115, 216</t>
        </is>
      </c>
      <c r="J15" s="5" t="inlineStr">
        <is>
          <t>question</t>
        </is>
      </c>
      <c r="K15" s="5" t="inlineStr">
        <is>
          <t>R3,R4</t>
        </is>
      </c>
      <c r="L15" s="5">
        <f> R3 ? age(R3, asOf) : R4  (asOf = hearing date X1)</f>
        <v/>
      </c>
      <c r="M15" s="5" t="inlineStr"/>
      <c r="N15" s="5" t="inlineStr"/>
      <c r="O15" s="5" t="inlineStr"/>
    </row>
    <row r="16">
      <c r="A16" s="5" t="n">
        <v>15</v>
      </c>
      <c r="B16" s="5" t="n">
        <v>1</v>
      </c>
      <c r="C16" s="5" t="inlineStr">
        <is>
          <t>2</t>
        </is>
      </c>
      <c r="D16" s="5" t="inlineStr">
        <is>
          <t>Date of Birth:</t>
        </is>
      </c>
      <c r="E16" s="5" t="inlineStr">
        <is>
          <t>DV-130[0].Page1[0].List2[0].Li1[0].dob[0]</t>
        </is>
      </c>
      <c r="F16" s="5" t="inlineStr">
        <is>
          <t>text</t>
        </is>
      </c>
      <c r="G16" s="5" t="inlineStr"/>
      <c r="H16" s="5" t="inlineStr"/>
      <c r="I16" s="5" t="inlineStr">
        <is>
          <t>304, 201, 390, 216</t>
        </is>
      </c>
      <c r="J16" s="5" t="inlineStr">
        <is>
          <t>question</t>
        </is>
      </c>
      <c r="K16" s="5" t="inlineStr">
        <is>
          <t>R3</t>
        </is>
      </c>
      <c r="L16" s="5">
        <f> fmtDate(R3)</f>
        <v/>
      </c>
      <c r="M16" s="5" t="inlineStr">
        <is>
          <t>R3 given</t>
        </is>
      </c>
      <c r="N16" s="5" t="inlineStr"/>
      <c r="O16" s="5" t="inlineStr"/>
    </row>
    <row r="17">
      <c r="A17" s="5" t="n">
        <v>16</v>
      </c>
      <c r="B17" s="5" t="n">
        <v>1</v>
      </c>
      <c r="C17" s="5" t="inlineStr">
        <is>
          <t>2</t>
        </is>
      </c>
      <c r="D17" s="5" t="inlineStr">
        <is>
          <t>Height:</t>
        </is>
      </c>
      <c r="E17" s="5" t="inlineStr">
        <is>
          <t>DV-130[0].Page1[0].List2[0].Li1[0].TF2[0]</t>
        </is>
      </c>
      <c r="F17" s="5" t="inlineStr">
        <is>
          <t>text</t>
        </is>
      </c>
      <c r="G17" s="5" t="inlineStr"/>
      <c r="H17" s="5" t="inlineStr"/>
      <c r="I17" s="5" t="inlineStr">
        <is>
          <t>95, 220, 198, 235</t>
        </is>
      </c>
      <c r="J17" s="5" t="inlineStr">
        <is>
          <t>question</t>
        </is>
      </c>
      <c r="K17" s="5" t="inlineStr">
        <is>
          <t>R7</t>
        </is>
      </c>
      <c r="L17" s="5">
        <f> R7.height</f>
        <v/>
      </c>
      <c r="M17" s="5" t="inlineStr"/>
      <c r="N17" s="5" t="inlineStr"/>
      <c r="O17" s="5" t="inlineStr"/>
    </row>
    <row r="18">
      <c r="A18" s="5" t="n">
        <v>17</v>
      </c>
      <c r="B18" s="5" t="n">
        <v>1</v>
      </c>
      <c r="C18" s="5" t="inlineStr">
        <is>
          <t>2</t>
        </is>
      </c>
      <c r="D18" s="5" t="inlineStr">
        <is>
          <t>Weight:</t>
        </is>
      </c>
      <c r="E18" s="5" t="inlineStr">
        <is>
          <t>DV-130[0].Page1[0].List2[0].Li1[0].TF3[0]</t>
        </is>
      </c>
      <c r="F18" s="5" t="inlineStr">
        <is>
          <t>text</t>
        </is>
      </c>
      <c r="G18" s="5" t="inlineStr"/>
      <c r="H18" s="5" t="inlineStr"/>
      <c r="I18" s="5" t="inlineStr">
        <is>
          <t>236, 220, 299, 235</t>
        </is>
      </c>
      <c r="J18" s="5" t="inlineStr">
        <is>
          <t>question</t>
        </is>
      </c>
      <c r="K18" s="5" t="inlineStr">
        <is>
          <t>R7</t>
        </is>
      </c>
      <c r="L18" s="5">
        <f> R7.weight</f>
        <v/>
      </c>
      <c r="M18" s="5" t="inlineStr"/>
      <c r="N18" s="5" t="inlineStr"/>
      <c r="O18" s="5" t="inlineStr"/>
    </row>
    <row r="19">
      <c r="A19" s="5" t="n">
        <v>18</v>
      </c>
      <c r="B19" s="5" t="n">
        <v>1</v>
      </c>
      <c r="C19" s="5" t="inlineStr">
        <is>
          <t>2</t>
        </is>
      </c>
      <c r="D19" s="5" t="inlineStr">
        <is>
          <t>Hair Color:</t>
        </is>
      </c>
      <c r="E19" s="5" t="inlineStr">
        <is>
          <t>DV-130[0].Page1[0].List2[0].Li1[0].TF4[0]</t>
        </is>
      </c>
      <c r="F19" s="5" t="inlineStr">
        <is>
          <t>text</t>
        </is>
      </c>
      <c r="G19" s="5" t="inlineStr"/>
      <c r="H19" s="5" t="inlineStr"/>
      <c r="I19" s="5" t="inlineStr">
        <is>
          <t>113, 237, 198, 252</t>
        </is>
      </c>
      <c r="J19" s="5" t="inlineStr">
        <is>
          <t>question</t>
        </is>
      </c>
      <c r="K19" s="5" t="inlineStr">
        <is>
          <t>R7</t>
        </is>
      </c>
      <c r="L19" s="5">
        <f> R7.hair</f>
        <v/>
      </c>
      <c r="M19" s="5" t="inlineStr"/>
      <c r="N19" s="5" t="inlineStr"/>
      <c r="O19" s="5" t="inlineStr"/>
    </row>
    <row r="20">
      <c r="A20" s="5" t="n">
        <v>19</v>
      </c>
      <c r="B20" s="5" t="n">
        <v>1</v>
      </c>
      <c r="C20" s="5" t="inlineStr">
        <is>
          <t>2</t>
        </is>
      </c>
      <c r="D20" s="5" t="inlineStr">
        <is>
          <t>Eye Color:</t>
        </is>
      </c>
      <c r="E20" s="5" t="inlineStr">
        <is>
          <t>DV-130[0].Page1[0].List2[0].Li1[0].TF5[0]</t>
        </is>
      </c>
      <c r="F20" s="5" t="inlineStr">
        <is>
          <t>text</t>
        </is>
      </c>
      <c r="G20" s="5" t="inlineStr"/>
      <c r="H20" s="5" t="inlineStr"/>
      <c r="I20" s="5" t="inlineStr">
        <is>
          <t>249, 237, 299, 252</t>
        </is>
      </c>
      <c r="J20" s="5" t="inlineStr">
        <is>
          <t>question</t>
        </is>
      </c>
      <c r="K20" s="5" t="inlineStr">
        <is>
          <t>R7</t>
        </is>
      </c>
      <c r="L20" s="5">
        <f> R7.eyes</f>
        <v/>
      </c>
      <c r="M20" s="5" t="inlineStr"/>
      <c r="N20" s="5" t="inlineStr"/>
      <c r="O20" s="5" t="inlineStr"/>
    </row>
    <row r="21">
      <c r="A21" s="6" t="n">
        <v>20</v>
      </c>
      <c r="B21" s="6" t="n">
        <v>1</v>
      </c>
      <c r="C21" s="6" t="inlineStr">
        <is>
          <t>2</t>
        </is>
      </c>
      <c r="D21" s="6" t="inlineStr">
        <is>
          <t>Relationship to person in item 1:</t>
        </is>
      </c>
      <c r="E21" s="6" t="inlineStr">
        <is>
          <t>DV-130[0].Page1[0].List2[0].Li1[0].TF8[0]</t>
        </is>
      </c>
      <c r="F21" s="6" t="inlineStr">
        <is>
          <t>text</t>
        </is>
      </c>
      <c r="G21" s="6" t="inlineStr"/>
      <c r="H21" s="6" t="inlineStr"/>
      <c r="I21" s="6" t="inlineStr">
        <is>
          <t>195, 258, 385, 273</t>
        </is>
      </c>
      <c r="J21" s="6" t="inlineStr">
        <is>
          <t>derived</t>
        </is>
      </c>
      <c r="K21" s="6" t="inlineStr">
        <is>
          <t>RL1,RL2</t>
        </is>
      </c>
      <c r="L21" s="6">
        <f> relationshipPhrase(RL1, RL2)  (e.g. "Former spouse; parent of our children")</f>
        <v/>
      </c>
      <c r="M21" s="6" t="inlineStr"/>
      <c r="N21" s="6" t="inlineStr"/>
      <c r="O21" s="6" t="inlineStr"/>
    </row>
    <row r="22">
      <c r="A22" s="5" t="n">
        <v>21</v>
      </c>
      <c r="B22" s="5" t="n">
        <v>1</v>
      </c>
      <c r="C22" s="5" t="inlineStr">
        <is>
          <t>2</t>
        </is>
      </c>
      <c r="D22" s="5" t="inlineStr">
        <is>
          <t>Address of restrained person:</t>
        </is>
      </c>
      <c r="E22" s="5" t="inlineStr">
        <is>
          <t>DV-130[0].Page1[0].List2[0].Li1[0].TF9[0]</t>
        </is>
      </c>
      <c r="F22" s="5" t="inlineStr">
        <is>
          <t>text</t>
        </is>
      </c>
      <c r="G22" s="5" t="inlineStr"/>
      <c r="H22" s="5" t="inlineStr"/>
      <c r="I22" s="5" t="inlineStr">
        <is>
          <t>196, 278, 385, 289</t>
        </is>
      </c>
      <c r="J22" s="5" t="inlineStr">
        <is>
          <t>question</t>
        </is>
      </c>
      <c r="K22" s="5" t="inlineStr">
        <is>
          <t>R14</t>
        </is>
      </c>
      <c r="L22" s="5">
        <f> R14.street</f>
        <v/>
      </c>
      <c r="M22" s="5" t="inlineStr"/>
      <c r="N22" s="5" t="inlineStr"/>
      <c r="O22" s="5" t="inlineStr"/>
    </row>
    <row r="23">
      <c r="A23" s="5" t="n">
        <v>22</v>
      </c>
      <c r="B23" s="5" t="n">
        <v>1</v>
      </c>
      <c r="C23" s="5" t="inlineStr">
        <is>
          <t>2</t>
        </is>
      </c>
      <c r="D23" s="5" t="inlineStr">
        <is>
          <t>City:</t>
        </is>
      </c>
      <c r="E23" s="5" t="inlineStr">
        <is>
          <t>DV-130[0].Page1[0].List2[0].Li1[0].TF10[0]</t>
        </is>
      </c>
      <c r="F23" s="5" t="inlineStr">
        <is>
          <t>text</t>
        </is>
      </c>
      <c r="G23" s="5" t="inlineStr"/>
      <c r="H23" s="5" t="inlineStr"/>
      <c r="I23" s="5" t="inlineStr">
        <is>
          <t>88, 293, 230, 304</t>
        </is>
      </c>
      <c r="J23" s="5" t="inlineStr">
        <is>
          <t>question</t>
        </is>
      </c>
      <c r="K23" s="5" t="inlineStr">
        <is>
          <t>R14</t>
        </is>
      </c>
      <c r="L23" s="5">
        <f> R14.city</f>
        <v/>
      </c>
      <c r="M23" s="5" t="inlineStr"/>
      <c r="N23" s="5" t="inlineStr"/>
      <c r="O23" s="5" t="inlineStr"/>
    </row>
    <row r="24">
      <c r="A24" s="5" t="n">
        <v>23</v>
      </c>
      <c r="B24" s="5" t="n">
        <v>1</v>
      </c>
      <c r="C24" s="5" t="inlineStr">
        <is>
          <t>2</t>
        </is>
      </c>
      <c r="D24" s="5" t="inlineStr">
        <is>
          <t>State:</t>
        </is>
      </c>
      <c r="E24" s="5" t="inlineStr">
        <is>
          <t>DV-130[0].Page1[0].List2[0].Li1[0].TF11[0]</t>
        </is>
      </c>
      <c r="F24" s="5" t="inlineStr">
        <is>
          <t>text</t>
        </is>
      </c>
      <c r="G24" s="5" t="inlineStr"/>
      <c r="H24" s="5" t="inlineStr"/>
      <c r="I24" s="5" t="inlineStr">
        <is>
          <t>264, 293, 293, 304</t>
        </is>
      </c>
      <c r="J24" s="5" t="inlineStr">
        <is>
          <t>question</t>
        </is>
      </c>
      <c r="K24" s="5" t="inlineStr">
        <is>
          <t>R14</t>
        </is>
      </c>
      <c r="L24" s="5">
        <f> R14.state</f>
        <v/>
      </c>
      <c r="M24" s="5" t="inlineStr"/>
      <c r="N24" s="5" t="inlineStr"/>
      <c r="O24" s="5" t="inlineStr"/>
    </row>
    <row r="25">
      <c r="A25" s="5" t="n">
        <v>24</v>
      </c>
      <c r="B25" s="5" t="n">
        <v>1</v>
      </c>
      <c r="C25" s="5" t="inlineStr">
        <is>
          <t>2</t>
        </is>
      </c>
      <c r="D25" s="5" t="inlineStr">
        <is>
          <t>Zip:</t>
        </is>
      </c>
      <c r="E25" s="5" t="inlineStr">
        <is>
          <t>DV-130[0].Page1[0].List2[0].Li1[0].TF12[0]</t>
        </is>
      </c>
      <c r="F25" s="5" t="inlineStr">
        <is>
          <t>text</t>
        </is>
      </c>
      <c r="G25" s="5" t="inlineStr"/>
      <c r="H25" s="5" t="inlineStr"/>
      <c r="I25" s="5" t="inlineStr">
        <is>
          <t>319, 293, 384, 304</t>
        </is>
      </c>
      <c r="J25" s="5" t="inlineStr">
        <is>
          <t>question</t>
        </is>
      </c>
      <c r="K25" s="5" t="inlineStr">
        <is>
          <t>R14</t>
        </is>
      </c>
      <c r="L25" s="5">
        <f> R14.zip</f>
        <v/>
      </c>
      <c r="M25" s="5" t="inlineStr"/>
      <c r="N25" s="5" t="inlineStr"/>
      <c r="O25" s="5" t="inlineStr"/>
    </row>
    <row r="26">
      <c r="A26" s="6" t="n">
        <v>25</v>
      </c>
      <c r="B26" s="6" t="n">
        <v>1</v>
      </c>
      <c r="C26" s="6" t="inlineStr">
        <is>
          <t>3</t>
        </is>
      </c>
      <c r="D26" s="6" t="inlineStr">
        <is>
          <t>Other Protected People</t>
        </is>
      </c>
      <c r="E26" s="6" t="inlineStr">
        <is>
          <t>DV-130[0].Page1[0].List3[0].Li1[0].FieldName_cb[0]</t>
        </is>
      </c>
      <c r="F26" s="6" t="inlineStr">
        <is>
          <t>checkbox</t>
        </is>
      </c>
      <c r="G26" s="6" t="inlineStr">
        <is>
          <t>1</t>
        </is>
      </c>
      <c r="H26" s="6" t="inlineStr"/>
      <c r="I26" s="6" t="inlineStr">
        <is>
          <t>60, 378, 69, 387</t>
        </is>
      </c>
      <c r="J26" s="6" t="inlineStr">
        <is>
          <t>derived</t>
        </is>
      </c>
      <c r="K26" s="6" t="inlineStr">
        <is>
          <t>PR8</t>
        </is>
      </c>
      <c r="L26" s="6" t="inlineStr">
        <is>
          <t>check if any roster PR8 == "Y"</t>
        </is>
      </c>
      <c r="M26" s="6" t="inlineStr"/>
      <c r="N26" s="6" t="inlineStr">
        <is>
          <t>The judge may strike people at the hearing; this pre-fills what was requested.</t>
        </is>
      </c>
      <c r="O26" s="6" t="inlineStr"/>
    </row>
    <row r="27">
      <c r="A27" s="5" t="n">
        <v>26</v>
      </c>
      <c r="B27" s="5" t="n">
        <v>1</v>
      </c>
      <c r="C27" s="5" t="inlineStr">
        <is>
          <t>3 row 1</t>
        </is>
      </c>
      <c r="D27" s="5" t="inlineStr">
        <is>
          <t>Full name</t>
        </is>
      </c>
      <c r="E27" s="5" t="inlineStr">
        <is>
          <t>DV-130[0].Page1[0].List3[0].Li1[0].AdditionalProtectedPerson1_ft[0]</t>
        </is>
      </c>
      <c r="F27" s="5" t="inlineStr">
        <is>
          <t>text</t>
        </is>
      </c>
      <c r="G27" s="5" t="inlineStr"/>
      <c r="H27" s="5" t="inlineStr"/>
      <c r="I27" s="5" t="inlineStr">
        <is>
          <t>60, 426, 317, 440</t>
        </is>
      </c>
      <c r="J27" s="5" t="inlineStr">
        <is>
          <t>question</t>
        </is>
      </c>
      <c r="K27" s="5" t="inlineStr">
        <is>
          <t>PR1</t>
        </is>
      </c>
      <c r="L27" s="5">
        <f> protected[0].PR1</f>
        <v/>
      </c>
      <c r="M27" s="5" t="inlineStr">
        <is>
          <t>protected.length &gt; 0</t>
        </is>
      </c>
      <c r="N27" s="5" t="inlineStr"/>
      <c r="O27" s="5" t="inlineStr"/>
    </row>
    <row r="28">
      <c r="A28" s="5" t="n">
        <v>27</v>
      </c>
      <c r="B28" s="5" t="n">
        <v>1</v>
      </c>
      <c r="C28" s="5" t="inlineStr">
        <is>
          <t>3 row 1</t>
        </is>
      </c>
      <c r="D28" s="5" t="inlineStr">
        <is>
          <t>Relationship to person in item 1</t>
        </is>
      </c>
      <c r="E28" s="5" t="inlineStr">
        <is>
          <t>DV-130[0].Page1[0].List3[0].Li1[0].RelationshipToProtectedPerson_ft1[0]</t>
        </is>
      </c>
      <c r="F28" s="5" t="inlineStr">
        <is>
          <t>text</t>
        </is>
      </c>
      <c r="G28" s="5" t="inlineStr"/>
      <c r="H28" s="5" t="inlineStr"/>
      <c r="I28" s="5" t="inlineStr">
        <is>
          <t>325, 426, 514, 440</t>
        </is>
      </c>
      <c r="J28" s="5" t="inlineStr">
        <is>
          <t>question</t>
        </is>
      </c>
      <c r="K28" s="5" t="inlineStr">
        <is>
          <t>PR5</t>
        </is>
      </c>
      <c r="L28" s="5">
        <f> label(protected[0].PR5)</f>
        <v/>
      </c>
      <c r="M28" s="5" t="inlineStr">
        <is>
          <t>protected.length &gt; 0</t>
        </is>
      </c>
      <c r="N28" s="5" t="inlineStr"/>
      <c r="O28" s="5" t="inlineStr"/>
    </row>
    <row r="29">
      <c r="A29" s="6" t="n">
        <v>28</v>
      </c>
      <c r="B29" s="6" t="n">
        <v>1</v>
      </c>
      <c r="C29" s="6" t="inlineStr">
        <is>
          <t>3 row 1</t>
        </is>
      </c>
      <c r="D29" s="6" t="inlineStr">
        <is>
          <t>Age</t>
        </is>
      </c>
      <c r="E29" s="6" t="inlineStr">
        <is>
          <t>DV-130[0].Page1[0].List3[0].Li1[0].Age_no1[0]</t>
        </is>
      </c>
      <c r="F29" s="6" t="inlineStr">
        <is>
          <t>text</t>
        </is>
      </c>
      <c r="G29" s="6" t="inlineStr"/>
      <c r="H29" s="6" t="inlineStr"/>
      <c r="I29" s="6" t="inlineStr">
        <is>
          <t>523, 426, 563, 440</t>
        </is>
      </c>
      <c r="J29" s="6" t="inlineStr">
        <is>
          <t>derived</t>
        </is>
      </c>
      <c r="K29" s="6" t="inlineStr">
        <is>
          <t>PR2</t>
        </is>
      </c>
      <c r="L29" s="6">
        <f> age(protected[0].PR2, X1.date)</f>
        <v/>
      </c>
      <c r="M29" s="6" t="inlineStr">
        <is>
          <t>protected.length &gt; 0</t>
        </is>
      </c>
      <c r="N29" s="6" t="inlineStr"/>
      <c r="O29" s="6" t="inlineStr"/>
    </row>
    <row r="30">
      <c r="A30" s="5" t="n">
        <v>29</v>
      </c>
      <c r="B30" s="5" t="n">
        <v>1</v>
      </c>
      <c r="C30" s="5" t="inlineStr">
        <is>
          <t>3 row 2</t>
        </is>
      </c>
      <c r="D30" s="5" t="inlineStr">
        <is>
          <t>Full name</t>
        </is>
      </c>
      <c r="E30" s="5" t="inlineStr">
        <is>
          <t>DV-130[0].Page1[0].List3[0].Li1[0].AdditionalProtectedPerson2_ft[0]</t>
        </is>
      </c>
      <c r="F30" s="5" t="inlineStr">
        <is>
          <t>text</t>
        </is>
      </c>
      <c r="G30" s="5" t="inlineStr"/>
      <c r="H30" s="5" t="inlineStr"/>
      <c r="I30" s="5" t="inlineStr">
        <is>
          <t>60, 442, 317, 455</t>
        </is>
      </c>
      <c r="J30" s="5" t="inlineStr">
        <is>
          <t>question</t>
        </is>
      </c>
      <c r="K30" s="5" t="inlineStr">
        <is>
          <t>PR1</t>
        </is>
      </c>
      <c r="L30" s="5">
        <f> protected[1].PR1</f>
        <v/>
      </c>
      <c r="M30" s="5" t="inlineStr">
        <is>
          <t>protected.length &gt; 1</t>
        </is>
      </c>
      <c r="N30" s="5" t="inlineStr"/>
      <c r="O30" s="5" t="inlineStr"/>
    </row>
    <row r="31">
      <c r="A31" s="5" t="n">
        <v>30</v>
      </c>
      <c r="B31" s="5" t="n">
        <v>1</v>
      </c>
      <c r="C31" s="5" t="inlineStr">
        <is>
          <t>3 row 2</t>
        </is>
      </c>
      <c r="D31" s="5" t="inlineStr">
        <is>
          <t>Relationship to person in item 1</t>
        </is>
      </c>
      <c r="E31" s="5" t="inlineStr">
        <is>
          <t>DV-130[0].Page1[0].List3[0].Li1[0].RelationshipToProtectedPerson_ft2[0]</t>
        </is>
      </c>
      <c r="F31" s="5" t="inlineStr">
        <is>
          <t>text</t>
        </is>
      </c>
      <c r="G31" s="5" t="inlineStr"/>
      <c r="H31" s="5" t="inlineStr"/>
      <c r="I31" s="5" t="inlineStr">
        <is>
          <t>325, 442, 514, 455</t>
        </is>
      </c>
      <c r="J31" s="5" t="inlineStr">
        <is>
          <t>question</t>
        </is>
      </c>
      <c r="K31" s="5" t="inlineStr">
        <is>
          <t>PR5</t>
        </is>
      </c>
      <c r="L31" s="5">
        <f> label(protected[1].PR5)</f>
        <v/>
      </c>
      <c r="M31" s="5" t="inlineStr">
        <is>
          <t>protected.length &gt; 1</t>
        </is>
      </c>
      <c r="N31" s="5" t="inlineStr"/>
      <c r="O31" s="5" t="inlineStr"/>
    </row>
    <row r="32">
      <c r="A32" s="6" t="n">
        <v>31</v>
      </c>
      <c r="B32" s="6" t="n">
        <v>1</v>
      </c>
      <c r="C32" s="6" t="inlineStr">
        <is>
          <t>3 row 2</t>
        </is>
      </c>
      <c r="D32" s="6" t="inlineStr">
        <is>
          <t>Age</t>
        </is>
      </c>
      <c r="E32" s="6" t="inlineStr">
        <is>
          <t>DV-130[0].Page1[0].List3[0].Li1[0].Age_no2[0]</t>
        </is>
      </c>
      <c r="F32" s="6" t="inlineStr">
        <is>
          <t>text</t>
        </is>
      </c>
      <c r="G32" s="6" t="inlineStr"/>
      <c r="H32" s="6" t="inlineStr"/>
      <c r="I32" s="6" t="inlineStr">
        <is>
          <t>523, 442, 563, 455</t>
        </is>
      </c>
      <c r="J32" s="6" t="inlineStr">
        <is>
          <t>derived</t>
        </is>
      </c>
      <c r="K32" s="6" t="inlineStr">
        <is>
          <t>PR2</t>
        </is>
      </c>
      <c r="L32" s="6">
        <f> age(protected[1].PR2, X1.date)</f>
        <v/>
      </c>
      <c r="M32" s="6" t="inlineStr">
        <is>
          <t>protected.length &gt; 1</t>
        </is>
      </c>
      <c r="N32" s="6" t="inlineStr"/>
      <c r="O32" s="6" t="inlineStr"/>
    </row>
    <row r="33">
      <c r="A33" s="5" t="n">
        <v>32</v>
      </c>
      <c r="B33" s="5" t="n">
        <v>1</v>
      </c>
      <c r="C33" s="5" t="inlineStr">
        <is>
          <t>3 row 3</t>
        </is>
      </c>
      <c r="D33" s="5" t="inlineStr">
        <is>
          <t>Full name</t>
        </is>
      </c>
      <c r="E33" s="5" t="inlineStr">
        <is>
          <t>DV-130[0].Page1[0].List3[0].Li1[0].AdditionalProtectedPerson3_ft[0]</t>
        </is>
      </c>
      <c r="F33" s="5" t="inlineStr">
        <is>
          <t>text</t>
        </is>
      </c>
      <c r="G33" s="5" t="inlineStr"/>
      <c r="H33" s="5" t="inlineStr"/>
      <c r="I33" s="5" t="inlineStr">
        <is>
          <t>60, 457, 317, 470</t>
        </is>
      </c>
      <c r="J33" s="5" t="inlineStr">
        <is>
          <t>question</t>
        </is>
      </c>
      <c r="K33" s="5" t="inlineStr">
        <is>
          <t>PR1</t>
        </is>
      </c>
      <c r="L33" s="5">
        <f> protected[2].PR1</f>
        <v/>
      </c>
      <c r="M33" s="5" t="inlineStr">
        <is>
          <t>protected.length &gt; 2</t>
        </is>
      </c>
      <c r="N33" s="5" t="inlineStr"/>
      <c r="O33" s="5" t="inlineStr"/>
    </row>
    <row r="34">
      <c r="A34" s="5" t="n">
        <v>33</v>
      </c>
      <c r="B34" s="5" t="n">
        <v>1</v>
      </c>
      <c r="C34" s="5" t="inlineStr">
        <is>
          <t>3 row 3</t>
        </is>
      </c>
      <c r="D34" s="5" t="inlineStr">
        <is>
          <t>Relationship to person in item 1</t>
        </is>
      </c>
      <c r="E34" s="5" t="inlineStr">
        <is>
          <t>DV-130[0].Page1[0].List3[0].Li1[0].RelationshipToProtectedPerson_ft3[0]</t>
        </is>
      </c>
      <c r="F34" s="5" t="inlineStr">
        <is>
          <t>text</t>
        </is>
      </c>
      <c r="G34" s="5" t="inlineStr"/>
      <c r="H34" s="5" t="inlineStr"/>
      <c r="I34" s="5" t="inlineStr">
        <is>
          <t>325, 457, 514, 470</t>
        </is>
      </c>
      <c r="J34" s="5" t="inlineStr">
        <is>
          <t>question</t>
        </is>
      </c>
      <c r="K34" s="5" t="inlineStr">
        <is>
          <t>PR5</t>
        </is>
      </c>
      <c r="L34" s="5">
        <f> label(protected[2].PR5)</f>
        <v/>
      </c>
      <c r="M34" s="5" t="inlineStr">
        <is>
          <t>protected.length &gt; 2</t>
        </is>
      </c>
      <c r="N34" s="5" t="inlineStr"/>
      <c r="O34" s="5" t="inlineStr"/>
    </row>
    <row r="35">
      <c r="A35" s="6" t="n">
        <v>34</v>
      </c>
      <c r="B35" s="6" t="n">
        <v>1</v>
      </c>
      <c r="C35" s="6" t="inlineStr">
        <is>
          <t>3 row 3</t>
        </is>
      </c>
      <c r="D35" s="6" t="inlineStr">
        <is>
          <t>Age</t>
        </is>
      </c>
      <c r="E35" s="6" t="inlineStr">
        <is>
          <t>DV-130[0].Page1[0].List3[0].Li1[0].Age_no3[0]</t>
        </is>
      </c>
      <c r="F35" s="6" t="inlineStr">
        <is>
          <t>text</t>
        </is>
      </c>
      <c r="G35" s="6" t="inlineStr"/>
      <c r="H35" s="6" t="inlineStr"/>
      <c r="I35" s="6" t="inlineStr">
        <is>
          <t>523, 457, 563, 470</t>
        </is>
      </c>
      <c r="J35" s="6" t="inlineStr">
        <is>
          <t>derived</t>
        </is>
      </c>
      <c r="K35" s="6" t="inlineStr">
        <is>
          <t>PR2</t>
        </is>
      </c>
      <c r="L35" s="6">
        <f> age(protected[2].PR2, X1.date)</f>
        <v/>
      </c>
      <c r="M35" s="6" t="inlineStr">
        <is>
          <t>protected.length &gt; 2</t>
        </is>
      </c>
      <c r="N35" s="6" t="inlineStr"/>
      <c r="O35" s="6" t="inlineStr"/>
    </row>
    <row r="36">
      <c r="A36" s="5" t="n">
        <v>35</v>
      </c>
      <c r="B36" s="5" t="n">
        <v>1</v>
      </c>
      <c r="C36" s="5" t="inlineStr">
        <is>
          <t>3 row 4</t>
        </is>
      </c>
      <c r="D36" s="5" t="inlineStr">
        <is>
          <t>Full name</t>
        </is>
      </c>
      <c r="E36" s="5" t="inlineStr">
        <is>
          <t>DV-130[0].Page1[0].List3[0].Li1[0].AdditionalProtectedPerson4_ft[0]</t>
        </is>
      </c>
      <c r="F36" s="5" t="inlineStr">
        <is>
          <t>text</t>
        </is>
      </c>
      <c r="G36" s="5" t="inlineStr"/>
      <c r="H36" s="5" t="inlineStr"/>
      <c r="I36" s="5" t="inlineStr">
        <is>
          <t>60, 472, 317, 485</t>
        </is>
      </c>
      <c r="J36" s="5" t="inlineStr">
        <is>
          <t>question</t>
        </is>
      </c>
      <c r="K36" s="5" t="inlineStr">
        <is>
          <t>PR1</t>
        </is>
      </c>
      <c r="L36" s="5">
        <f> protected[3].PR1</f>
        <v/>
      </c>
      <c r="M36" s="5" t="inlineStr">
        <is>
          <t>protected.length &gt; 3</t>
        </is>
      </c>
      <c r="N36" s="5" t="inlineStr"/>
      <c r="O36" s="5" t="inlineStr"/>
    </row>
    <row r="37">
      <c r="A37" s="5" t="n">
        <v>36</v>
      </c>
      <c r="B37" s="5" t="n">
        <v>1</v>
      </c>
      <c r="C37" s="5" t="inlineStr">
        <is>
          <t>3 row 4</t>
        </is>
      </c>
      <c r="D37" s="5" t="inlineStr">
        <is>
          <t>Relationship to person in item 1</t>
        </is>
      </c>
      <c r="E37" s="5" t="inlineStr">
        <is>
          <t>DV-130[0].Page1[0].List3[0].Li1[0].RelationshipToProtectedPerson_ft4[0]</t>
        </is>
      </c>
      <c r="F37" s="5" t="inlineStr">
        <is>
          <t>text</t>
        </is>
      </c>
      <c r="G37" s="5" t="inlineStr"/>
      <c r="H37" s="5" t="inlineStr"/>
      <c r="I37" s="5" t="inlineStr">
        <is>
          <t>325, 472, 514, 485</t>
        </is>
      </c>
      <c r="J37" s="5" t="inlineStr">
        <is>
          <t>question</t>
        </is>
      </c>
      <c r="K37" s="5" t="inlineStr">
        <is>
          <t>PR5</t>
        </is>
      </c>
      <c r="L37" s="5">
        <f> label(protected[3].PR5)</f>
        <v/>
      </c>
      <c r="M37" s="5" t="inlineStr">
        <is>
          <t>protected.length &gt; 3</t>
        </is>
      </c>
      <c r="N37" s="5" t="inlineStr"/>
      <c r="O37" s="5" t="inlineStr"/>
    </row>
    <row r="38">
      <c r="A38" s="6" t="n">
        <v>37</v>
      </c>
      <c r="B38" s="6" t="n">
        <v>1</v>
      </c>
      <c r="C38" s="6" t="inlineStr">
        <is>
          <t>3 row 4</t>
        </is>
      </c>
      <c r="D38" s="6" t="inlineStr">
        <is>
          <t>Age</t>
        </is>
      </c>
      <c r="E38" s="6" t="inlineStr">
        <is>
          <t>DV-130[0].Page1[0].List3[0].Li1[0].Age_no4[0]</t>
        </is>
      </c>
      <c r="F38" s="6" t="inlineStr">
        <is>
          <t>text</t>
        </is>
      </c>
      <c r="G38" s="6" t="inlineStr"/>
      <c r="H38" s="6" t="inlineStr"/>
      <c r="I38" s="6" t="inlineStr">
        <is>
          <t>523, 472, 563, 485</t>
        </is>
      </c>
      <c r="J38" s="6" t="inlineStr">
        <is>
          <t>derived</t>
        </is>
      </c>
      <c r="K38" s="6" t="inlineStr">
        <is>
          <t>PR2</t>
        </is>
      </c>
      <c r="L38" s="6">
        <f> age(protected[3].PR2, X1.date)</f>
        <v/>
      </c>
      <c r="M38" s="6" t="inlineStr">
        <is>
          <t>protected.length &gt; 3</t>
        </is>
      </c>
      <c r="N38" s="6" t="inlineStr"/>
      <c r="O38" s="6" t="inlineStr"/>
    </row>
    <row r="39">
      <c r="A39" s="6" t="n">
        <v>38</v>
      </c>
      <c r="B39" s="6" t="n">
        <v>1</v>
      </c>
      <c r="C39" s="6" t="inlineStr">
        <is>
          <t>3 more</t>
        </is>
      </c>
      <c r="D39" s="6" t="inlineStr">
        <is>
          <t>Check here if you need to list more people. List them on a separate piece of paper, write "DV-130, Other Protected People" at the top, and attach it to this form.</t>
        </is>
      </c>
      <c r="E39" s="6" t="inlineStr">
        <is>
          <t>DV-130[0].Page1[0].List3[0].Li1[0].AGHagueCert_cb[0]</t>
        </is>
      </c>
      <c r="F39" s="6" t="inlineStr">
        <is>
          <t>checkbox</t>
        </is>
      </c>
      <c r="G39" s="6" t="inlineStr">
        <is>
          <t>1</t>
        </is>
      </c>
      <c r="H39" s="6" t="inlineStr"/>
      <c r="I39" s="6" t="inlineStr">
        <is>
          <t>60, 488, 69, 497</t>
        </is>
      </c>
      <c r="J39" s="6" t="inlineStr">
        <is>
          <t>derived</t>
        </is>
      </c>
      <c r="K39" s="6" t="inlineStr">
        <is>
          <t>PR8</t>
        </is>
      </c>
      <c r="L39" s="6" t="inlineStr">
        <is>
          <t>check if protected.length &gt; 4</t>
        </is>
      </c>
      <c r="M39" s="6" t="inlineStr"/>
      <c r="N39" s="6" t="inlineStr">
        <is>
          <t>Add the sheet "DV-130, Other Protected People".</t>
        </is>
      </c>
      <c r="O39" s="6" t="inlineStr"/>
    </row>
    <row r="40">
      <c r="A40" s="8" t="n">
        <v>39</v>
      </c>
      <c r="B40" s="8" t="n">
        <v>1</v>
      </c>
      <c r="C40" s="8" t="inlineStr">
        <is>
          <t>4 (court)</t>
        </is>
      </c>
      <c r="D40" s="8" t="inlineStr">
        <is>
          <t>(date):</t>
        </is>
      </c>
      <c r="E40" s="8" t="inlineStr">
        <is>
          <t>DV-130[0].Page1[0].List4[0].Li1[0].ExpirationDate_dt[0]</t>
        </is>
      </c>
      <c r="F40" s="8" t="inlineStr">
        <is>
          <t>text</t>
        </is>
      </c>
      <c r="G40" s="8" t="inlineStr"/>
      <c r="H40" s="8" t="inlineStr"/>
      <c r="I40" s="8" t="inlineStr">
        <is>
          <t>99, 578, 226, 593</t>
        </is>
      </c>
      <c r="J40" s="8" t="inlineStr">
        <is>
          <t>court/clerk</t>
        </is>
      </c>
      <c r="K40" s="8" t="inlineStr"/>
      <c r="L40" s="8" t="inlineStr"/>
      <c r="M40" s="8" t="inlineStr"/>
      <c r="N40" s="8" t="inlineStr">
        <is>
          <t>Judge completes. Court-order rule: party and children info only.</t>
        </is>
      </c>
      <c r="O40" s="8" t="inlineStr"/>
    </row>
    <row r="41">
      <c r="A41" s="8" t="n">
        <v>40</v>
      </c>
      <c r="B41" s="8" t="n">
        <v>1</v>
      </c>
      <c r="C41" s="8" t="inlineStr">
        <is>
          <t>4 (court)</t>
        </is>
      </c>
      <c r="D41" s="8" t="inlineStr">
        <is>
          <t>at (time):</t>
        </is>
      </c>
      <c r="E41" s="8" t="inlineStr">
        <is>
          <t>DV-130[0].Page1[0].List4[0].Li1[0].TimeExpires_ft[0]</t>
        </is>
      </c>
      <c r="F41" s="8" t="inlineStr">
        <is>
          <t>text</t>
        </is>
      </c>
      <c r="G41" s="8" t="inlineStr"/>
      <c r="H41" s="8" t="inlineStr"/>
      <c r="I41" s="8" t="inlineStr">
        <is>
          <t>275, 578, 410, 593</t>
        </is>
      </c>
      <c r="J41" s="8" t="inlineStr">
        <is>
          <t>court/clerk</t>
        </is>
      </c>
      <c r="K41" s="8" t="inlineStr"/>
      <c r="L41" s="8" t="inlineStr"/>
      <c r="M41" s="8" t="inlineStr"/>
      <c r="N41" s="8" t="inlineStr">
        <is>
          <t>Judge completes. Court-order rule: party and children info only.</t>
        </is>
      </c>
      <c r="O41" s="8" t="inlineStr"/>
    </row>
    <row r="42">
      <c r="A42" s="8" t="n">
        <v>41</v>
      </c>
      <c r="B42" s="8" t="n">
        <v>1</v>
      </c>
      <c r="C42" s="8" t="inlineStr">
        <is>
          <t>4 (court)</t>
        </is>
      </c>
      <c r="D42" s="8" t="inlineStr">
        <is>
          <t>a.m.</t>
        </is>
      </c>
      <c r="E42" s="8" t="inlineStr">
        <is>
          <t>DV-130[0].Page1[0].List4[0].Li1[0].time4_cb[0]</t>
        </is>
      </c>
      <c r="F42" s="8" t="inlineStr">
        <is>
          <t>checkbox</t>
        </is>
      </c>
      <c r="G42" s="8" t="inlineStr">
        <is>
          <t>5</t>
        </is>
      </c>
      <c r="H42" s="8" t="inlineStr"/>
      <c r="I42" s="8" t="inlineStr">
        <is>
          <t>419, 583, 428, 592</t>
        </is>
      </c>
      <c r="J42" s="8" t="inlineStr">
        <is>
          <t>court/clerk</t>
        </is>
      </c>
      <c r="K42" s="8" t="inlineStr"/>
      <c r="L42" s="8" t="inlineStr"/>
      <c r="M42" s="8" t="inlineStr"/>
      <c r="N42" s="8" t="inlineStr">
        <is>
          <t>Judge completes. Court-order rule: party and children info only.</t>
        </is>
      </c>
      <c r="O42" s="8" t="inlineStr"/>
    </row>
    <row r="43">
      <c r="A43" s="8" t="n">
        <v>42</v>
      </c>
      <c r="B43" s="8" t="n">
        <v>1</v>
      </c>
      <c r="C43" s="8" t="inlineStr">
        <is>
          <t>4 (court)</t>
        </is>
      </c>
      <c r="D43" s="8" t="inlineStr">
        <is>
          <t>p.m. or</t>
        </is>
      </c>
      <c r="E43" s="8" t="inlineStr">
        <is>
          <t>DV-130[0].Page1[0].List4[0].Li1[0].time4_cb[1]</t>
        </is>
      </c>
      <c r="F43" s="8" t="inlineStr">
        <is>
          <t>checkbox</t>
        </is>
      </c>
      <c r="G43" s="8" t="inlineStr">
        <is>
          <t>2</t>
        </is>
      </c>
      <c r="H43" s="8" t="inlineStr"/>
      <c r="I43" s="8" t="inlineStr">
        <is>
          <t>459, 583, 468, 592</t>
        </is>
      </c>
      <c r="J43" s="8" t="inlineStr">
        <is>
          <t>court/clerk</t>
        </is>
      </c>
      <c r="K43" s="8" t="inlineStr"/>
      <c r="L43" s="8" t="inlineStr"/>
      <c r="M43" s="8" t="inlineStr"/>
      <c r="N43" s="8" t="inlineStr">
        <is>
          <t>Judge completes. Court-order rule: party and children info only.</t>
        </is>
      </c>
      <c r="O43" s="8" t="inlineStr"/>
    </row>
    <row r="44">
      <c r="A44" s="8" t="n">
        <v>43</v>
      </c>
      <c r="B44" s="8" t="n">
        <v>1</v>
      </c>
      <c r="C44" s="8" t="inlineStr">
        <is>
          <t>4 (court)</t>
        </is>
      </c>
      <c r="D44" s="8" t="inlineStr">
        <is>
          <t>midnight</t>
        </is>
      </c>
      <c r="E44" s="8" t="inlineStr">
        <is>
          <t>DV-130[0].Page1[0].List4[0].Li1[0].time4_cb[2]</t>
        </is>
      </c>
      <c r="F44" s="8" t="inlineStr">
        <is>
          <t>checkbox</t>
        </is>
      </c>
      <c r="G44" s="8" t="inlineStr">
        <is>
          <t>3</t>
        </is>
      </c>
      <c r="H44" s="8" t="inlineStr"/>
      <c r="I44" s="8" t="inlineStr">
        <is>
          <t>512, 583, 521, 592</t>
        </is>
      </c>
      <c r="J44" s="8" t="inlineStr">
        <is>
          <t>court/clerk</t>
        </is>
      </c>
      <c r="K44" s="8" t="inlineStr"/>
      <c r="L44" s="8" t="inlineStr"/>
      <c r="M44" s="8" t="inlineStr"/>
      <c r="N44" s="8" t="inlineStr">
        <is>
          <t>Judge completes. Court-order rule: party and children info only.</t>
        </is>
      </c>
      <c r="O44" s="8" t="inlineStr"/>
    </row>
    <row r="45">
      <c r="A45" s="5" t="n">
        <v>44</v>
      </c>
      <c r="B45" s="5" t="n">
        <v>2</v>
      </c>
      <c r="C45" s="5" t="inlineStr">
        <is>
          <t>Caption</t>
        </is>
      </c>
      <c r="D45" s="5" t="inlineStr">
        <is>
          <t>Case Number:</t>
        </is>
      </c>
      <c r="E45" s="5" t="inlineStr">
        <is>
          <t>DV-130[0].Page2[0].Caption[0].CaseNumber_ft[0]</t>
        </is>
      </c>
      <c r="F45" s="5" t="inlineStr">
        <is>
          <t>text</t>
        </is>
      </c>
      <c r="G45" s="5" t="inlineStr"/>
      <c r="H45" s="5" t="inlineStr"/>
      <c r="I45" s="5" t="inlineStr">
        <is>
          <t>401, 48, 576, 64</t>
        </is>
      </c>
      <c r="J45" s="5" t="inlineStr">
        <is>
          <t>question</t>
        </is>
      </c>
      <c r="K45" s="5" t="inlineStr">
        <is>
          <t>X0</t>
        </is>
      </c>
      <c r="L45" s="5">
        <f> X0</f>
        <v/>
      </c>
      <c r="M45" s="5" t="inlineStr">
        <is>
          <t>stage 3</t>
        </is>
      </c>
      <c r="N45" s="5" t="inlineStr"/>
      <c r="O45" s="5" t="inlineStr"/>
    </row>
    <row r="46">
      <c r="A46" s="8" t="n">
        <v>45</v>
      </c>
      <c r="B46" s="8" t="n">
        <v>2</v>
      </c>
      <c r="C46" s="8" t="inlineStr">
        <is>
          <t>5 (court)</t>
        </is>
      </c>
      <c r="D46" s="8" t="inlineStr">
        <is>
          <t>Department:</t>
        </is>
      </c>
      <c r="E46" s="8" t="inlineStr">
        <is>
          <t>DV-130[0].Page2[0].List5[0].Li1[0].Time_ft2[0]</t>
        </is>
      </c>
      <c r="F46" s="8" t="inlineStr">
        <is>
          <t>text</t>
        </is>
      </c>
      <c r="G46" s="8" t="inlineStr"/>
      <c r="H46" s="8" t="inlineStr"/>
      <c r="I46" s="8" t="inlineStr">
        <is>
          <t>173, 147, 375, 160</t>
        </is>
      </c>
      <c r="J46" s="8" t="inlineStr">
        <is>
          <t>court/clerk</t>
        </is>
      </c>
      <c r="K46" s="8" t="inlineStr"/>
      <c r="L46" s="8" t="inlineStr"/>
      <c r="M46" s="8" t="inlineStr"/>
      <c r="N46" s="8" t="inlineStr">
        <is>
          <t>Judge completes. Court-order rule: party and children info only.</t>
        </is>
      </c>
      <c r="O46" s="8" t="inlineStr"/>
    </row>
    <row r="47">
      <c r="A47" s="8" t="n">
        <v>46</v>
      </c>
      <c r="B47" s="8" t="n">
        <v>2</v>
      </c>
      <c r="C47" s="8" t="inlineStr">
        <is>
          <t>5 (court)</t>
        </is>
      </c>
      <c r="D47" s="8" t="inlineStr">
        <is>
          <t>Room:</t>
        </is>
      </c>
      <c r="E47" s="8" t="inlineStr">
        <is>
          <t>DV-130[0].Page2[0].List5[0].Li1[0].TextField[0]</t>
        </is>
      </c>
      <c r="F47" s="8" t="inlineStr">
        <is>
          <t>text</t>
        </is>
      </c>
      <c r="G47" s="8" t="inlineStr"/>
      <c r="H47" s="8" t="inlineStr"/>
      <c r="I47" s="8" t="inlineStr">
        <is>
          <t>419, 145, 560, 160</t>
        </is>
      </c>
      <c r="J47" s="8" t="inlineStr">
        <is>
          <t>court/clerk</t>
        </is>
      </c>
      <c r="K47" s="8" t="inlineStr"/>
      <c r="L47" s="8" t="inlineStr"/>
      <c r="M47" s="8" t="inlineStr"/>
      <c r="N47" s="8" t="inlineStr">
        <is>
          <t>Judge completes. Court-order rule: party and children info only.</t>
        </is>
      </c>
      <c r="O47" s="8" t="inlineStr"/>
    </row>
    <row r="48">
      <c r="A48" s="8" t="n">
        <v>47</v>
      </c>
      <c r="B48" s="8" t="n">
        <v>2</v>
      </c>
      <c r="C48" s="8" t="inlineStr">
        <is>
          <t>5 (court)</t>
        </is>
      </c>
      <c r="D48" s="8" t="inlineStr">
        <is>
          <t>to review (list issues):</t>
        </is>
      </c>
      <c r="E48" s="8" t="inlineStr">
        <is>
          <t>DV-130[0].Page2[0].List5[0].Li1[0].item6ListIss[0]</t>
        </is>
      </c>
      <c r="F48" s="8" t="inlineStr">
        <is>
          <t>text</t>
        </is>
      </c>
      <c r="G48" s="8" t="inlineStr"/>
      <c r="H48" s="8" t="inlineStr"/>
      <c r="I48" s="8" t="inlineStr">
        <is>
          <t>217, 166, 560, 179</t>
        </is>
      </c>
      <c r="J48" s="8" t="inlineStr">
        <is>
          <t>court/clerk</t>
        </is>
      </c>
      <c r="K48" s="8" t="inlineStr"/>
      <c r="L48" s="8" t="inlineStr"/>
      <c r="M48" s="8" t="inlineStr"/>
      <c r="N48" s="8" t="inlineStr">
        <is>
          <t>Judge completes. Court-order rule: party and children info only.</t>
        </is>
      </c>
      <c r="O48" s="8" t="inlineStr"/>
    </row>
    <row r="49">
      <c r="A49" s="8" t="n">
        <v>48</v>
      </c>
      <c r="B49" s="8" t="n">
        <v>2</v>
      </c>
      <c r="C49" s="8" t="inlineStr">
        <is>
          <t>5 (court)</t>
        </is>
      </c>
      <c r="D49" s="8" t="inlineStr">
        <is>
          <t>Future Court Hearing</t>
        </is>
      </c>
      <c r="E49" s="8" t="inlineStr">
        <is>
          <t>DV-130[0].Page2[0].List5[0].Li1[0].FieldName_cb[0]</t>
        </is>
      </c>
      <c r="F49" s="8" t="inlineStr">
        <is>
          <t>checkbox</t>
        </is>
      </c>
      <c r="G49" s="8" t="inlineStr">
        <is>
          <t>1</t>
        </is>
      </c>
      <c r="H49" s="8" t="inlineStr"/>
      <c r="I49" s="8" t="inlineStr">
        <is>
          <t>62, 87, 71, 96</t>
        </is>
      </c>
      <c r="J49" s="8" t="inlineStr">
        <is>
          <t>court/clerk</t>
        </is>
      </c>
      <c r="K49" s="8" t="inlineStr"/>
      <c r="L49" s="8" t="inlineStr"/>
      <c r="M49" s="8" t="inlineStr"/>
      <c r="N49" s="8" t="inlineStr">
        <is>
          <t>Judge completes. Court-order rule: party and children info only.</t>
        </is>
      </c>
      <c r="O49" s="8" t="inlineStr"/>
    </row>
    <row r="50">
      <c r="A50" s="8" t="n">
        <v>49</v>
      </c>
      <c r="B50" s="8" t="n">
        <v>2</v>
      </c>
      <c r="C50" s="8" t="inlineStr">
        <is>
          <t>5 (court)</t>
        </is>
      </c>
      <c r="D50" s="8" t="inlineStr">
        <is>
          <t>person in 1</t>
        </is>
      </c>
      <c r="E50" s="8" t="inlineStr">
        <is>
          <t>DV-130[0].Page2[0].List5[0].Li1[0].FieldName_cb1[0]</t>
        </is>
      </c>
      <c r="F50" s="8" t="inlineStr">
        <is>
          <t>checkbox</t>
        </is>
      </c>
      <c r="G50" s="8" t="inlineStr">
        <is>
          <t>1</t>
        </is>
      </c>
      <c r="H50" s="8" t="inlineStr"/>
      <c r="I50" s="8" t="inlineStr">
        <is>
          <t>141, 116, 150, 125</t>
        </is>
      </c>
      <c r="J50" s="8" t="inlineStr">
        <is>
          <t>court/clerk</t>
        </is>
      </c>
      <c r="K50" s="8" t="inlineStr"/>
      <c r="L50" s="8" t="inlineStr"/>
      <c r="M50" s="8" t="inlineStr"/>
      <c r="N50" s="8" t="inlineStr">
        <is>
          <t>Judge completes. Court-order rule: party and children info only.</t>
        </is>
      </c>
      <c r="O50" s="8" t="inlineStr"/>
    </row>
    <row r="51">
      <c r="A51" s="8" t="n">
        <v>50</v>
      </c>
      <c r="B51" s="8" t="n">
        <v>2</v>
      </c>
      <c r="C51" s="8" t="inlineStr">
        <is>
          <t>5 (court)</t>
        </is>
      </c>
      <c r="D51" s="8" t="inlineStr">
        <is>
          <t>person in 2</t>
        </is>
      </c>
      <c r="E51" s="8" t="inlineStr">
        <is>
          <t>DV-130[0].Page2[0].List5[0].Li1[0].FieldName_cb3[0]</t>
        </is>
      </c>
      <c r="F51" s="8" t="inlineStr">
        <is>
          <t>checkbox</t>
        </is>
      </c>
      <c r="G51" s="8" t="inlineStr">
        <is>
          <t>1</t>
        </is>
      </c>
      <c r="H51" s="8" t="inlineStr"/>
      <c r="I51" s="8" t="inlineStr">
        <is>
          <t>231, 116, 240, 125</t>
        </is>
      </c>
      <c r="J51" s="8" t="inlineStr">
        <is>
          <t>court/clerk</t>
        </is>
      </c>
      <c r="K51" s="8" t="inlineStr"/>
      <c r="L51" s="8" t="inlineStr"/>
      <c r="M51" s="8" t="inlineStr"/>
      <c r="N51" s="8" t="inlineStr">
        <is>
          <t>Judge completes. Court-order rule: party and children info only.</t>
        </is>
      </c>
      <c r="O51" s="8" t="inlineStr"/>
    </row>
    <row r="52">
      <c r="A52" s="8" t="n">
        <v>51</v>
      </c>
      <c r="B52" s="8" t="n">
        <v>2</v>
      </c>
      <c r="C52" s="8" t="inlineStr">
        <is>
          <t>5 (court)</t>
        </is>
      </c>
      <c r="D52" s="8" t="inlineStr">
        <is>
          <t>Date:</t>
        </is>
      </c>
      <c r="E52" s="8" t="inlineStr">
        <is>
          <t>DV-130[0].Page2[0].List5[0].Li1[0].Time_ft1[0]</t>
        </is>
      </c>
      <c r="F52" s="8" t="inlineStr">
        <is>
          <t>text</t>
        </is>
      </c>
      <c r="G52" s="8" t="inlineStr"/>
      <c r="H52" s="8" t="inlineStr"/>
      <c r="I52" s="8" t="inlineStr">
        <is>
          <t>147, 130, 375, 143</t>
        </is>
      </c>
      <c r="J52" s="8" t="inlineStr">
        <is>
          <t>court/clerk</t>
        </is>
      </c>
      <c r="K52" s="8" t="inlineStr"/>
      <c r="L52" s="8" t="inlineStr"/>
      <c r="M52" s="8" t="inlineStr"/>
      <c r="N52" s="8" t="inlineStr">
        <is>
          <t>Judge completes. Court-order rule: party and children info only.</t>
        </is>
      </c>
      <c r="O52" s="8" t="inlineStr"/>
    </row>
    <row r="53">
      <c r="A53" s="8" t="n">
        <v>52</v>
      </c>
      <c r="B53" s="8" t="n">
        <v>2</v>
      </c>
      <c r="C53" s="8" t="inlineStr">
        <is>
          <t>5 (court)</t>
        </is>
      </c>
      <c r="D53" s="8" t="inlineStr">
        <is>
          <t>Time:</t>
        </is>
      </c>
      <c r="E53" s="8" t="inlineStr">
        <is>
          <t>DV-130[0].Page2[0].List5[0].Li1[0].Time_ft[0]</t>
        </is>
      </c>
      <c r="F53" s="8" t="inlineStr">
        <is>
          <t>text</t>
        </is>
      </c>
      <c r="G53" s="8" t="inlineStr"/>
      <c r="H53" s="8" t="inlineStr"/>
      <c r="I53" s="8" t="inlineStr">
        <is>
          <t>412, 131, 478, 144</t>
        </is>
      </c>
      <c r="J53" s="8" t="inlineStr">
        <is>
          <t>court/clerk</t>
        </is>
      </c>
      <c r="K53" s="8" t="inlineStr"/>
      <c r="L53" s="8" t="inlineStr"/>
      <c r="M53" s="8" t="inlineStr"/>
      <c r="N53" s="8" t="inlineStr">
        <is>
          <t>Judge completes. Court-order rule: party and children info only.</t>
        </is>
      </c>
      <c r="O53" s="8" t="inlineStr"/>
    </row>
    <row r="54">
      <c r="A54" s="8" t="n">
        <v>53</v>
      </c>
      <c r="B54" s="8" t="n">
        <v>2</v>
      </c>
      <c r="C54" s="8" t="inlineStr">
        <is>
          <t>5 (court)</t>
        </is>
      </c>
      <c r="D54" s="8" t="inlineStr">
        <is>
          <t>a.m.</t>
        </is>
      </c>
      <c r="E54" s="8" t="inlineStr">
        <is>
          <t>DV-130[0].Page2[0].List5[0].Li1[0].time5_cb[0]</t>
        </is>
      </c>
      <c r="F54" s="8" t="inlineStr">
        <is>
          <t>checkbox</t>
        </is>
      </c>
      <c r="G54" s="8" t="inlineStr">
        <is>
          <t>2</t>
        </is>
      </c>
      <c r="H54" s="8" t="inlineStr"/>
      <c r="I54" s="8" t="inlineStr">
        <is>
          <t>483, 134, 492, 143</t>
        </is>
      </c>
      <c r="J54" s="8" t="inlineStr">
        <is>
          <t>court/clerk</t>
        </is>
      </c>
      <c r="K54" s="8" t="inlineStr"/>
      <c r="L54" s="8" t="inlineStr"/>
      <c r="M54" s="8" t="inlineStr"/>
      <c r="N54" s="8" t="inlineStr">
        <is>
          <t>Judge completes. Court-order rule: party and children info only.</t>
        </is>
      </c>
      <c r="O54" s="8" t="inlineStr"/>
    </row>
    <row r="55">
      <c r="A55" s="8" t="n">
        <v>54</v>
      </c>
      <c r="B55" s="8" t="n">
        <v>2</v>
      </c>
      <c r="C55" s="8" t="inlineStr">
        <is>
          <t>5 (court)</t>
        </is>
      </c>
      <c r="D55" s="8" t="inlineStr">
        <is>
          <t>p.m.</t>
        </is>
      </c>
      <c r="E55" s="8" t="inlineStr">
        <is>
          <t>DV-130[0].Page2[0].List5[0].Li1[0].time5_cb[1]</t>
        </is>
      </c>
      <c r="F55" s="8" t="inlineStr">
        <is>
          <t>checkbox</t>
        </is>
      </c>
      <c r="G55" s="8" t="inlineStr">
        <is>
          <t>3</t>
        </is>
      </c>
      <c r="H55" s="8" t="inlineStr"/>
      <c r="I55" s="8" t="inlineStr">
        <is>
          <t>527, 134, 536, 143</t>
        </is>
      </c>
      <c r="J55" s="8" t="inlineStr">
        <is>
          <t>court/clerk</t>
        </is>
      </c>
      <c r="K55" s="8" t="inlineStr"/>
      <c r="L55" s="8" t="inlineStr"/>
      <c r="M55" s="8" t="inlineStr"/>
      <c r="N55" s="8" t="inlineStr">
        <is>
          <t>Judge completes. Court-order rule: party and children info only.</t>
        </is>
      </c>
      <c r="O55" s="8" t="inlineStr"/>
    </row>
    <row r="56">
      <c r="A56" s="8" t="n">
        <v>55</v>
      </c>
      <c r="B56" s="8" t="n">
        <v>2</v>
      </c>
      <c r="C56" s="8" t="inlineStr">
        <is>
          <t>5 (court)</t>
        </is>
      </c>
      <c r="D56" s="8" t="inlineStr">
        <is>
          <t>list issues</t>
        </is>
      </c>
      <c r="E56" s="8" t="inlineStr">
        <is>
          <t>DV-130[0].Page2[0].List5[0].Li1[0].TextField1[0]</t>
        </is>
      </c>
      <c r="F56" s="8" t="inlineStr">
        <is>
          <t>text</t>
        </is>
      </c>
      <c r="G56" s="8" t="inlineStr"/>
      <c r="H56" s="8" t="inlineStr"/>
      <c r="I56" s="8" t="inlineStr">
        <is>
          <t>118, 181, 562, 196</t>
        </is>
      </c>
      <c r="J56" s="8" t="inlineStr">
        <is>
          <t>court/clerk</t>
        </is>
      </c>
      <c r="K56" s="8" t="inlineStr"/>
      <c r="L56" s="8" t="inlineStr"/>
      <c r="M56" s="8" t="inlineStr"/>
      <c r="N56" s="8" t="inlineStr">
        <is>
          <t>Judge completes. Court-order rule: party and children info only.</t>
        </is>
      </c>
      <c r="O56" s="8" t="inlineStr"/>
    </row>
    <row r="57">
      <c r="A57" s="8" t="n">
        <v>56</v>
      </c>
      <c r="B57" s="8" t="n">
        <v>2</v>
      </c>
      <c r="C57" s="8" t="inlineStr">
        <is>
          <t>6 (court)</t>
        </is>
      </c>
      <c r="D57" s="8" t="inlineStr">
        <is>
          <t>(date):</t>
        </is>
      </c>
      <c r="E57" s="8" t="inlineStr">
        <is>
          <t>DV-130[0].Page2[0].List6[0].Li1[0].HearingDate_dt[0]</t>
        </is>
      </c>
      <c r="F57" s="8" t="inlineStr">
        <is>
          <t>text</t>
        </is>
      </c>
      <c r="G57" s="8" t="inlineStr"/>
      <c r="H57" s="8" t="inlineStr"/>
      <c r="I57" s="8" t="inlineStr">
        <is>
          <t>198, 272, 265, 286</t>
        </is>
      </c>
      <c r="J57" s="8" t="inlineStr">
        <is>
          <t>court/clerk</t>
        </is>
      </c>
      <c r="K57" s="8" t="inlineStr"/>
      <c r="L57" s="8" t="inlineStr"/>
      <c r="M57" s="8" t="inlineStr"/>
      <c r="N57" s="8" t="inlineStr">
        <is>
          <t>Judge completes. Court-order rule: party and children info only.</t>
        </is>
      </c>
      <c r="O57" s="8" t="inlineStr"/>
    </row>
    <row r="58">
      <c r="A58" s="8" t="n">
        <v>57</v>
      </c>
      <c r="B58" s="8" t="n">
        <v>2</v>
      </c>
      <c r="C58" s="8" t="inlineStr">
        <is>
          <t>6 (court)</t>
        </is>
      </c>
      <c r="D58" s="8" t="inlineStr">
        <is>
          <t>with (name of judicial officer):</t>
        </is>
      </c>
      <c r="E58" s="8" t="inlineStr">
        <is>
          <t>DV-130[0].Page2[0].List6[0].Li1[0].NameOfJudicialOfficer_ft[0]</t>
        </is>
      </c>
      <c r="F58" s="8" t="inlineStr">
        <is>
          <t>text</t>
        </is>
      </c>
      <c r="G58" s="8" t="inlineStr"/>
      <c r="H58" s="8" t="inlineStr"/>
      <c r="I58" s="8" t="inlineStr">
        <is>
          <t>406, 272, 570, 286</t>
        </is>
      </c>
      <c r="J58" s="8" t="inlineStr">
        <is>
          <t>court/clerk</t>
        </is>
      </c>
      <c r="K58" s="8" t="inlineStr"/>
      <c r="L58" s="8" t="inlineStr"/>
      <c r="M58" s="8" t="inlineStr"/>
      <c r="N58" s="8" t="inlineStr">
        <is>
          <t>Judge completes. Court-order rule: party and children info only.</t>
        </is>
      </c>
      <c r="O58" s="8" t="inlineStr"/>
    </row>
    <row r="59">
      <c r="A59" s="8" t="n">
        <v>58</v>
      </c>
      <c r="B59" s="8" t="n">
        <v>2</v>
      </c>
      <c r="C59" s="8" t="inlineStr">
        <is>
          <t>6 (court)</t>
        </is>
      </c>
      <c r="D59" s="8" t="inlineStr">
        <is>
          <t>The person in 1</t>
        </is>
      </c>
      <c r="E59" s="8" t="inlineStr">
        <is>
          <t>DV-130[0].Page2[0].List6[0].Li2[0].FieldName_cb1[0]</t>
        </is>
      </c>
      <c r="F59" s="8" t="inlineStr">
        <is>
          <t>checkbox</t>
        </is>
      </c>
      <c r="G59" s="8" t="inlineStr">
        <is>
          <t>1</t>
        </is>
      </c>
      <c r="H59" s="8" t="inlineStr"/>
      <c r="I59" s="8" t="inlineStr">
        <is>
          <t>76, 314, 85, 323</t>
        </is>
      </c>
      <c r="J59" s="8" t="inlineStr">
        <is>
          <t>court/clerk</t>
        </is>
      </c>
      <c r="K59" s="8" t="inlineStr"/>
      <c r="L59" s="8" t="inlineStr"/>
      <c r="M59" s="8" t="inlineStr"/>
      <c r="N59" s="8" t="inlineStr">
        <is>
          <t>Judge completes. Court-order rule: party and children info only.</t>
        </is>
      </c>
      <c r="O59" s="8" t="inlineStr"/>
    </row>
    <row r="60">
      <c r="A60" s="8" t="n">
        <v>59</v>
      </c>
      <c r="B60" s="8" t="n">
        <v>2</v>
      </c>
      <c r="C60" s="8" t="inlineStr">
        <is>
          <t>6 (court)</t>
        </is>
      </c>
      <c r="D60" s="8" t="inlineStr">
        <is>
          <t>The lawyer for the person in 1</t>
        </is>
      </c>
      <c r="E60" s="8" t="inlineStr">
        <is>
          <t>DV-130[0].Page2[0].List6[0].Li2[0].FieldName_cb2[0]</t>
        </is>
      </c>
      <c r="F60" s="8" t="inlineStr">
        <is>
          <t>checkbox</t>
        </is>
      </c>
      <c r="G60" s="8" t="inlineStr">
        <is>
          <t>1</t>
        </is>
      </c>
      <c r="H60" s="8" t="inlineStr"/>
      <c r="I60" s="8" t="inlineStr">
        <is>
          <t>180, 313, 189, 322</t>
        </is>
      </c>
      <c r="J60" s="8" t="inlineStr">
        <is>
          <t>court/clerk</t>
        </is>
      </c>
      <c r="K60" s="8" t="inlineStr"/>
      <c r="L60" s="8" t="inlineStr"/>
      <c r="M60" s="8" t="inlineStr"/>
      <c r="N60" s="8" t="inlineStr">
        <is>
          <t>Judge completes. Court-order rule: party and children info only.</t>
        </is>
      </c>
      <c r="O60" s="8" t="inlineStr"/>
    </row>
    <row r="61">
      <c r="A61" s="8" t="n">
        <v>60</v>
      </c>
      <c r="B61" s="8" t="n">
        <v>2</v>
      </c>
      <c r="C61" s="8" t="inlineStr">
        <is>
          <t>6 (court)</t>
        </is>
      </c>
      <c r="D61" s="8" t="inlineStr">
        <is>
          <t>(name):</t>
        </is>
      </c>
      <c r="E61" s="8" t="inlineStr">
        <is>
          <t>DV-130[0].Page2[0].List6[0].Li2[0].T150[0]</t>
        </is>
      </c>
      <c r="F61" s="8" t="inlineStr">
        <is>
          <t>text</t>
        </is>
      </c>
      <c r="G61" s="8" t="inlineStr"/>
      <c r="H61" s="8" t="inlineStr"/>
      <c r="I61" s="8" t="inlineStr">
        <is>
          <t>377, 313, 576, 324</t>
        </is>
      </c>
      <c r="J61" s="8" t="inlineStr">
        <is>
          <t>court/clerk</t>
        </is>
      </c>
      <c r="K61" s="8" t="inlineStr"/>
      <c r="L61" s="8" t="inlineStr"/>
      <c r="M61" s="8" t="inlineStr"/>
      <c r="N61" s="8" t="inlineStr">
        <is>
          <t>Judge completes. Court-order rule: party and children info only.</t>
        </is>
      </c>
      <c r="O61" s="8" t="inlineStr"/>
    </row>
    <row r="62">
      <c r="A62" s="8" t="n">
        <v>61</v>
      </c>
      <c r="B62" s="8" t="n">
        <v>2</v>
      </c>
      <c r="C62" s="8" t="inlineStr">
        <is>
          <t>6 (court)</t>
        </is>
      </c>
      <c r="D62" s="8" t="inlineStr">
        <is>
          <t>The person in 2</t>
        </is>
      </c>
      <c r="E62" s="8" t="inlineStr">
        <is>
          <t>DV-130[0].Page2[0].List6[0].Li2[0].FieldName_cb3[0]</t>
        </is>
      </c>
      <c r="F62" s="8" t="inlineStr">
        <is>
          <t>checkbox</t>
        </is>
      </c>
      <c r="G62" s="8" t="inlineStr">
        <is>
          <t>1</t>
        </is>
      </c>
      <c r="H62" s="8" t="inlineStr"/>
      <c r="I62" s="8" t="inlineStr">
        <is>
          <t>76, 332, 85, 341</t>
        </is>
      </c>
      <c r="J62" s="8" t="inlineStr">
        <is>
          <t>court/clerk</t>
        </is>
      </c>
      <c r="K62" s="8" t="inlineStr"/>
      <c r="L62" s="8" t="inlineStr"/>
      <c r="M62" s="8" t="inlineStr"/>
      <c r="N62" s="8" t="inlineStr">
        <is>
          <t>Judge completes. Court-order rule: party and children info only.</t>
        </is>
      </c>
      <c r="O62" s="8" t="inlineStr"/>
    </row>
    <row r="63">
      <c r="A63" s="8" t="n">
        <v>62</v>
      </c>
      <c r="B63" s="8" t="n">
        <v>2</v>
      </c>
      <c r="C63" s="8" t="inlineStr">
        <is>
          <t>6 (court)</t>
        </is>
      </c>
      <c r="D63" s="8" t="inlineStr">
        <is>
          <t>The lawyer for the person in 2</t>
        </is>
      </c>
      <c r="E63" s="8" t="inlineStr">
        <is>
          <t>DV-130[0].Page2[0].List6[0].Li2[0].FieldName_cb[0]</t>
        </is>
      </c>
      <c r="F63" s="8" t="inlineStr">
        <is>
          <t>checkbox</t>
        </is>
      </c>
      <c r="G63" s="8" t="inlineStr">
        <is>
          <t>1</t>
        </is>
      </c>
      <c r="H63" s="8" t="inlineStr"/>
      <c r="I63" s="8" t="inlineStr">
        <is>
          <t>180, 332, 189, 341</t>
        </is>
      </c>
      <c r="J63" s="8" t="inlineStr">
        <is>
          <t>court/clerk</t>
        </is>
      </c>
      <c r="K63" s="8" t="inlineStr"/>
      <c r="L63" s="8" t="inlineStr"/>
      <c r="M63" s="8" t="inlineStr"/>
      <c r="N63" s="8" t="inlineStr">
        <is>
          <t>Judge completes. Court-order rule: party and children info only.</t>
        </is>
      </c>
      <c r="O63" s="8" t="inlineStr"/>
    </row>
    <row r="64">
      <c r="A64" s="8" t="n">
        <v>63</v>
      </c>
      <c r="B64" s="8" t="n">
        <v>2</v>
      </c>
      <c r="C64" s="8" t="inlineStr">
        <is>
          <t>6 (court)</t>
        </is>
      </c>
      <c r="D64" s="8" t="inlineStr">
        <is>
          <t>(name):</t>
        </is>
      </c>
      <c r="E64" s="8" t="inlineStr">
        <is>
          <t>DV-130[0].Page2[0].List6[0].Li2[0].T155[0]</t>
        </is>
      </c>
      <c r="F64" s="8" t="inlineStr">
        <is>
          <t>text</t>
        </is>
      </c>
      <c r="G64" s="8" t="inlineStr"/>
      <c r="H64" s="8" t="inlineStr"/>
      <c r="I64" s="8" t="inlineStr">
        <is>
          <t>377, 331, 576, 342</t>
        </is>
      </c>
      <c r="J64" s="8" t="inlineStr">
        <is>
          <t>court/clerk</t>
        </is>
      </c>
      <c r="K64" s="8" t="inlineStr"/>
      <c r="L64" s="8" t="inlineStr"/>
      <c r="M64" s="8" t="inlineStr"/>
      <c r="N64" s="8" t="inlineStr">
        <is>
          <t>Judge completes. Court-order rule: party and children info only.</t>
        </is>
      </c>
      <c r="O64" s="8" t="inlineStr"/>
    </row>
    <row r="65">
      <c r="A65" s="5" t="n">
        <v>64</v>
      </c>
      <c r="B65" s="5" t="n">
        <v>3</v>
      </c>
      <c r="C65" s="5" t="inlineStr">
        <is>
          <t>Caption</t>
        </is>
      </c>
      <c r="D65" s="5" t="inlineStr">
        <is>
          <t>Case Number:</t>
        </is>
      </c>
      <c r="E65" s="5" t="inlineStr">
        <is>
          <t>DV-130[0].Page3[0].CaseNumber_ft[0]</t>
        </is>
      </c>
      <c r="F65" s="5" t="inlineStr">
        <is>
          <t>text</t>
        </is>
      </c>
      <c r="G65" s="5" t="inlineStr"/>
      <c r="H65" s="5" t="inlineStr"/>
      <c r="I65" s="5" t="inlineStr">
        <is>
          <t>401, 47, 576, 63</t>
        </is>
      </c>
      <c r="J65" s="5" t="inlineStr">
        <is>
          <t>question</t>
        </is>
      </c>
      <c r="K65" s="5" t="inlineStr">
        <is>
          <t>X0</t>
        </is>
      </c>
      <c r="L65" s="5">
        <f> X0</f>
        <v/>
      </c>
      <c r="M65" s="5" t="inlineStr">
        <is>
          <t>stage 3</t>
        </is>
      </c>
      <c r="N65" s="5" t="inlineStr"/>
      <c r="O65" s="5" t="inlineStr"/>
    </row>
    <row r="66">
      <c r="A66" s="8" t="n">
        <v>65</v>
      </c>
      <c r="B66" s="8" t="n">
        <v>3</v>
      </c>
      <c r="C66" s="8" t="inlineStr">
        <is>
          <t>8 (court)</t>
        </is>
      </c>
      <c r="D66" s="8" t="inlineStr">
        <is>
          <t>Permission to have firearm or ammunition for work: The judge has made the necessary findings to grant an exception under Family Code section 6389(h). The orders are included on form DV-850, Permission</t>
        </is>
      </c>
      <c r="E66" s="8" t="inlineStr">
        <is>
          <t>DV-130[0].Page3[0].List8[0].Li6[0].AGHagueCert_cb[0]</t>
        </is>
      </c>
      <c r="F66" s="8" t="inlineStr">
        <is>
          <t>checkbox</t>
        </is>
      </c>
      <c r="G66" s="8" t="inlineStr">
        <is>
          <t>1</t>
        </is>
      </c>
      <c r="H66" s="8" t="inlineStr"/>
      <c r="I66" s="8" t="inlineStr">
        <is>
          <t>74, 396, 83, 405</t>
        </is>
      </c>
      <c r="J66" s="8" t="inlineStr">
        <is>
          <t>court/clerk</t>
        </is>
      </c>
      <c r="K66" s="8" t="inlineStr"/>
      <c r="L66" s="8" t="inlineStr"/>
      <c r="M66" s="8" t="inlineStr"/>
      <c r="N66" s="8" t="inlineStr">
        <is>
          <t>Judge completes. Court-order rule: party and children info only.</t>
        </is>
      </c>
      <c r="O66" s="8" t="inlineStr"/>
    </row>
    <row r="67">
      <c r="A67" s="8" t="n">
        <v>66</v>
      </c>
      <c r="B67" s="8" t="n">
        <v>3</v>
      </c>
      <c r="C67" s="8" t="inlineStr">
        <is>
          <t>9 (court)</t>
        </is>
      </c>
      <c r="D67" s="8" t="inlineStr">
        <is>
          <t>Restrained person has prohibited items</t>
        </is>
      </c>
      <c r="E67" s="8" t="inlineStr">
        <is>
          <t>DV-130[0].Page3[0].List9[0].CheckBoxRightCaption[0]</t>
        </is>
      </c>
      <c r="F67" s="8" t="inlineStr">
        <is>
          <t>checkbox</t>
        </is>
      </c>
      <c r="G67" s="8" t="inlineStr">
        <is>
          <t>1</t>
        </is>
      </c>
      <c r="H67" s="8" t="inlineStr"/>
      <c r="I67" s="8" t="inlineStr">
        <is>
          <t>60, 507, 69, 516</t>
        </is>
      </c>
      <c r="J67" s="8" t="inlineStr">
        <is>
          <t>court/clerk</t>
        </is>
      </c>
      <c r="K67" s="8" t="inlineStr"/>
      <c r="L67" s="8" t="inlineStr"/>
      <c r="M67" s="8" t="inlineStr"/>
      <c r="N67" s="8" t="inlineStr">
        <is>
          <t>Judge completes. Court-order rule: party and children info only.</t>
        </is>
      </c>
      <c r="O67" s="8" t="inlineStr"/>
    </row>
    <row r="68">
      <c r="A68" s="8" t="n">
        <v>67</v>
      </c>
      <c r="B68" s="8" t="n">
        <v>3</v>
      </c>
      <c r="C68" s="8" t="inlineStr">
        <is>
          <t>9 (court)</t>
        </is>
      </c>
      <c r="D68" s="8" t="inlineStr">
        <is>
          <t>Description (include serial number, if known)</t>
        </is>
      </c>
      <c r="E68" s="8" t="inlineStr">
        <is>
          <t>DV-130[0].Page3[0].List9[0].Li1[0].TextField1[0]</t>
        </is>
      </c>
      <c r="F68" s="8" t="inlineStr">
        <is>
          <t>text</t>
        </is>
      </c>
      <c r="G68" s="8" t="inlineStr"/>
      <c r="H68" s="8" t="inlineStr"/>
      <c r="I68" s="8" t="inlineStr">
        <is>
          <t>84, 581, 314, 596</t>
        </is>
      </c>
      <c r="J68" s="8" t="inlineStr">
        <is>
          <t>court/clerk</t>
        </is>
      </c>
      <c r="K68" s="8" t="inlineStr"/>
      <c r="L68" s="8" t="inlineStr"/>
      <c r="M68" s="8" t="inlineStr"/>
      <c r="N68" s="8" t="inlineStr">
        <is>
          <t>Judge completes. Court-order rule: party and children info only.</t>
        </is>
      </c>
      <c r="O68" s="8" t="inlineStr"/>
    </row>
    <row r="69">
      <c r="A69" s="8" t="n">
        <v>68</v>
      </c>
      <c r="B69" s="8" t="n">
        <v>3</v>
      </c>
      <c r="C69" s="8" t="inlineStr">
        <is>
          <t>9 (court)</t>
        </is>
      </c>
      <c r="D69" s="8" t="inlineStr">
        <is>
          <t>Location, if known</t>
        </is>
      </c>
      <c r="E69" s="8" t="inlineStr">
        <is>
          <t>DV-130[0].Page3[0].List9[0].Li1[0].TextField2[0]</t>
        </is>
      </c>
      <c r="F69" s="8" t="inlineStr">
        <is>
          <t>text</t>
        </is>
      </c>
      <c r="G69" s="8" t="inlineStr"/>
      <c r="H69" s="8" t="inlineStr"/>
      <c r="I69" s="8" t="inlineStr">
        <is>
          <t>321, 581, 451, 596</t>
        </is>
      </c>
      <c r="J69" s="8" t="inlineStr">
        <is>
          <t>court/clerk</t>
        </is>
      </c>
      <c r="K69" s="8" t="inlineStr"/>
      <c r="L69" s="8" t="inlineStr"/>
      <c r="M69" s="8" t="inlineStr"/>
      <c r="N69" s="8" t="inlineStr">
        <is>
          <t>Judge completes. Court-order rule: party and children info only.</t>
        </is>
      </c>
      <c r="O69" s="8" t="inlineStr"/>
    </row>
    <row r="70">
      <c r="A70" s="8" t="n">
        <v>69</v>
      </c>
      <c r="B70" s="8" t="n">
        <v>3</v>
      </c>
      <c r="C70" s="8" t="inlineStr">
        <is>
          <t>9 (court)</t>
        </is>
      </c>
      <c r="D70" s="8" t="inlineStr">
        <is>
          <t>Proof of compliance  received by the court</t>
        </is>
      </c>
      <c r="E70" s="8" t="inlineStr">
        <is>
          <t>DV-130[0].Page3[0].List9[0].Li1[0].Choice1[0]</t>
        </is>
      </c>
      <c r="F70" s="8" t="inlineStr">
        <is>
          <t>checkbox</t>
        </is>
      </c>
      <c r="G70" s="8" t="inlineStr">
        <is>
          <t>1</t>
        </is>
      </c>
      <c r="H70" s="8" t="inlineStr"/>
      <c r="I70" s="8" t="inlineStr">
        <is>
          <t>457, 584, 466, 593</t>
        </is>
      </c>
      <c r="J70" s="8" t="inlineStr">
        <is>
          <t>court/clerk</t>
        </is>
      </c>
      <c r="K70" s="8" t="inlineStr"/>
      <c r="L70" s="8" t="inlineStr"/>
      <c r="M70" s="8" t="inlineStr"/>
      <c r="N70" s="8" t="inlineStr">
        <is>
          <t>Judge completes. Court-order rule: party and children info only.</t>
        </is>
      </c>
      <c r="O70" s="8" t="inlineStr"/>
    </row>
    <row r="71">
      <c r="A71" s="8" t="n">
        <v>70</v>
      </c>
      <c r="B71" s="8" t="n">
        <v>3</v>
      </c>
      <c r="C71" s="8" t="inlineStr">
        <is>
          <t>9 (court)</t>
        </is>
      </c>
      <c r="D71" s="8" t="inlineStr">
        <is>
          <t>(date):</t>
        </is>
      </c>
      <c r="E71" s="8" t="inlineStr">
        <is>
          <t>DV-130[0].Page3[0].List9[0].Li1[0].DateField1[0]</t>
        </is>
      </c>
      <c r="F71" s="8" t="inlineStr">
        <is>
          <t>text</t>
        </is>
      </c>
      <c r="G71" s="8" t="inlineStr"/>
      <c r="H71" s="8" t="inlineStr"/>
      <c r="I71" s="8" t="inlineStr">
        <is>
          <t>501, 580, 574, 595</t>
        </is>
      </c>
      <c r="J71" s="8" t="inlineStr">
        <is>
          <t>court/clerk</t>
        </is>
      </c>
      <c r="K71" s="8" t="inlineStr"/>
      <c r="L71" s="8" t="inlineStr"/>
      <c r="M71" s="8" t="inlineStr"/>
      <c r="N71" s="8" t="inlineStr">
        <is>
          <t>Judge completes. Court-order rule: party and children info only.</t>
        </is>
      </c>
      <c r="O71" s="8" t="inlineStr"/>
    </row>
    <row r="72">
      <c r="A72" s="8" t="n">
        <v>71</v>
      </c>
      <c r="B72" s="8" t="n">
        <v>3</v>
      </c>
      <c r="C72" s="8" t="inlineStr">
        <is>
          <t>9 (court)</t>
        </is>
      </c>
      <c r="D72" s="8" t="inlineStr">
        <is>
          <t>Description (include serial number, if known)</t>
        </is>
      </c>
      <c r="E72" s="8" t="inlineStr">
        <is>
          <t>DV-130[0].Page3[0].List9[0].Li1[0].TextField3[0]</t>
        </is>
      </c>
      <c r="F72" s="8" t="inlineStr">
        <is>
          <t>text</t>
        </is>
      </c>
      <c r="G72" s="8" t="inlineStr"/>
      <c r="H72" s="8" t="inlineStr"/>
      <c r="I72" s="8" t="inlineStr">
        <is>
          <t>84, 601, 314, 616</t>
        </is>
      </c>
      <c r="J72" s="8" t="inlineStr">
        <is>
          <t>court/clerk</t>
        </is>
      </c>
      <c r="K72" s="8" t="inlineStr"/>
      <c r="L72" s="8" t="inlineStr"/>
      <c r="M72" s="8" t="inlineStr"/>
      <c r="N72" s="8" t="inlineStr">
        <is>
          <t>Judge completes. Court-order rule: party and children info only.</t>
        </is>
      </c>
      <c r="O72" s="8" t="inlineStr"/>
    </row>
    <row r="73">
      <c r="A73" s="8" t="n">
        <v>72</v>
      </c>
      <c r="B73" s="8" t="n">
        <v>3</v>
      </c>
      <c r="C73" s="8" t="inlineStr">
        <is>
          <t>9 (court)</t>
        </is>
      </c>
      <c r="D73" s="8" t="inlineStr">
        <is>
          <t>Location, if known</t>
        </is>
      </c>
      <c r="E73" s="8" t="inlineStr">
        <is>
          <t>DV-130[0].Page3[0].List9[0].Li1[0].TextField4[0]</t>
        </is>
      </c>
      <c r="F73" s="8" t="inlineStr">
        <is>
          <t>text</t>
        </is>
      </c>
      <c r="G73" s="8" t="inlineStr"/>
      <c r="H73" s="8" t="inlineStr"/>
      <c r="I73" s="8" t="inlineStr">
        <is>
          <t>321, 601, 451, 616</t>
        </is>
      </c>
      <c r="J73" s="8" t="inlineStr">
        <is>
          <t>court/clerk</t>
        </is>
      </c>
      <c r="K73" s="8" t="inlineStr"/>
      <c r="L73" s="8" t="inlineStr"/>
      <c r="M73" s="8" t="inlineStr"/>
      <c r="N73" s="8" t="inlineStr">
        <is>
          <t>Judge completes. Court-order rule: party and children info only.</t>
        </is>
      </c>
      <c r="O73" s="8" t="inlineStr"/>
    </row>
    <row r="74">
      <c r="A74" s="8" t="n">
        <v>73</v>
      </c>
      <c r="B74" s="8" t="n">
        <v>3</v>
      </c>
      <c r="C74" s="8" t="inlineStr">
        <is>
          <t>9 (court)</t>
        </is>
      </c>
      <c r="D74" s="8" t="inlineStr">
        <is>
          <t>Proof of compliance  received by the court</t>
        </is>
      </c>
      <c r="E74" s="8" t="inlineStr">
        <is>
          <t>DV-130[0].Page3[0].List9[0].Li1[0].Choice2[0]</t>
        </is>
      </c>
      <c r="F74" s="8" t="inlineStr">
        <is>
          <t>checkbox</t>
        </is>
      </c>
      <c r="G74" s="8" t="inlineStr">
        <is>
          <t>1</t>
        </is>
      </c>
      <c r="H74" s="8" t="inlineStr"/>
      <c r="I74" s="8" t="inlineStr">
        <is>
          <t>457, 604, 466, 613</t>
        </is>
      </c>
      <c r="J74" s="8" t="inlineStr">
        <is>
          <t>court/clerk</t>
        </is>
      </c>
      <c r="K74" s="8" t="inlineStr"/>
      <c r="L74" s="8" t="inlineStr"/>
      <c r="M74" s="8" t="inlineStr"/>
      <c r="N74" s="8" t="inlineStr">
        <is>
          <t>Judge completes. Court-order rule: party and children info only.</t>
        </is>
      </c>
      <c r="O74" s="8" t="inlineStr"/>
    </row>
    <row r="75">
      <c r="A75" s="8" t="n">
        <v>74</v>
      </c>
      <c r="B75" s="8" t="n">
        <v>3</v>
      </c>
      <c r="C75" s="8" t="inlineStr">
        <is>
          <t>9 (court)</t>
        </is>
      </c>
      <c r="D75" s="8" t="inlineStr">
        <is>
          <t>(date):</t>
        </is>
      </c>
      <c r="E75" s="8" t="inlineStr">
        <is>
          <t>DV-130[0].Page3[0].List9[0].Li1[0].DateField2[0]</t>
        </is>
      </c>
      <c r="F75" s="8" t="inlineStr">
        <is>
          <t>text</t>
        </is>
      </c>
      <c r="G75" s="8" t="inlineStr"/>
      <c r="H75" s="8" t="inlineStr"/>
      <c r="I75" s="8" t="inlineStr">
        <is>
          <t>501, 601, 574, 616</t>
        </is>
      </c>
      <c r="J75" s="8" t="inlineStr">
        <is>
          <t>court/clerk</t>
        </is>
      </c>
      <c r="K75" s="8" t="inlineStr"/>
      <c r="L75" s="8" t="inlineStr"/>
      <c r="M75" s="8" t="inlineStr"/>
      <c r="N75" s="8" t="inlineStr">
        <is>
          <t>Judge completes. Court-order rule: party and children info only.</t>
        </is>
      </c>
      <c r="O75" s="8" t="inlineStr"/>
    </row>
    <row r="76">
      <c r="A76" s="8" t="n">
        <v>75</v>
      </c>
      <c r="B76" s="8" t="n">
        <v>3</v>
      </c>
      <c r="C76" s="8" t="inlineStr">
        <is>
          <t>9 (court)</t>
        </is>
      </c>
      <c r="D76" s="8" t="inlineStr">
        <is>
          <t>Description (include serial number, if known)</t>
        </is>
      </c>
      <c r="E76" s="8" t="inlineStr">
        <is>
          <t>DV-130[0].Page3[0].List9[0].Li1[0].TextField5[0]</t>
        </is>
      </c>
      <c r="F76" s="8" t="inlineStr">
        <is>
          <t>text</t>
        </is>
      </c>
      <c r="G76" s="8" t="inlineStr"/>
      <c r="H76" s="8" t="inlineStr"/>
      <c r="I76" s="8" t="inlineStr">
        <is>
          <t>84, 621, 314, 636</t>
        </is>
      </c>
      <c r="J76" s="8" t="inlineStr">
        <is>
          <t>court/clerk</t>
        </is>
      </c>
      <c r="K76" s="8" t="inlineStr"/>
      <c r="L76" s="8" t="inlineStr"/>
      <c r="M76" s="8" t="inlineStr"/>
      <c r="N76" s="8" t="inlineStr">
        <is>
          <t>Judge completes. Court-order rule: party and children info only.</t>
        </is>
      </c>
      <c r="O76" s="8" t="inlineStr"/>
    </row>
    <row r="77">
      <c r="A77" s="8" t="n">
        <v>76</v>
      </c>
      <c r="B77" s="8" t="n">
        <v>3</v>
      </c>
      <c r="C77" s="8" t="inlineStr">
        <is>
          <t>9 (court)</t>
        </is>
      </c>
      <c r="D77" s="8" t="inlineStr">
        <is>
          <t>Location, if known</t>
        </is>
      </c>
      <c r="E77" s="8" t="inlineStr">
        <is>
          <t>DV-130[0].Page3[0].List9[0].Li1[0].TextField6[0]</t>
        </is>
      </c>
      <c r="F77" s="8" t="inlineStr">
        <is>
          <t>text</t>
        </is>
      </c>
      <c r="G77" s="8" t="inlineStr"/>
      <c r="H77" s="8" t="inlineStr"/>
      <c r="I77" s="8" t="inlineStr">
        <is>
          <t>321, 621, 451, 636</t>
        </is>
      </c>
      <c r="J77" s="8" t="inlineStr">
        <is>
          <t>court/clerk</t>
        </is>
      </c>
      <c r="K77" s="8" t="inlineStr"/>
      <c r="L77" s="8" t="inlineStr"/>
      <c r="M77" s="8" t="inlineStr"/>
      <c r="N77" s="8" t="inlineStr">
        <is>
          <t>Judge completes. Court-order rule: party and children info only.</t>
        </is>
      </c>
      <c r="O77" s="8" t="inlineStr"/>
    </row>
    <row r="78">
      <c r="A78" s="8" t="n">
        <v>77</v>
      </c>
      <c r="B78" s="8" t="n">
        <v>3</v>
      </c>
      <c r="C78" s="8" t="inlineStr">
        <is>
          <t>9 (court)</t>
        </is>
      </c>
      <c r="D78" s="8" t="inlineStr">
        <is>
          <t>Proof of compliance  received by the court</t>
        </is>
      </c>
      <c r="E78" s="8" t="inlineStr">
        <is>
          <t>DV-130[0].Page3[0].List9[0].Li1[0].Choice3[0]</t>
        </is>
      </c>
      <c r="F78" s="8" t="inlineStr">
        <is>
          <t>checkbox</t>
        </is>
      </c>
      <c r="G78" s="8" t="inlineStr">
        <is>
          <t>1</t>
        </is>
      </c>
      <c r="H78" s="8" t="inlineStr"/>
      <c r="I78" s="8" t="inlineStr">
        <is>
          <t>457, 625, 466, 634</t>
        </is>
      </c>
      <c r="J78" s="8" t="inlineStr">
        <is>
          <t>court/clerk</t>
        </is>
      </c>
      <c r="K78" s="8" t="inlineStr"/>
      <c r="L78" s="8" t="inlineStr"/>
      <c r="M78" s="8" t="inlineStr"/>
      <c r="N78" s="8" t="inlineStr">
        <is>
          <t>Judge completes. Court-order rule: party and children info only.</t>
        </is>
      </c>
      <c r="O78" s="8" t="inlineStr"/>
    </row>
    <row r="79">
      <c r="A79" s="8" t="n">
        <v>78</v>
      </c>
      <c r="B79" s="8" t="n">
        <v>3</v>
      </c>
      <c r="C79" s="8" t="inlineStr">
        <is>
          <t>9 (court)</t>
        </is>
      </c>
      <c r="D79" s="8" t="inlineStr">
        <is>
          <t>(date):</t>
        </is>
      </c>
      <c r="E79" s="8" t="inlineStr">
        <is>
          <t>DV-130[0].Page3[0].List9[0].Li1[0].DateField3[0]</t>
        </is>
      </c>
      <c r="F79" s="8" t="inlineStr">
        <is>
          <t>text</t>
        </is>
      </c>
      <c r="G79" s="8" t="inlineStr"/>
      <c r="H79" s="8" t="inlineStr"/>
      <c r="I79" s="8" t="inlineStr">
        <is>
          <t>501, 622, 574, 637</t>
        </is>
      </c>
      <c r="J79" s="8" t="inlineStr">
        <is>
          <t>court/clerk</t>
        </is>
      </c>
      <c r="K79" s="8" t="inlineStr"/>
      <c r="L79" s="8" t="inlineStr"/>
      <c r="M79" s="8" t="inlineStr"/>
      <c r="N79" s="8" t="inlineStr">
        <is>
          <t>Judge completes. Court-order rule: party and children info only.</t>
        </is>
      </c>
      <c r="O79" s="8" t="inlineStr"/>
    </row>
    <row r="80">
      <c r="A80" s="8" t="n">
        <v>79</v>
      </c>
      <c r="B80" s="8" t="n">
        <v>3</v>
      </c>
      <c r="C80" s="8" t="inlineStr">
        <is>
          <t>9 (court)</t>
        </is>
      </c>
      <c r="D80" s="8" t="inlineStr">
        <is>
          <t>Description (include serial number, if known)</t>
        </is>
      </c>
      <c r="E80" s="8" t="inlineStr">
        <is>
          <t>DV-130[0].Page3[0].List9[0].Li1[0].TextField7[0]</t>
        </is>
      </c>
      <c r="F80" s="8" t="inlineStr">
        <is>
          <t>text</t>
        </is>
      </c>
      <c r="G80" s="8" t="inlineStr"/>
      <c r="H80" s="8" t="inlineStr"/>
      <c r="I80" s="8" t="inlineStr">
        <is>
          <t>84, 641, 314, 656</t>
        </is>
      </c>
      <c r="J80" s="8" t="inlineStr">
        <is>
          <t>court/clerk</t>
        </is>
      </c>
      <c r="K80" s="8" t="inlineStr"/>
      <c r="L80" s="8" t="inlineStr"/>
      <c r="M80" s="8" t="inlineStr"/>
      <c r="N80" s="8" t="inlineStr">
        <is>
          <t>Judge completes. Court-order rule: party and children info only.</t>
        </is>
      </c>
      <c r="O80" s="8" t="inlineStr"/>
    </row>
    <row r="81">
      <c r="A81" s="8" t="n">
        <v>80</v>
      </c>
      <c r="B81" s="8" t="n">
        <v>3</v>
      </c>
      <c r="C81" s="8" t="inlineStr">
        <is>
          <t>9 (court)</t>
        </is>
      </c>
      <c r="D81" s="8" t="inlineStr">
        <is>
          <t>Location, if known</t>
        </is>
      </c>
      <c r="E81" s="8" t="inlineStr">
        <is>
          <t>DV-130[0].Page3[0].List9[0].Li1[0].TextField8[0]</t>
        </is>
      </c>
      <c r="F81" s="8" t="inlineStr">
        <is>
          <t>text</t>
        </is>
      </c>
      <c r="G81" s="8" t="inlineStr"/>
      <c r="H81" s="8" t="inlineStr"/>
      <c r="I81" s="8" t="inlineStr">
        <is>
          <t>321, 641, 451, 656</t>
        </is>
      </c>
      <c r="J81" s="8" t="inlineStr">
        <is>
          <t>court/clerk</t>
        </is>
      </c>
      <c r="K81" s="8" t="inlineStr"/>
      <c r="L81" s="8" t="inlineStr"/>
      <c r="M81" s="8" t="inlineStr"/>
      <c r="N81" s="8" t="inlineStr">
        <is>
          <t>Judge completes. Court-order rule: party and children info only.</t>
        </is>
      </c>
      <c r="O81" s="8" t="inlineStr"/>
    </row>
    <row r="82">
      <c r="A82" s="8" t="n">
        <v>81</v>
      </c>
      <c r="B82" s="8" t="n">
        <v>3</v>
      </c>
      <c r="C82" s="8" t="inlineStr">
        <is>
          <t>9 (court)</t>
        </is>
      </c>
      <c r="D82" s="8" t="inlineStr">
        <is>
          <t>Proof of compliance  received by the court</t>
        </is>
      </c>
      <c r="E82" s="8" t="inlineStr">
        <is>
          <t>DV-130[0].Page3[0].List9[0].Li1[0].Choice[0]</t>
        </is>
      </c>
      <c r="F82" s="8" t="inlineStr">
        <is>
          <t>checkbox</t>
        </is>
      </c>
      <c r="G82" s="8" t="inlineStr">
        <is>
          <t>1</t>
        </is>
      </c>
      <c r="H82" s="8" t="inlineStr"/>
      <c r="I82" s="8" t="inlineStr">
        <is>
          <t>457, 646, 466, 655</t>
        </is>
      </c>
      <c r="J82" s="8" t="inlineStr">
        <is>
          <t>court/clerk</t>
        </is>
      </c>
      <c r="K82" s="8" t="inlineStr"/>
      <c r="L82" s="8" t="inlineStr"/>
      <c r="M82" s="8" t="inlineStr"/>
      <c r="N82" s="8" t="inlineStr">
        <is>
          <t>Judge completes. Court-order rule: party and children info only.</t>
        </is>
      </c>
      <c r="O82" s="8" t="inlineStr"/>
    </row>
    <row r="83">
      <c r="A83" s="8" t="n">
        <v>82</v>
      </c>
      <c r="B83" s="8" t="n">
        <v>3</v>
      </c>
      <c r="C83" s="8" t="inlineStr">
        <is>
          <t>9 (court)</t>
        </is>
      </c>
      <c r="D83" s="8" t="inlineStr">
        <is>
          <t>(date):</t>
        </is>
      </c>
      <c r="E83" s="8" t="inlineStr">
        <is>
          <t>DV-130[0].Page3[0].List9[0].Li1[0].DateField4[0]</t>
        </is>
      </c>
      <c r="F83" s="8" t="inlineStr">
        <is>
          <t>text</t>
        </is>
      </c>
      <c r="G83" s="8" t="inlineStr"/>
      <c r="H83" s="8" t="inlineStr"/>
      <c r="I83" s="8" t="inlineStr">
        <is>
          <t>501, 643, 574, 658</t>
        </is>
      </c>
      <c r="J83" s="8" t="inlineStr">
        <is>
          <t>court/clerk</t>
        </is>
      </c>
      <c r="K83" s="8" t="inlineStr"/>
      <c r="L83" s="8" t="inlineStr"/>
      <c r="M83" s="8" t="inlineStr"/>
      <c r="N83" s="8" t="inlineStr">
        <is>
          <t>Judge completes. Court-order rule: party and children info only.</t>
        </is>
      </c>
      <c r="O83" s="8" t="inlineStr"/>
    </row>
    <row r="84">
      <c r="A84" s="5" t="n">
        <v>83</v>
      </c>
      <c r="B84" s="5" t="n">
        <v>4</v>
      </c>
      <c r="C84" s="5" t="inlineStr">
        <is>
          <t>Caption</t>
        </is>
      </c>
      <c r="D84" s="5" t="inlineStr">
        <is>
          <t>Case Number:</t>
        </is>
      </c>
      <c r="E84" s="5" t="inlineStr">
        <is>
          <t>DV-130[0].Page4[0].CaseNumber_ft[0]</t>
        </is>
      </c>
      <c r="F84" s="5" t="inlineStr">
        <is>
          <t>text</t>
        </is>
      </c>
      <c r="G84" s="5" t="inlineStr"/>
      <c r="H84" s="5" t="inlineStr"/>
      <c r="I84" s="5" t="inlineStr">
        <is>
          <t>402, 46, 576, 62</t>
        </is>
      </c>
      <c r="J84" s="5" t="inlineStr">
        <is>
          <t>question</t>
        </is>
      </c>
      <c r="K84" s="5" t="inlineStr">
        <is>
          <t>X0</t>
        </is>
      </c>
      <c r="L84" s="5">
        <f> X0</f>
        <v/>
      </c>
      <c r="M84" s="5" t="inlineStr">
        <is>
          <t>stage 3</t>
        </is>
      </c>
      <c r="N84" s="5" t="inlineStr"/>
      <c r="O84" s="5" t="inlineStr"/>
    </row>
    <row r="85">
      <c r="A85" s="8" t="n">
        <v>84</v>
      </c>
      <c r="B85" s="8" t="n">
        <v>4</v>
      </c>
      <c r="C85" s="8" t="inlineStr">
        <is>
          <t>9 (court)</t>
        </is>
      </c>
      <c r="D85" s="8" t="inlineStr">
        <is>
          <t>description of ammunition</t>
        </is>
      </c>
      <c r="E85" s="8" t="inlineStr">
        <is>
          <t>DV-130[0].Page4[0].List9Cont[0].Li2[0].TextField[0]</t>
        </is>
      </c>
      <c r="F85" s="8" t="inlineStr">
        <is>
          <t>text</t>
        </is>
      </c>
      <c r="G85" s="8" t="inlineStr"/>
      <c r="H85" s="8" t="inlineStr"/>
      <c r="I85" s="8" t="inlineStr">
        <is>
          <t>82, 146, 247, 161</t>
        </is>
      </c>
      <c r="J85" s="8" t="inlineStr">
        <is>
          <t>court/clerk</t>
        </is>
      </c>
      <c r="K85" s="8" t="inlineStr"/>
      <c r="L85" s="8" t="inlineStr"/>
      <c r="M85" s="8" t="inlineStr"/>
      <c r="N85" s="8" t="inlineStr">
        <is>
          <t>Judge completes. Court-order rule: party and children info only.</t>
        </is>
      </c>
      <c r="O85" s="8" t="inlineStr"/>
    </row>
    <row r="86">
      <c r="A86" s="8" t="n">
        <v>85</v>
      </c>
      <c r="B86" s="8" t="n">
        <v>4</v>
      </c>
      <c r="C86" s="8" t="inlineStr">
        <is>
          <t>9 (court)</t>
        </is>
      </c>
      <c r="D86" s="8" t="inlineStr">
        <is>
          <t>Amount, if known</t>
        </is>
      </c>
      <c r="E86" s="8" t="inlineStr">
        <is>
          <t>DV-130[0].Page4[0].List9Cont[0].Li2[0].TextField1[0]</t>
        </is>
      </c>
      <c r="F86" s="8" t="inlineStr">
        <is>
          <t>text</t>
        </is>
      </c>
      <c r="G86" s="8" t="inlineStr"/>
      <c r="H86" s="8" t="inlineStr"/>
      <c r="I86" s="8" t="inlineStr">
        <is>
          <t>252, 146, 313, 161</t>
        </is>
      </c>
      <c r="J86" s="8" t="inlineStr">
        <is>
          <t>court/clerk</t>
        </is>
      </c>
      <c r="K86" s="8" t="inlineStr"/>
      <c r="L86" s="8" t="inlineStr"/>
      <c r="M86" s="8" t="inlineStr"/>
      <c r="N86" s="8" t="inlineStr">
        <is>
          <t>Judge completes. Court-order rule: party and children info only.</t>
        </is>
      </c>
      <c r="O86" s="8" t="inlineStr"/>
    </row>
    <row r="87">
      <c r="A87" s="8" t="n">
        <v>86</v>
      </c>
      <c r="B87" s="8" t="n">
        <v>4</v>
      </c>
      <c r="C87" s="8" t="inlineStr">
        <is>
          <t>9 (court)</t>
        </is>
      </c>
      <c r="D87" s="8" t="inlineStr">
        <is>
          <t>Location, if known</t>
        </is>
      </c>
      <c r="E87" s="8" t="inlineStr">
        <is>
          <t>DV-130[0].Page4[0].List9Cont[0].Li2[0].TextField2[0]</t>
        </is>
      </c>
      <c r="F87" s="8" t="inlineStr">
        <is>
          <t>text</t>
        </is>
      </c>
      <c r="G87" s="8" t="inlineStr"/>
      <c r="H87" s="8" t="inlineStr"/>
      <c r="I87" s="8" t="inlineStr">
        <is>
          <t>319, 146, 448, 161</t>
        </is>
      </c>
      <c r="J87" s="8" t="inlineStr">
        <is>
          <t>court/clerk</t>
        </is>
      </c>
      <c r="K87" s="8" t="inlineStr"/>
      <c r="L87" s="8" t="inlineStr"/>
      <c r="M87" s="8" t="inlineStr"/>
      <c r="N87" s="8" t="inlineStr">
        <is>
          <t>Judge completes. Court-order rule: party and children info only.</t>
        </is>
      </c>
      <c r="O87" s="8" t="inlineStr"/>
    </row>
    <row r="88">
      <c r="A88" s="8" t="n">
        <v>87</v>
      </c>
      <c r="B88" s="8" t="n">
        <v>4</v>
      </c>
      <c r="C88" s="8" t="inlineStr">
        <is>
          <t>9 (court)</t>
        </is>
      </c>
      <c r="D88" s="8" t="inlineStr">
        <is>
          <t>Proof of compliance  received by the court</t>
        </is>
      </c>
      <c r="E88" s="8" t="inlineStr">
        <is>
          <t>DV-130[0].Page4[0].List9Cont[0].Li2[0].Choice[0]</t>
        </is>
      </c>
      <c r="F88" s="8" t="inlineStr">
        <is>
          <t>checkbox</t>
        </is>
      </c>
      <c r="G88" s="8" t="inlineStr">
        <is>
          <t>1</t>
        </is>
      </c>
      <c r="H88" s="8" t="inlineStr"/>
      <c r="I88" s="8" t="inlineStr">
        <is>
          <t>456, 149, 465, 158</t>
        </is>
      </c>
      <c r="J88" s="8" t="inlineStr">
        <is>
          <t>court/clerk</t>
        </is>
      </c>
      <c r="K88" s="8" t="inlineStr"/>
      <c r="L88" s="8" t="inlineStr"/>
      <c r="M88" s="8" t="inlineStr"/>
      <c r="N88" s="8" t="inlineStr">
        <is>
          <t>Judge completes. Court-order rule: party and children info only.</t>
        </is>
      </c>
      <c r="O88" s="8" t="inlineStr"/>
    </row>
    <row r="89">
      <c r="A89" s="8" t="n">
        <v>88</v>
      </c>
      <c r="B89" s="8" t="n">
        <v>4</v>
      </c>
      <c r="C89" s="8" t="inlineStr">
        <is>
          <t>9 (court)</t>
        </is>
      </c>
      <c r="D89" s="8" t="inlineStr">
        <is>
          <t>(date):</t>
        </is>
      </c>
      <c r="E89" s="8" t="inlineStr">
        <is>
          <t>DV-130[0].Page4[0].List9Cont[0].Li2[0].DateField5[0]</t>
        </is>
      </c>
      <c r="F89" s="8" t="inlineStr">
        <is>
          <t>text</t>
        </is>
      </c>
      <c r="G89" s="8" t="inlineStr"/>
      <c r="H89" s="8" t="inlineStr"/>
      <c r="I89" s="8" t="inlineStr">
        <is>
          <t>500, 146, 573, 161</t>
        </is>
      </c>
      <c r="J89" s="8" t="inlineStr">
        <is>
          <t>court/clerk</t>
        </is>
      </c>
      <c r="K89" s="8" t="inlineStr"/>
      <c r="L89" s="8" t="inlineStr"/>
      <c r="M89" s="8" t="inlineStr"/>
      <c r="N89" s="8" t="inlineStr">
        <is>
          <t>Judge completes. Court-order rule: party and children info only.</t>
        </is>
      </c>
      <c r="O89" s="8" t="inlineStr"/>
    </row>
    <row r="90">
      <c r="A90" s="8" t="n">
        <v>89</v>
      </c>
      <c r="B90" s="8" t="n">
        <v>4</v>
      </c>
      <c r="C90" s="8" t="inlineStr">
        <is>
          <t>9 (court)</t>
        </is>
      </c>
      <c r="D90" s="8" t="inlineStr">
        <is>
          <t>description of ammunition</t>
        </is>
      </c>
      <c r="E90" s="8" t="inlineStr">
        <is>
          <t>DV-130[0].Page4[0].List9Cont[0].Li2[0].TextField3[0]</t>
        </is>
      </c>
      <c r="F90" s="8" t="inlineStr">
        <is>
          <t>text</t>
        </is>
      </c>
      <c r="G90" s="8" t="inlineStr"/>
      <c r="H90" s="8" t="inlineStr"/>
      <c r="I90" s="8" t="inlineStr">
        <is>
          <t>82, 164, 247, 179</t>
        </is>
      </c>
      <c r="J90" s="8" t="inlineStr">
        <is>
          <t>court/clerk</t>
        </is>
      </c>
      <c r="K90" s="8" t="inlineStr"/>
      <c r="L90" s="8" t="inlineStr"/>
      <c r="M90" s="8" t="inlineStr"/>
      <c r="N90" s="8" t="inlineStr">
        <is>
          <t>Judge completes. Court-order rule: party and children info only.</t>
        </is>
      </c>
      <c r="O90" s="8" t="inlineStr"/>
    </row>
    <row r="91">
      <c r="A91" s="8" t="n">
        <v>90</v>
      </c>
      <c r="B91" s="8" t="n">
        <v>4</v>
      </c>
      <c r="C91" s="8" t="inlineStr">
        <is>
          <t>9 (court)</t>
        </is>
      </c>
      <c r="D91" s="8" t="inlineStr">
        <is>
          <t>Amount, if known</t>
        </is>
      </c>
      <c r="E91" s="8" t="inlineStr">
        <is>
          <t>DV-130[0].Page4[0].List9Cont[0].Li2[0].TextField4[0]</t>
        </is>
      </c>
      <c r="F91" s="8" t="inlineStr">
        <is>
          <t>text</t>
        </is>
      </c>
      <c r="G91" s="8" t="inlineStr"/>
      <c r="H91" s="8" t="inlineStr"/>
      <c r="I91" s="8" t="inlineStr">
        <is>
          <t>252, 164, 313, 179</t>
        </is>
      </c>
      <c r="J91" s="8" t="inlineStr">
        <is>
          <t>court/clerk</t>
        </is>
      </c>
      <c r="K91" s="8" t="inlineStr"/>
      <c r="L91" s="8" t="inlineStr"/>
      <c r="M91" s="8" t="inlineStr"/>
      <c r="N91" s="8" t="inlineStr">
        <is>
          <t>Judge completes. Court-order rule: party and children info only.</t>
        </is>
      </c>
      <c r="O91" s="8" t="inlineStr"/>
    </row>
    <row r="92">
      <c r="A92" s="8" t="n">
        <v>91</v>
      </c>
      <c r="B92" s="8" t="n">
        <v>4</v>
      </c>
      <c r="C92" s="8" t="inlineStr">
        <is>
          <t>9 (court)</t>
        </is>
      </c>
      <c r="D92" s="8" t="inlineStr">
        <is>
          <t>Location, if known</t>
        </is>
      </c>
      <c r="E92" s="8" t="inlineStr">
        <is>
          <t>DV-130[0].Page4[0].List9Cont[0].Li2[0].TextField5[0]</t>
        </is>
      </c>
      <c r="F92" s="8" t="inlineStr">
        <is>
          <t>text</t>
        </is>
      </c>
      <c r="G92" s="8" t="inlineStr"/>
      <c r="H92" s="8" t="inlineStr"/>
      <c r="I92" s="8" t="inlineStr">
        <is>
          <t>319, 164, 448, 179</t>
        </is>
      </c>
      <c r="J92" s="8" t="inlineStr">
        <is>
          <t>court/clerk</t>
        </is>
      </c>
      <c r="K92" s="8" t="inlineStr"/>
      <c r="L92" s="8" t="inlineStr"/>
      <c r="M92" s="8" t="inlineStr"/>
      <c r="N92" s="8" t="inlineStr">
        <is>
          <t>Judge completes. Court-order rule: party and children info only.</t>
        </is>
      </c>
      <c r="O92" s="8" t="inlineStr"/>
    </row>
    <row r="93">
      <c r="A93" s="8" t="n">
        <v>92</v>
      </c>
      <c r="B93" s="8" t="n">
        <v>4</v>
      </c>
      <c r="C93" s="8" t="inlineStr">
        <is>
          <t>9 (court)</t>
        </is>
      </c>
      <c r="D93" s="8" t="inlineStr">
        <is>
          <t>Proof of compliance  received by the court</t>
        </is>
      </c>
      <c r="E93" s="8" t="inlineStr">
        <is>
          <t>DV-130[0].Page4[0].List9Cont[0].Li2[0].Choice1[0]</t>
        </is>
      </c>
      <c r="F93" s="8" t="inlineStr">
        <is>
          <t>checkbox</t>
        </is>
      </c>
      <c r="G93" s="8" t="inlineStr">
        <is>
          <t>1</t>
        </is>
      </c>
      <c r="H93" s="8" t="inlineStr"/>
      <c r="I93" s="8" t="inlineStr">
        <is>
          <t>456, 167, 465, 176</t>
        </is>
      </c>
      <c r="J93" s="8" t="inlineStr">
        <is>
          <t>court/clerk</t>
        </is>
      </c>
      <c r="K93" s="8" t="inlineStr"/>
      <c r="L93" s="8" t="inlineStr"/>
      <c r="M93" s="8" t="inlineStr"/>
      <c r="N93" s="8" t="inlineStr">
        <is>
          <t>Judge completes. Court-order rule: party and children info only.</t>
        </is>
      </c>
      <c r="O93" s="8" t="inlineStr"/>
    </row>
    <row r="94">
      <c r="A94" s="8" t="n">
        <v>93</v>
      </c>
      <c r="B94" s="8" t="n">
        <v>4</v>
      </c>
      <c r="C94" s="8" t="inlineStr">
        <is>
          <t>9 (court)</t>
        </is>
      </c>
      <c r="D94" s="8" t="inlineStr">
        <is>
          <t>(date):</t>
        </is>
      </c>
      <c r="E94" s="8" t="inlineStr">
        <is>
          <t>DV-130[0].Page4[0].List9Cont[0].Li2[0].DateField6[0]</t>
        </is>
      </c>
      <c r="F94" s="8" t="inlineStr">
        <is>
          <t>text</t>
        </is>
      </c>
      <c r="G94" s="8" t="inlineStr"/>
      <c r="H94" s="8" t="inlineStr"/>
      <c r="I94" s="8" t="inlineStr">
        <is>
          <t>500, 164, 573, 179</t>
        </is>
      </c>
      <c r="J94" s="8" t="inlineStr">
        <is>
          <t>court/clerk</t>
        </is>
      </c>
      <c r="K94" s="8" t="inlineStr"/>
      <c r="L94" s="8" t="inlineStr"/>
      <c r="M94" s="8" t="inlineStr"/>
      <c r="N94" s="8" t="inlineStr">
        <is>
          <t>Judge completes. Court-order rule: party and children info only.</t>
        </is>
      </c>
      <c r="O94" s="8" t="inlineStr"/>
    </row>
    <row r="95">
      <c r="A95" s="8" t="n">
        <v>94</v>
      </c>
      <c r="B95" s="8" t="n">
        <v>4</v>
      </c>
      <c r="C95" s="8" t="inlineStr">
        <is>
          <t>9 (court)</t>
        </is>
      </c>
      <c r="D95" s="8" t="inlineStr">
        <is>
          <t>Check here to list additional items. List them on a separate piece of paper, write "DV-130, Restrained Person Has Prohibited Items" at the top, and attach it to this form.</t>
        </is>
      </c>
      <c r="E95" s="8" t="inlineStr">
        <is>
          <t>DV-130[0].Page4[0].List9Cont[0].Li2[0].MultilineCheckBox[0]</t>
        </is>
      </c>
      <c r="F95" s="8" t="inlineStr">
        <is>
          <t>checkbox</t>
        </is>
      </c>
      <c r="G95" s="8" t="inlineStr">
        <is>
          <t>1</t>
        </is>
      </c>
      <c r="H95" s="8" t="inlineStr"/>
      <c r="I95" s="8" t="inlineStr">
        <is>
          <t>60, 188, 69, 197</t>
        </is>
      </c>
      <c r="J95" s="8" t="inlineStr">
        <is>
          <t>court/clerk</t>
        </is>
      </c>
      <c r="K95" s="8" t="inlineStr"/>
      <c r="L95" s="8" t="inlineStr"/>
      <c r="M95" s="8" t="inlineStr"/>
      <c r="N95" s="8" t="inlineStr">
        <is>
          <t>Judge completes. Court-order rule: party and children info only.</t>
        </is>
      </c>
      <c r="O95" s="8" t="inlineStr"/>
    </row>
    <row r="96">
      <c r="A96" s="8" t="n">
        <v>95</v>
      </c>
      <c r="B96" s="8" t="n">
        <v>4</v>
      </c>
      <c r="C96" s="8" t="inlineStr">
        <is>
          <t>10 (court)</t>
        </is>
      </c>
      <c r="D96" s="8" t="inlineStr">
        <is>
          <t>Restrained Person Has Not Complied With Surrendering Prohibited Items</t>
        </is>
      </c>
      <c r="E96" s="8" t="inlineStr">
        <is>
          <t>DV-130[0].Page4[0].List10[0].AGHagueCert_cb[0]</t>
        </is>
      </c>
      <c r="F96" s="8" t="inlineStr">
        <is>
          <t>checkbox</t>
        </is>
      </c>
      <c r="G96" s="8" t="inlineStr">
        <is>
          <t>1</t>
        </is>
      </c>
      <c r="H96" s="8" t="inlineStr"/>
      <c r="I96" s="8" t="inlineStr">
        <is>
          <t>60, 275, 69, 284</t>
        </is>
      </c>
      <c r="J96" s="8" t="inlineStr">
        <is>
          <t>court/clerk</t>
        </is>
      </c>
      <c r="K96" s="8" t="inlineStr"/>
      <c r="L96" s="8" t="inlineStr"/>
      <c r="M96" s="8" t="inlineStr"/>
      <c r="N96" s="8" t="inlineStr">
        <is>
          <t>Judge completes. Court-order rule: party and children info only.</t>
        </is>
      </c>
      <c r="O96" s="8" t="inlineStr"/>
    </row>
    <row r="97">
      <c r="A97" s="8" t="n">
        <v>96</v>
      </c>
      <c r="B97" s="8" t="n">
        <v>4</v>
      </c>
      <c r="C97" s="8" t="inlineStr">
        <is>
          <t>10 (court)</t>
        </is>
      </c>
      <c r="D97" s="8" t="inlineStr">
        <is>
          <t>(date):</t>
        </is>
      </c>
      <c r="E97" s="8" t="inlineStr">
        <is>
          <t>DV-130[0].Page4[0].List10[0].Li1[0].Time_ft[0]</t>
        </is>
      </c>
      <c r="F97" s="8" t="inlineStr">
        <is>
          <t>text</t>
        </is>
      </c>
      <c r="G97" s="8" t="inlineStr"/>
      <c r="H97" s="8" t="inlineStr"/>
      <c r="I97" s="8" t="inlineStr">
        <is>
          <t>486, 292, 574, 305</t>
        </is>
      </c>
      <c r="J97" s="8" t="inlineStr">
        <is>
          <t>court/clerk</t>
        </is>
      </c>
      <c r="K97" s="8" t="inlineStr"/>
      <c r="L97" s="8" t="inlineStr"/>
      <c r="M97" s="8" t="inlineStr"/>
      <c r="N97" s="8" t="inlineStr">
        <is>
          <t>Judge completes. Court-order rule: party and children info only.</t>
        </is>
      </c>
      <c r="O97" s="8" t="inlineStr"/>
    </row>
    <row r="98">
      <c r="A98" s="8" t="n">
        <v>97</v>
      </c>
      <c r="B98" s="8" t="n">
        <v>4</v>
      </c>
      <c r="C98" s="8" t="inlineStr">
        <is>
          <t>10 (court)</t>
        </is>
      </c>
      <c r="D98" s="8" t="inlineStr">
        <is>
          <t>(law enforcement agency or agencies):</t>
        </is>
      </c>
      <c r="E98" s="8" t="inlineStr">
        <is>
          <t>DV-130[0].Page4[0].List10[0].Li2[0].TextField[0]</t>
        </is>
      </c>
      <c r="F98" s="8" t="inlineStr">
        <is>
          <t>text</t>
        </is>
      </c>
      <c r="G98" s="8" t="inlineStr"/>
      <c r="H98" s="8" t="inlineStr"/>
      <c r="I98" s="8" t="inlineStr">
        <is>
          <t>248, 363, 571, 378</t>
        </is>
      </c>
      <c r="J98" s="8" t="inlineStr">
        <is>
          <t>court/clerk</t>
        </is>
      </c>
      <c r="K98" s="8" t="inlineStr"/>
      <c r="L98" s="8" t="inlineStr"/>
      <c r="M98" s="8" t="inlineStr"/>
      <c r="N98" s="8" t="inlineStr">
        <is>
          <t>Judge completes. Court-order rule: party and children info only.</t>
        </is>
      </c>
      <c r="O98" s="8" t="inlineStr"/>
    </row>
    <row r="99">
      <c r="A99" s="8" t="n">
        <v>98</v>
      </c>
      <c r="B99" s="8" t="n">
        <v>4</v>
      </c>
      <c r="C99" s="8" t="inlineStr">
        <is>
          <t>10 (court)</t>
        </is>
      </c>
      <c r="D99" s="8" t="inlineStr">
        <is>
          <t>(prosecuting agency):</t>
        </is>
      </c>
      <c r="E99" s="8" t="inlineStr">
        <is>
          <t>DV-130[0].Page4[0].List10[0].Li3[0].TextField[0]</t>
        </is>
      </c>
      <c r="F99" s="8" t="inlineStr">
        <is>
          <t>text</t>
        </is>
      </c>
      <c r="G99" s="8" t="inlineStr"/>
      <c r="H99" s="8" t="inlineStr"/>
      <c r="I99" s="8" t="inlineStr">
        <is>
          <t>171, 423, 570, 438</t>
        </is>
      </c>
      <c r="J99" s="8" t="inlineStr">
        <is>
          <t>court/clerk</t>
        </is>
      </c>
      <c r="K99" s="8" t="inlineStr"/>
      <c r="L99" s="8" t="inlineStr"/>
      <c r="M99" s="8" t="inlineStr"/>
      <c r="N99" s="8" t="inlineStr">
        <is>
          <t>Judge completes. Court-order rule: party and children info only.</t>
        </is>
      </c>
      <c r="O99" s="8" t="inlineStr"/>
    </row>
    <row r="100">
      <c r="A100" s="8" t="n">
        <v>99</v>
      </c>
      <c r="B100" s="8" t="n">
        <v>4</v>
      </c>
      <c r="C100" s="8" t="inlineStr">
        <is>
          <t>11 (court)</t>
        </is>
      </c>
      <c r="D100" s="8" t="inlineStr">
        <is>
          <t>Court Hearing to Review Firearms (Guns), Firearm Parts, and Ammunition Compliance</t>
        </is>
      </c>
      <c r="E100" s="8" t="inlineStr">
        <is>
          <t>DV-130[0].Page4[0].List11[0].Li1[0].AGHagueCert_cb[0]</t>
        </is>
      </c>
      <c r="F100" s="8" t="inlineStr">
        <is>
          <t>checkbox</t>
        </is>
      </c>
      <c r="G100" s="8" t="inlineStr">
        <is>
          <t>1</t>
        </is>
      </c>
      <c r="H100" s="8" t="inlineStr"/>
      <c r="I100" s="8" t="inlineStr">
        <is>
          <t>60, 500, 69, 509</t>
        </is>
      </c>
      <c r="J100" s="8" t="inlineStr">
        <is>
          <t>court/clerk</t>
        </is>
      </c>
      <c r="K100" s="8" t="inlineStr"/>
      <c r="L100" s="8" t="inlineStr"/>
      <c r="M100" s="8" t="inlineStr"/>
      <c r="N100" s="8" t="inlineStr">
        <is>
          <t>Judge completes. Court-order rule: party and children info only.</t>
        </is>
      </c>
      <c r="O100" s="8" t="inlineStr"/>
    </row>
    <row r="101">
      <c r="A101" s="5" t="n">
        <v>100</v>
      </c>
      <c r="B101" s="5" t="n">
        <v>5</v>
      </c>
      <c r="C101" s="5" t="inlineStr">
        <is>
          <t>Caption</t>
        </is>
      </c>
      <c r="D101" s="5" t="inlineStr">
        <is>
          <t>Case Number:</t>
        </is>
      </c>
      <c r="E101" s="5" t="inlineStr">
        <is>
          <t>DV-130[0].Page5[0].Caption[0].CaseNumber_ft[0]</t>
        </is>
      </c>
      <c r="F101" s="5" t="inlineStr">
        <is>
          <t>text</t>
        </is>
      </c>
      <c r="G101" s="5" t="inlineStr"/>
      <c r="H101" s="5" t="inlineStr"/>
      <c r="I101" s="5" t="inlineStr">
        <is>
          <t>401, 47, 576, 63</t>
        </is>
      </c>
      <c r="J101" s="5" t="inlineStr">
        <is>
          <t>question</t>
        </is>
      </c>
      <c r="K101" s="5" t="inlineStr">
        <is>
          <t>X0</t>
        </is>
      </c>
      <c r="L101" s="5">
        <f> X0</f>
        <v/>
      </c>
      <c r="M101" s="5" t="inlineStr">
        <is>
          <t>stage 3</t>
        </is>
      </c>
      <c r="N101" s="5" t="inlineStr"/>
      <c r="O101" s="5" t="inlineStr"/>
    </row>
    <row r="102">
      <c r="A102" s="8" t="n">
        <v>101</v>
      </c>
      <c r="B102" s="8" t="n">
        <v>5</v>
      </c>
      <c r="C102" s="8" t="inlineStr">
        <is>
          <t>13 (court)</t>
        </is>
      </c>
      <c r="D102" s="8" t="inlineStr">
        <is>
          <t>If checked, this order was not granted because the court found good cause not to make this order.</t>
        </is>
      </c>
      <c r="E102" s="8" t="inlineStr">
        <is>
          <t>DV-130[0].Page5[0].List13[0].Li1[0].AGHagueCert_cb[0]</t>
        </is>
      </c>
      <c r="F102" s="8" t="inlineStr">
        <is>
          <t>checkbox</t>
        </is>
      </c>
      <c r="G102" s="8" t="inlineStr">
        <is>
          <t>1</t>
        </is>
      </c>
      <c r="H102" s="8" t="inlineStr"/>
      <c r="I102" s="8" t="inlineStr">
        <is>
          <t>63, 122, 72, 131</t>
        </is>
      </c>
      <c r="J102" s="8" t="inlineStr">
        <is>
          <t>court/clerk</t>
        </is>
      </c>
      <c r="K102" s="8" t="inlineStr"/>
      <c r="L102" s="8" t="inlineStr"/>
      <c r="M102" s="8" t="inlineStr"/>
      <c r="N102" s="8" t="inlineStr">
        <is>
          <t>Judge completes. Court-order rule: party and children info only.</t>
        </is>
      </c>
      <c r="O102" s="8" t="inlineStr"/>
    </row>
    <row r="103">
      <c r="A103" s="8" t="n">
        <v>102</v>
      </c>
      <c r="B103" s="8" t="n">
        <v>5</v>
      </c>
      <c r="C103" s="8" t="inlineStr">
        <is>
          <t>14 (court)</t>
        </is>
      </c>
      <c r="D103" s="8" t="inlineStr">
        <is>
          <t>Order to Not Abuse</t>
        </is>
      </c>
      <c r="E103" s="8" t="inlineStr">
        <is>
          <t>DV-130[0].Page5[0].List14[0].Li1[0].FieldName_cb[0]</t>
        </is>
      </c>
      <c r="F103" s="8" t="inlineStr">
        <is>
          <t>checkbox</t>
        </is>
      </c>
      <c r="G103" s="8" t="inlineStr">
        <is>
          <t>1</t>
        </is>
      </c>
      <c r="H103" s="8" t="inlineStr"/>
      <c r="I103" s="8" t="inlineStr">
        <is>
          <t>63, 179, 72, 188</t>
        </is>
      </c>
      <c r="J103" s="8" t="inlineStr">
        <is>
          <t>court/clerk</t>
        </is>
      </c>
      <c r="K103" s="8" t="inlineStr"/>
      <c r="L103" s="8" t="inlineStr"/>
      <c r="M103" s="8" t="inlineStr"/>
      <c r="N103" s="8" t="inlineStr">
        <is>
          <t>Judge completes. Court-order rule: party and children info only.</t>
        </is>
      </c>
      <c r="O103" s="8" t="inlineStr"/>
    </row>
    <row r="104">
      <c r="A104" s="8" t="n">
        <v>103</v>
      </c>
      <c r="B104" s="8" t="n">
        <v>5</v>
      </c>
      <c r="C104" s="8" t="inlineStr">
        <is>
          <t>15 (court)</t>
        </is>
      </c>
      <c r="D104" s="8" t="inlineStr">
        <is>
          <t>No-Contact Order</t>
        </is>
      </c>
      <c r="E104" s="8" t="inlineStr">
        <is>
          <t>DV-130[0].Page5[0].List15[0].FieldName_cb[0]</t>
        </is>
      </c>
      <c r="F104" s="8" t="inlineStr">
        <is>
          <t>checkbox</t>
        </is>
      </c>
      <c r="G104" s="8" t="inlineStr">
        <is>
          <t>1</t>
        </is>
      </c>
      <c r="H104" s="8" t="inlineStr"/>
      <c r="I104" s="8" t="inlineStr">
        <is>
          <t>64, 471, 73, 480</t>
        </is>
      </c>
      <c r="J104" s="8" t="inlineStr">
        <is>
          <t>court/clerk</t>
        </is>
      </c>
      <c r="K104" s="8" t="inlineStr"/>
      <c r="L104" s="8" t="inlineStr"/>
      <c r="M104" s="8" t="inlineStr"/>
      <c r="N104" s="8" t="inlineStr">
        <is>
          <t>Judge completes. Court-order rule: party and children info only.</t>
        </is>
      </c>
      <c r="O104" s="8" t="inlineStr"/>
    </row>
    <row r="105">
      <c r="A105" s="8" t="n">
        <v>104</v>
      </c>
      <c r="B105" s="8" t="n">
        <v>5</v>
      </c>
      <c r="C105" s="8" t="inlineStr">
        <is>
          <t>15 (court)</t>
        </is>
      </c>
      <c r="D105" s="8" t="inlineStr">
        <is>
          <t>the person in 1,</t>
        </is>
      </c>
      <c r="E105" s="8" t="inlineStr">
        <is>
          <t>DV-130[0].Page5[0].List15[0].Li1[0].CheckBoxRightCaption[0]</t>
        </is>
      </c>
      <c r="F105" s="8" t="inlineStr">
        <is>
          <t>checkbox</t>
        </is>
      </c>
      <c r="G105" s="8" t="inlineStr">
        <is>
          <t>1</t>
        </is>
      </c>
      <c r="H105" s="8" t="inlineStr"/>
      <c r="I105" s="8" t="inlineStr">
        <is>
          <t>184, 491, 193, 500</t>
        </is>
      </c>
      <c r="J105" s="8" t="inlineStr">
        <is>
          <t>court/clerk</t>
        </is>
      </c>
      <c r="K105" s="8" t="inlineStr"/>
      <c r="L105" s="8" t="inlineStr"/>
      <c r="M105" s="8" t="inlineStr"/>
      <c r="N105" s="8" t="inlineStr">
        <is>
          <t>Judge completes. Court-order rule: party and children info only.</t>
        </is>
      </c>
      <c r="O105" s="8" t="inlineStr"/>
    </row>
    <row r="106">
      <c r="A106" s="8" t="n">
        <v>105</v>
      </c>
      <c r="B106" s="8" t="n">
        <v>5</v>
      </c>
      <c r="C106" s="8" t="inlineStr">
        <is>
          <t>15 (court)</t>
        </is>
      </c>
      <c r="D106" s="8" t="inlineStr">
        <is>
          <t>the persons in 3,,</t>
        </is>
      </c>
      <c r="E106" s="8" t="inlineStr">
        <is>
          <t>DV-130[0].Page5[0].List15[0].Li1[0].AGHagueCert_cb[0]</t>
        </is>
      </c>
      <c r="F106" s="8" t="inlineStr">
        <is>
          <t>checkbox</t>
        </is>
      </c>
      <c r="G106" s="8" t="inlineStr">
        <is>
          <t>1</t>
        </is>
      </c>
      <c r="H106" s="8" t="inlineStr"/>
      <c r="I106" s="8" t="inlineStr">
        <is>
          <t>286, 492, 295, 501</t>
        </is>
      </c>
      <c r="J106" s="8" t="inlineStr">
        <is>
          <t>court/clerk</t>
        </is>
      </c>
      <c r="K106" s="8" t="inlineStr"/>
      <c r="L106" s="8" t="inlineStr"/>
      <c r="M106" s="8" t="inlineStr"/>
      <c r="N106" s="8" t="inlineStr">
        <is>
          <t>Judge completes. Court-order rule: party and children info only.</t>
        </is>
      </c>
      <c r="O106" s="8" t="inlineStr"/>
    </row>
    <row r="107">
      <c r="A107" s="8" t="n">
        <v>106</v>
      </c>
      <c r="B107" s="8" t="n">
        <v>5</v>
      </c>
      <c r="C107" s="8" t="inlineStr">
        <is>
          <t>15 (court)</t>
        </is>
      </c>
      <c r="D107" s="8" t="inlineStr">
        <is>
          <t>Exception to 15a:</t>
        </is>
      </c>
      <c r="E107" s="8" t="inlineStr">
        <is>
          <t>DV-130[0].Page5[0].List15[0].Li2[0].AGHagueCert_cb[0]</t>
        </is>
      </c>
      <c r="F107" s="8" t="inlineStr">
        <is>
          <t>checkbox</t>
        </is>
      </c>
      <c r="G107" s="8" t="inlineStr">
        <is>
          <t>1</t>
        </is>
      </c>
      <c r="H107" s="8" t="inlineStr"/>
      <c r="I107" s="8" t="inlineStr">
        <is>
          <t>78, 533, 87, 542</t>
        </is>
      </c>
      <c r="J107" s="8" t="inlineStr">
        <is>
          <t>court/clerk</t>
        </is>
      </c>
      <c r="K107" s="8" t="inlineStr"/>
      <c r="L107" s="8" t="inlineStr"/>
      <c r="M107" s="8" t="inlineStr"/>
      <c r="N107" s="8" t="inlineStr">
        <is>
          <t>Judge completes. Court-order rule: party and children info only.</t>
        </is>
      </c>
      <c r="O107" s="8" t="inlineStr"/>
    </row>
    <row r="108">
      <c r="A108" s="8" t="n">
        <v>107</v>
      </c>
      <c r="B108" s="8" t="n">
        <v>5</v>
      </c>
      <c r="C108" s="8" t="inlineStr">
        <is>
          <t>15 (court)</t>
        </is>
      </c>
      <c r="D108" s="8" t="inlineStr">
        <is>
          <t>You may have brief and peaceful contact with the person in item 1 to only communicate about your children for court-ordered visits.</t>
        </is>
      </c>
      <c r="E108" s="8" t="inlineStr">
        <is>
          <t>DV-130[0].Page5[0].List15[0].Li2[0].List[0].Li1[0].MultilineCheckBox[0]</t>
        </is>
      </c>
      <c r="F108" s="8" t="inlineStr">
        <is>
          <t>checkbox</t>
        </is>
      </c>
      <c r="G108" s="8" t="inlineStr">
        <is>
          <t>1</t>
        </is>
      </c>
      <c r="H108" s="8" t="inlineStr"/>
      <c r="I108" s="8" t="inlineStr">
        <is>
          <t>95, 549, 104, 558</t>
        </is>
      </c>
      <c r="J108" s="8" t="inlineStr">
        <is>
          <t>court/clerk</t>
        </is>
      </c>
      <c r="K108" s="8" t="inlineStr"/>
      <c r="L108" s="8" t="inlineStr"/>
      <c r="M108" s="8" t="inlineStr"/>
      <c r="N108" s="8" t="inlineStr">
        <is>
          <t>Judge completes. Court-order rule: party and children info only.</t>
        </is>
      </c>
      <c r="O108" s="8" t="inlineStr"/>
    </row>
    <row r="109">
      <c r="A109" s="8" t="n">
        <v>108</v>
      </c>
      <c r="B109" s="8" t="n">
        <v>5</v>
      </c>
      <c r="C109" s="8" t="inlineStr">
        <is>
          <t>15 (court)</t>
        </is>
      </c>
      <c r="D109" s="8" t="inlineStr">
        <is>
          <t>You may have contact with your children only during court-ordered contact or visits.</t>
        </is>
      </c>
      <c r="E109" s="8" t="inlineStr">
        <is>
          <t>DV-130[0].Page5[0].List15[0].Li2[0].List[0].Li2[0].AGHagueCert_cb[0]</t>
        </is>
      </c>
      <c r="F109" s="8" t="inlineStr">
        <is>
          <t>checkbox</t>
        </is>
      </c>
      <c r="G109" s="8" t="inlineStr">
        <is>
          <t>1</t>
        </is>
      </c>
      <c r="H109" s="8" t="inlineStr"/>
      <c r="I109" s="8" t="inlineStr">
        <is>
          <t>95, 579, 104, 588</t>
        </is>
      </c>
      <c r="J109" s="8" t="inlineStr">
        <is>
          <t>court/clerk</t>
        </is>
      </c>
      <c r="K109" s="8" t="inlineStr"/>
      <c r="L109" s="8" t="inlineStr"/>
      <c r="M109" s="8" t="inlineStr"/>
      <c r="N109" s="8" t="inlineStr">
        <is>
          <t>Judge completes. Court-order rule: party and children info only.</t>
        </is>
      </c>
      <c r="O109" s="8" t="inlineStr"/>
    </row>
    <row r="110">
      <c r="A110" s="8" t="n">
        <v>109</v>
      </c>
      <c r="B110" s="8" t="n">
        <v>5</v>
      </c>
      <c r="C110" s="8" t="inlineStr">
        <is>
          <t>15 (court)</t>
        </is>
      </c>
      <c r="D110" s="8" t="inlineStr">
        <is>
          <t>Other (explain):</t>
        </is>
      </c>
      <c r="E110" s="8" t="inlineStr">
        <is>
          <t>DV-130[0].Page5[0].List15[0].Li2[0].List[0].Li3[0].AGHagueCert_cb[0]</t>
        </is>
      </c>
      <c r="F110" s="8" t="inlineStr">
        <is>
          <t>checkbox</t>
        </is>
      </c>
      <c r="G110" s="8" t="inlineStr">
        <is>
          <t>1</t>
        </is>
      </c>
      <c r="H110" s="8" t="inlineStr"/>
      <c r="I110" s="8" t="inlineStr">
        <is>
          <t>95, 598, 104, 607</t>
        </is>
      </c>
      <c r="J110" s="8" t="inlineStr">
        <is>
          <t>court/clerk</t>
        </is>
      </c>
      <c r="K110" s="8" t="inlineStr"/>
      <c r="L110" s="8" t="inlineStr"/>
      <c r="M110" s="8" t="inlineStr"/>
      <c r="N110" s="8" t="inlineStr">
        <is>
          <t>Judge completes. Court-order rule: party and children info only.</t>
        </is>
      </c>
      <c r="O110" s="8" t="inlineStr"/>
    </row>
    <row r="111">
      <c r="A111" s="8" t="n">
        <v>110</v>
      </c>
      <c r="B111" s="8" t="n">
        <v>5</v>
      </c>
      <c r="C111" s="8" t="inlineStr">
        <is>
          <t>15 (court)</t>
        </is>
      </c>
      <c r="D111" s="8" t="inlineStr">
        <is>
          <t>(explain)</t>
        </is>
      </c>
      <c r="E111" s="8" t="inlineStr">
        <is>
          <t>DV-130[0].Page5[0].List15[0].Li2[0].List[0].Li3[0].TextField2[0]</t>
        </is>
      </c>
      <c r="F111" s="8" t="inlineStr">
        <is>
          <t>text</t>
        </is>
      </c>
      <c r="G111" s="8" t="inlineStr"/>
      <c r="H111" s="8" t="inlineStr"/>
      <c r="I111" s="8" t="inlineStr">
        <is>
          <t>187, 597, 572, 609</t>
        </is>
      </c>
      <c r="J111" s="8" t="inlineStr">
        <is>
          <t>court/clerk</t>
        </is>
      </c>
      <c r="K111" s="8" t="inlineStr"/>
      <c r="L111" s="8" t="inlineStr"/>
      <c r="M111" s="8" t="inlineStr"/>
      <c r="N111" s="8" t="inlineStr">
        <is>
          <t>Judge completes. Court-order rule: party and children info only.</t>
        </is>
      </c>
      <c r="O111" s="8" t="inlineStr"/>
    </row>
    <row r="112">
      <c r="A112" s="5" t="n">
        <v>111</v>
      </c>
      <c r="B112" s="5" t="n">
        <v>6</v>
      </c>
      <c r="C112" s="5" t="inlineStr">
        <is>
          <t>Caption</t>
        </is>
      </c>
      <c r="D112" s="5" t="inlineStr">
        <is>
          <t>Case Number:</t>
        </is>
      </c>
      <c r="E112" s="5" t="inlineStr">
        <is>
          <t>DV-130[0].Page6[0].Caption[0].CaseNumber_ft[0]</t>
        </is>
      </c>
      <c r="F112" s="5" t="inlineStr">
        <is>
          <t>text</t>
        </is>
      </c>
      <c r="G112" s="5" t="inlineStr"/>
      <c r="H112" s="5" t="inlineStr"/>
      <c r="I112" s="5" t="inlineStr">
        <is>
          <t>401, 47, 576, 64</t>
        </is>
      </c>
      <c r="J112" s="5" t="inlineStr">
        <is>
          <t>question</t>
        </is>
      </c>
      <c r="K112" s="5" t="inlineStr">
        <is>
          <t>X0</t>
        </is>
      </c>
      <c r="L112" s="5">
        <f> X0</f>
        <v/>
      </c>
      <c r="M112" s="5" t="inlineStr">
        <is>
          <t>stage 3</t>
        </is>
      </c>
      <c r="N112" s="5" t="inlineStr"/>
      <c r="O112" s="5" t="inlineStr"/>
    </row>
    <row r="113">
      <c r="A113" s="8" t="n">
        <v>112</v>
      </c>
      <c r="B113" s="8" t="n">
        <v>6</v>
      </c>
      <c r="C113" s="8" t="inlineStr">
        <is>
          <t>16 (court)</t>
        </is>
      </c>
      <c r="D113" s="8" t="inlineStr">
        <is>
          <t>Stay-Away Order</t>
        </is>
      </c>
      <c r="E113" s="8" t="inlineStr">
        <is>
          <t>DV-130[0].Page6[0].List16[0].FieldName_cb[0]</t>
        </is>
      </c>
      <c r="F113" s="8" t="inlineStr">
        <is>
          <t>checkbox</t>
        </is>
      </c>
      <c r="G113" s="8" t="inlineStr">
        <is>
          <t>1</t>
        </is>
      </c>
      <c r="H113" s="8" t="inlineStr"/>
      <c r="I113" s="8" t="inlineStr">
        <is>
          <t>62, 86, 71, 95</t>
        </is>
      </c>
      <c r="J113" s="8" t="inlineStr">
        <is>
          <t>court/clerk</t>
        </is>
      </c>
      <c r="K113" s="8" t="inlineStr"/>
      <c r="L113" s="8" t="inlineStr"/>
      <c r="M113" s="8" t="inlineStr"/>
      <c r="N113" s="8" t="inlineStr">
        <is>
          <t>Judge completes. Court-order rule: party and children info only.</t>
        </is>
      </c>
      <c r="O113" s="8" t="inlineStr"/>
    </row>
    <row r="114">
      <c r="A114" s="8" t="n">
        <v>113</v>
      </c>
      <c r="B114" s="8" t="n">
        <v>6</v>
      </c>
      <c r="C114" s="8" t="inlineStr">
        <is>
          <t>16 (court)</t>
        </is>
      </c>
      <c r="D114" s="8" t="inlineStr">
        <is>
          <t>You must stay at least (specify number of yards):</t>
        </is>
      </c>
      <c r="E114" s="8" t="inlineStr">
        <is>
          <t>DV-130[0].Page6[0].List16[0].Li1[0].NumberOfYardsToStayAway_no[0]</t>
        </is>
      </c>
      <c r="F114" s="8" t="inlineStr">
        <is>
          <t>text</t>
        </is>
      </c>
      <c r="G114" s="8" t="inlineStr"/>
      <c r="H114" s="8" t="inlineStr"/>
      <c r="I114" s="8" t="inlineStr">
        <is>
          <t>220, 103, 261, 117</t>
        </is>
      </c>
      <c r="J114" s="8" t="inlineStr">
        <is>
          <t>court/clerk</t>
        </is>
      </c>
      <c r="K114" s="8" t="inlineStr"/>
      <c r="L114" s="8" t="inlineStr"/>
      <c r="M114" s="8" t="inlineStr"/>
      <c r="N114" s="8" t="inlineStr">
        <is>
          <t>Judge completes. Court-order rule: party and children info only.</t>
        </is>
      </c>
      <c r="O114" s="8" t="inlineStr"/>
    </row>
    <row r="115">
      <c r="A115" s="8" t="n">
        <v>114</v>
      </c>
      <c r="B115" s="8" t="n">
        <v>6</v>
      </c>
      <c r="C115" s="8" t="inlineStr">
        <is>
          <t>16 (court)</t>
        </is>
      </c>
      <c r="D115" s="8" t="inlineStr">
        <is>
          <t>Person in 1 .</t>
        </is>
      </c>
      <c r="E115" s="8" t="inlineStr">
        <is>
          <t>DV-130[0].Page6[0].List16[0].Li1[0].FieldName_cb1[0]</t>
        </is>
      </c>
      <c r="F115" s="8" t="inlineStr">
        <is>
          <t>checkbox</t>
        </is>
      </c>
      <c r="G115" s="8" t="inlineStr">
        <is>
          <t>1</t>
        </is>
      </c>
      <c r="H115" s="8" t="inlineStr"/>
      <c r="I115" s="8" t="inlineStr">
        <is>
          <t>74, 122, 83, 131</t>
        </is>
      </c>
      <c r="J115" s="8" t="inlineStr">
        <is>
          <t>court/clerk</t>
        </is>
      </c>
      <c r="K115" s="8" t="inlineStr"/>
      <c r="L115" s="8" t="inlineStr"/>
      <c r="M115" s="8" t="inlineStr"/>
      <c r="N115" s="8" t="inlineStr">
        <is>
          <t>Judge completes. Court-order rule: party and children info only.</t>
        </is>
      </c>
      <c r="O115" s="8" t="inlineStr"/>
    </row>
    <row r="116">
      <c r="A116" s="8" t="n">
        <v>115</v>
      </c>
      <c r="B116" s="8" t="n">
        <v>6</v>
      </c>
      <c r="C116" s="8" t="inlineStr">
        <is>
          <t>16 (court)</t>
        </is>
      </c>
      <c r="D116" s="8" t="inlineStr">
        <is>
          <t>School of person in 1.</t>
        </is>
      </c>
      <c r="E116" s="8" t="inlineStr">
        <is>
          <t>DV-130[0].Page6[0].List16[0].Li1[0].FieldName_cb2[0]</t>
        </is>
      </c>
      <c r="F116" s="8" t="inlineStr">
        <is>
          <t>checkbox</t>
        </is>
      </c>
      <c r="G116" s="8" t="inlineStr">
        <is>
          <t>1</t>
        </is>
      </c>
      <c r="H116" s="8" t="inlineStr"/>
      <c r="I116" s="8" t="inlineStr">
        <is>
          <t>268, 122, 277, 131</t>
        </is>
      </c>
      <c r="J116" s="8" t="inlineStr">
        <is>
          <t>court/clerk</t>
        </is>
      </c>
      <c r="K116" s="8" t="inlineStr"/>
      <c r="L116" s="8" t="inlineStr"/>
      <c r="M116" s="8" t="inlineStr"/>
      <c r="N116" s="8" t="inlineStr">
        <is>
          <t>Judge completes. Court-order rule: party and children info only.</t>
        </is>
      </c>
      <c r="O116" s="8" t="inlineStr"/>
    </row>
    <row r="117">
      <c r="A117" s="8" t="n">
        <v>116</v>
      </c>
      <c r="B117" s="8" t="n">
        <v>6</v>
      </c>
      <c r="C117" s="8" t="inlineStr">
        <is>
          <t>16 (court)</t>
        </is>
      </c>
      <c r="D117" s="8" t="inlineStr">
        <is>
          <t>Home of person in 1.</t>
        </is>
      </c>
      <c r="E117" s="8" t="inlineStr">
        <is>
          <t>DV-130[0].Page6[0].List16[0].Li1[0].FieldName_cb3[0]</t>
        </is>
      </c>
      <c r="F117" s="8" t="inlineStr">
        <is>
          <t>checkbox</t>
        </is>
      </c>
      <c r="G117" s="8" t="inlineStr">
        <is>
          <t>1</t>
        </is>
      </c>
      <c r="H117" s="8" t="inlineStr"/>
      <c r="I117" s="8" t="inlineStr">
        <is>
          <t>74, 136, 83, 145</t>
        </is>
      </c>
      <c r="J117" s="8" t="inlineStr">
        <is>
          <t>court/clerk</t>
        </is>
      </c>
      <c r="K117" s="8" t="inlineStr"/>
      <c r="L117" s="8" t="inlineStr"/>
      <c r="M117" s="8" t="inlineStr"/>
      <c r="N117" s="8" t="inlineStr">
        <is>
          <t>Judge completes. Court-order rule: party and children info only.</t>
        </is>
      </c>
      <c r="O117" s="8" t="inlineStr"/>
    </row>
    <row r="118">
      <c r="A118" s="8" t="n">
        <v>117</v>
      </c>
      <c r="B118" s="8" t="n">
        <v>6</v>
      </c>
      <c r="C118" s="8" t="inlineStr">
        <is>
          <t>16 (court)</t>
        </is>
      </c>
      <c r="D118" s="8" t="inlineStr">
        <is>
          <t>Persons in 3 .</t>
        </is>
      </c>
      <c r="E118" s="8" t="inlineStr">
        <is>
          <t>DV-130[0].Page6[0].List16[0].Li1[0].FieldName_cb4[0]</t>
        </is>
      </c>
      <c r="F118" s="8" t="inlineStr">
        <is>
          <t>checkbox</t>
        </is>
      </c>
      <c r="G118" s="8" t="inlineStr">
        <is>
          <t>1</t>
        </is>
      </c>
      <c r="H118" s="8" t="inlineStr"/>
      <c r="I118" s="8" t="inlineStr">
        <is>
          <t>268, 136, 277, 145</t>
        </is>
      </c>
      <c r="J118" s="8" t="inlineStr">
        <is>
          <t>court/clerk</t>
        </is>
      </c>
      <c r="K118" s="8" t="inlineStr"/>
      <c r="L118" s="8" t="inlineStr"/>
      <c r="M118" s="8" t="inlineStr"/>
      <c r="N118" s="8" t="inlineStr">
        <is>
          <t>Judge completes. Court-order rule: party and children info only.</t>
        </is>
      </c>
      <c r="O118" s="8" t="inlineStr"/>
    </row>
    <row r="119">
      <c r="A119" s="8" t="n">
        <v>118</v>
      </c>
      <c r="B119" s="8" t="n">
        <v>6</v>
      </c>
      <c r="C119" s="8" t="inlineStr">
        <is>
          <t>16 (court)</t>
        </is>
      </c>
      <c r="D119" s="8" t="inlineStr">
        <is>
          <t>Job or workplace of person in 1 .</t>
        </is>
      </c>
      <c r="E119" s="8" t="inlineStr">
        <is>
          <t>DV-130[0].Page6[0].List16[0].Li1[0].FieldName_cb6[0]</t>
        </is>
      </c>
      <c r="F119" s="8" t="inlineStr">
        <is>
          <t>checkbox</t>
        </is>
      </c>
      <c r="G119" s="8" t="inlineStr">
        <is>
          <t>1</t>
        </is>
      </c>
      <c r="H119" s="8" t="inlineStr"/>
      <c r="I119" s="8" t="inlineStr">
        <is>
          <t>74, 151, 83, 160</t>
        </is>
      </c>
      <c r="J119" s="8" t="inlineStr">
        <is>
          <t>court/clerk</t>
        </is>
      </c>
      <c r="K119" s="8" t="inlineStr"/>
      <c r="L119" s="8" t="inlineStr"/>
      <c r="M119" s="8" t="inlineStr"/>
      <c r="N119" s="8" t="inlineStr">
        <is>
          <t>Judge completes. Court-order rule: party and children info only.</t>
        </is>
      </c>
      <c r="O119" s="8" t="inlineStr"/>
    </row>
    <row r="120">
      <c r="A120" s="8" t="n">
        <v>119</v>
      </c>
      <c r="B120" s="8" t="n">
        <v>6</v>
      </c>
      <c r="C120" s="8" t="inlineStr">
        <is>
          <t>16 (court)</t>
        </is>
      </c>
      <c r="D120" s="8" t="inlineStr">
        <is>
          <t>Children’s school or child care.</t>
        </is>
      </c>
      <c r="E120" s="8" t="inlineStr">
        <is>
          <t>DV-130[0].Page6[0].List16[0].Li1[0].FieldName_cb7[0]</t>
        </is>
      </c>
      <c r="F120" s="8" t="inlineStr">
        <is>
          <t>checkbox</t>
        </is>
      </c>
      <c r="G120" s="8" t="inlineStr">
        <is>
          <t>1</t>
        </is>
      </c>
      <c r="H120" s="8" t="inlineStr"/>
      <c r="I120" s="8" t="inlineStr">
        <is>
          <t>268, 151, 277, 160</t>
        </is>
      </c>
      <c r="J120" s="8" t="inlineStr">
        <is>
          <t>court/clerk</t>
        </is>
      </c>
      <c r="K120" s="8" t="inlineStr"/>
      <c r="L120" s="8" t="inlineStr"/>
      <c r="M120" s="8" t="inlineStr"/>
      <c r="N120" s="8" t="inlineStr">
        <is>
          <t>Judge completes. Court-order rule: party and children info only.</t>
        </is>
      </c>
      <c r="O120" s="8" t="inlineStr"/>
    </row>
    <row r="121">
      <c r="A121" s="8" t="n">
        <v>120</v>
      </c>
      <c r="B121" s="8" t="n">
        <v>6</v>
      </c>
      <c r="C121" s="8" t="inlineStr">
        <is>
          <t>16 (court)</t>
        </is>
      </c>
      <c r="D121" s="8" t="inlineStr">
        <is>
          <t>Vehicle of person in 1.</t>
        </is>
      </c>
      <c r="E121" s="8" t="inlineStr">
        <is>
          <t>DV-130[0].Page6[0].List16[0].Li1[0].FieldName_cb8[0]</t>
        </is>
      </c>
      <c r="F121" s="8" t="inlineStr">
        <is>
          <t>checkbox</t>
        </is>
      </c>
      <c r="G121" s="8" t="inlineStr">
        <is>
          <t>1</t>
        </is>
      </c>
      <c r="H121" s="8" t="inlineStr"/>
      <c r="I121" s="8" t="inlineStr">
        <is>
          <t>74, 165, 83, 174</t>
        </is>
      </c>
      <c r="J121" s="8" t="inlineStr">
        <is>
          <t>court/clerk</t>
        </is>
      </c>
      <c r="K121" s="8" t="inlineStr"/>
      <c r="L121" s="8" t="inlineStr"/>
      <c r="M121" s="8" t="inlineStr"/>
      <c r="N121" s="8" t="inlineStr">
        <is>
          <t>Judge completes. Court-order rule: party and children info only.</t>
        </is>
      </c>
      <c r="O121" s="8" t="inlineStr"/>
    </row>
    <row r="122">
      <c r="A122" s="8" t="n">
        <v>121</v>
      </c>
      <c r="B122" s="8" t="n">
        <v>6</v>
      </c>
      <c r="C122" s="8" t="inlineStr">
        <is>
          <t>16 (court)</t>
        </is>
      </c>
      <c r="D122" s="8" t="inlineStr">
        <is>
          <t>other</t>
        </is>
      </c>
      <c r="E122" s="8" t="inlineStr">
        <is>
          <t>DV-130[0].Page6[0].List16[0].Li1[0].AGHagueCert_cb[0]</t>
        </is>
      </c>
      <c r="F122" s="8" t="inlineStr">
        <is>
          <t>checkbox</t>
        </is>
      </c>
      <c r="G122" s="8" t="inlineStr">
        <is>
          <t>1</t>
        </is>
      </c>
      <c r="H122" s="8" t="inlineStr"/>
      <c r="I122" s="8" t="inlineStr">
        <is>
          <t>268, 165, 277, 174</t>
        </is>
      </c>
      <c r="J122" s="8" t="inlineStr">
        <is>
          <t>court/clerk</t>
        </is>
      </c>
      <c r="K122" s="8" t="inlineStr"/>
      <c r="L122" s="8" t="inlineStr"/>
      <c r="M122" s="8" t="inlineStr"/>
      <c r="N122" s="8" t="inlineStr">
        <is>
          <t>Judge completes. Court-order rule: party and children info only.</t>
        </is>
      </c>
      <c r="O122" s="8" t="inlineStr"/>
    </row>
    <row r="123">
      <c r="A123" s="8" t="n">
        <v>122</v>
      </c>
      <c r="B123" s="8" t="n">
        <v>6</v>
      </c>
      <c r="C123" s="8" t="inlineStr">
        <is>
          <t>16 (court)</t>
        </is>
      </c>
      <c r="D123" s="8" t="inlineStr">
        <is>
          <t>specify</t>
        </is>
      </c>
      <c r="E123" s="8" t="inlineStr">
        <is>
          <t>DV-130[0].Page6[0].List16[0].Li1[0].item10a[0]</t>
        </is>
      </c>
      <c r="F123" s="8" t="inlineStr">
        <is>
          <t>text</t>
        </is>
      </c>
      <c r="G123" s="8" t="inlineStr"/>
      <c r="H123" s="8" t="inlineStr"/>
      <c r="I123" s="8" t="inlineStr">
        <is>
          <t>358, 163, 568, 175</t>
        </is>
      </c>
      <c r="J123" s="8" t="inlineStr">
        <is>
          <t>court/clerk</t>
        </is>
      </c>
      <c r="K123" s="8" t="inlineStr"/>
      <c r="L123" s="8" t="inlineStr"/>
      <c r="M123" s="8" t="inlineStr"/>
      <c r="N123" s="8" t="inlineStr">
        <is>
          <t>Judge completes. Court-order rule: party and children info only.</t>
        </is>
      </c>
      <c r="O123" s="8" t="inlineStr"/>
    </row>
    <row r="124">
      <c r="A124" s="8" t="n">
        <v>123</v>
      </c>
      <c r="B124" s="8" t="n">
        <v>6</v>
      </c>
      <c r="C124" s="8" t="inlineStr">
        <is>
          <t>16 (court)</t>
        </is>
      </c>
      <c r="D124" s="8" t="inlineStr">
        <is>
          <t>specify continued</t>
        </is>
      </c>
      <c r="E124" s="8" t="inlineStr">
        <is>
          <t>DV-130[0].Page6[0].List16[0].Li1[0].item10aContinue[0]</t>
        </is>
      </c>
      <c r="F124" s="8" t="inlineStr">
        <is>
          <t>text</t>
        </is>
      </c>
      <c r="G124" s="8" t="inlineStr"/>
      <c r="H124" s="8" t="inlineStr"/>
      <c r="I124" s="8" t="inlineStr">
        <is>
          <t>285, 176, 568, 189</t>
        </is>
      </c>
      <c r="J124" s="8" t="inlineStr">
        <is>
          <t>court/clerk</t>
        </is>
      </c>
      <c r="K124" s="8" t="inlineStr"/>
      <c r="L124" s="8" t="inlineStr"/>
      <c r="M124" s="8" t="inlineStr"/>
      <c r="N124" s="8" t="inlineStr">
        <is>
          <t>Judge completes. Court-order rule: party and children info only.</t>
        </is>
      </c>
      <c r="O124" s="8" t="inlineStr"/>
    </row>
    <row r="125">
      <c r="A125" s="8" t="n">
        <v>124</v>
      </c>
      <c r="B125" s="8" t="n">
        <v>6</v>
      </c>
      <c r="C125" s="8" t="inlineStr">
        <is>
          <t>16 (court)</t>
        </is>
      </c>
      <c r="D125" s="8" t="inlineStr">
        <is>
          <t>Exception to 16a:</t>
        </is>
      </c>
      <c r="E125" s="8" t="inlineStr">
        <is>
          <t>DV-130[0].Page6[0].List16[0].Li2[0].AGHagueCert_cb[0]</t>
        </is>
      </c>
      <c r="F125" s="8" t="inlineStr">
        <is>
          <t>checkbox</t>
        </is>
      </c>
      <c r="G125" s="8" t="inlineStr">
        <is>
          <t>1</t>
        </is>
      </c>
      <c r="H125" s="8" t="inlineStr"/>
      <c r="I125" s="8" t="inlineStr">
        <is>
          <t>75, 199, 84, 208</t>
        </is>
      </c>
      <c r="J125" s="8" t="inlineStr">
        <is>
          <t>court/clerk</t>
        </is>
      </c>
      <c r="K125" s="8" t="inlineStr"/>
      <c r="L125" s="8" t="inlineStr"/>
      <c r="M125" s="8" t="inlineStr"/>
      <c r="N125" s="8" t="inlineStr">
        <is>
          <t>Judge completes. Court-order rule: party and children info only.</t>
        </is>
      </c>
      <c r="O125" s="8" t="inlineStr"/>
    </row>
    <row r="126">
      <c r="A126" s="8" t="n">
        <v>125</v>
      </c>
      <c r="B126" s="8" t="n">
        <v>6</v>
      </c>
      <c r="C126" s="8" t="inlineStr">
        <is>
          <t>16 (court)</t>
        </is>
      </c>
      <c r="D126" s="8" t="inlineStr">
        <is>
          <t>For you to exchange your children for court-ordered visits. You must do so briefly and peacefully.</t>
        </is>
      </c>
      <c r="E126" s="8" t="inlineStr">
        <is>
          <t>DV-130[0].Page6[0].List16[0].Li2[0].List[0].Li1[0].AGHagueCert_cb[0]</t>
        </is>
      </c>
      <c r="F126" s="8" t="inlineStr">
        <is>
          <t>checkbox</t>
        </is>
      </c>
      <c r="G126" s="8" t="inlineStr">
        <is>
          <t>1</t>
        </is>
      </c>
      <c r="H126" s="8" t="inlineStr"/>
      <c r="I126" s="8" t="inlineStr">
        <is>
          <t>97, 230, 106, 239</t>
        </is>
      </c>
      <c r="J126" s="8" t="inlineStr">
        <is>
          <t>court/clerk</t>
        </is>
      </c>
      <c r="K126" s="8" t="inlineStr"/>
      <c r="L126" s="8" t="inlineStr"/>
      <c r="M126" s="8" t="inlineStr"/>
      <c r="N126" s="8" t="inlineStr">
        <is>
          <t>Judge completes. Court-order rule: party and children info only.</t>
        </is>
      </c>
      <c r="O126" s="8" t="inlineStr"/>
    </row>
    <row r="127">
      <c r="A127" s="8" t="n">
        <v>126</v>
      </c>
      <c r="B127" s="8" t="n">
        <v>6</v>
      </c>
      <c r="C127" s="8" t="inlineStr">
        <is>
          <t>16 (court)</t>
        </is>
      </c>
      <c r="D127" s="8" t="inlineStr">
        <is>
          <t>For you to visit with your children for court-ordered contact or visits.</t>
        </is>
      </c>
      <c r="E127" s="8" t="inlineStr">
        <is>
          <t>DV-130[0].Page6[0].List16[0].Li2[0].List[0].Li2[0].AGHagueCert_cb[0]</t>
        </is>
      </c>
      <c r="F127" s="8" t="inlineStr">
        <is>
          <t>checkbox</t>
        </is>
      </c>
      <c r="G127" s="8" t="inlineStr">
        <is>
          <t>1</t>
        </is>
      </c>
      <c r="H127" s="8" t="inlineStr"/>
      <c r="I127" s="8" t="inlineStr">
        <is>
          <t>97, 247, 106, 256</t>
        </is>
      </c>
      <c r="J127" s="8" t="inlineStr">
        <is>
          <t>court/clerk</t>
        </is>
      </c>
      <c r="K127" s="8" t="inlineStr"/>
      <c r="L127" s="8" t="inlineStr"/>
      <c r="M127" s="8" t="inlineStr"/>
      <c r="N127" s="8" t="inlineStr">
        <is>
          <t>Judge completes. Court-order rule: party and children info only.</t>
        </is>
      </c>
      <c r="O127" s="8" t="inlineStr"/>
    </row>
    <row r="128">
      <c r="A128" s="8" t="n">
        <v>127</v>
      </c>
      <c r="B128" s="8" t="n">
        <v>6</v>
      </c>
      <c r="C128" s="8" t="inlineStr">
        <is>
          <t>16 (court)</t>
        </is>
      </c>
      <c r="D128" s="8" t="inlineStr">
        <is>
          <t>other</t>
        </is>
      </c>
      <c r="E128" s="8" t="inlineStr">
        <is>
          <t>DV-130[0].Page6[0].List16[0].Li2[0].List[0].Li3[0].AGHagueCert_cb[0]</t>
        </is>
      </c>
      <c r="F128" s="8" t="inlineStr">
        <is>
          <t>checkbox</t>
        </is>
      </c>
      <c r="G128" s="8" t="inlineStr">
        <is>
          <t>1</t>
        </is>
      </c>
      <c r="H128" s="8" t="inlineStr"/>
      <c r="I128" s="8" t="inlineStr">
        <is>
          <t>97, 265, 106, 274</t>
        </is>
      </c>
      <c r="J128" s="8" t="inlineStr">
        <is>
          <t>court/clerk</t>
        </is>
      </c>
      <c r="K128" s="8" t="inlineStr"/>
      <c r="L128" s="8" t="inlineStr"/>
      <c r="M128" s="8" t="inlineStr"/>
      <c r="N128" s="8" t="inlineStr">
        <is>
          <t>Judge completes. Court-order rule: party and children info only.</t>
        </is>
      </c>
      <c r="O128" s="8" t="inlineStr"/>
    </row>
    <row r="129">
      <c r="A129" s="8" t="n">
        <v>128</v>
      </c>
      <c r="B129" s="8" t="n">
        <v>6</v>
      </c>
      <c r="C129" s="8" t="inlineStr">
        <is>
          <t>16 (court)</t>
        </is>
      </c>
      <c r="D129" s="8" t="inlineStr">
        <is>
          <t>explain</t>
        </is>
      </c>
      <c r="E129" s="8" t="inlineStr">
        <is>
          <t>DV-130[0].Page6[0].List16[0].Li2[0].List[0].Li3[0].item10b[0]</t>
        </is>
      </c>
      <c r="F129" s="8" t="inlineStr">
        <is>
          <t>text</t>
        </is>
      </c>
      <c r="G129" s="8" t="inlineStr"/>
      <c r="H129" s="8" t="inlineStr"/>
      <c r="I129" s="8" t="inlineStr">
        <is>
          <t>188, 264, 564, 276</t>
        </is>
      </c>
      <c r="J129" s="8" t="inlineStr">
        <is>
          <t>court/clerk</t>
        </is>
      </c>
      <c r="K129" s="8" t="inlineStr"/>
      <c r="L129" s="8" t="inlineStr"/>
      <c r="M129" s="8" t="inlineStr"/>
      <c r="N129" s="8" t="inlineStr">
        <is>
          <t>Judge completes. Court-order rule: party and children info only.</t>
        </is>
      </c>
      <c r="O129" s="8" t="inlineStr"/>
    </row>
    <row r="130">
      <c r="A130" s="8" t="n">
        <v>129</v>
      </c>
      <c r="B130" s="8" t="n">
        <v>6</v>
      </c>
      <c r="C130" s="8" t="inlineStr">
        <is>
          <t>16 (court)</t>
        </is>
      </c>
      <c r="D130" s="8" t="inlineStr">
        <is>
          <t>explain continued</t>
        </is>
      </c>
      <c r="E130" s="8" t="inlineStr">
        <is>
          <t>DV-130[0].Page6[0].List16[0].Li2[0].List[0].Li3[0].item10bContinue[0]</t>
        </is>
      </c>
      <c r="F130" s="8" t="inlineStr">
        <is>
          <t>text</t>
        </is>
      </c>
      <c r="G130" s="8" t="inlineStr"/>
      <c r="H130" s="8" t="inlineStr"/>
      <c r="I130" s="8" t="inlineStr">
        <is>
          <t>113, 276, 564, 288</t>
        </is>
      </c>
      <c r="J130" s="8" t="inlineStr">
        <is>
          <t>court/clerk</t>
        </is>
      </c>
      <c r="K130" s="8" t="inlineStr"/>
      <c r="L130" s="8" t="inlineStr"/>
      <c r="M130" s="8" t="inlineStr"/>
      <c r="N130" s="8" t="inlineStr">
        <is>
          <t>Judge completes. Court-order rule: party and children info only.</t>
        </is>
      </c>
      <c r="O130" s="8" t="inlineStr"/>
    </row>
    <row r="131">
      <c r="A131" s="8" t="n">
        <v>130</v>
      </c>
      <c r="B131" s="8" t="n">
        <v>6</v>
      </c>
      <c r="C131" s="8" t="inlineStr">
        <is>
          <t>17 (court)</t>
        </is>
      </c>
      <c r="D131" s="8" t="inlineStr">
        <is>
          <t>Order to Move Out</t>
        </is>
      </c>
      <c r="E131" s="8" t="inlineStr">
        <is>
          <t>DV-130[0].Page6[0].List17[0].Li1[0].item8_cb[0]</t>
        </is>
      </c>
      <c r="F131" s="8" t="inlineStr">
        <is>
          <t>checkbox</t>
        </is>
      </c>
      <c r="G131" s="8" t="inlineStr">
        <is>
          <t>1</t>
        </is>
      </c>
      <c r="H131" s="8" t="inlineStr"/>
      <c r="I131" s="8" t="inlineStr">
        <is>
          <t>62, 318, 71, 327</t>
        </is>
      </c>
      <c r="J131" s="8" t="inlineStr">
        <is>
          <t>court/clerk</t>
        </is>
      </c>
      <c r="K131" s="8" t="inlineStr"/>
      <c r="L131" s="8" t="inlineStr"/>
      <c r="M131" s="8" t="inlineStr"/>
      <c r="N131" s="8" t="inlineStr">
        <is>
          <t>Judge completes. Court-order rule: party and children info only.</t>
        </is>
      </c>
      <c r="O131" s="8" t="inlineStr"/>
    </row>
    <row r="132">
      <c r="A132" s="8" t="n">
        <v>131</v>
      </c>
      <c r="B132" s="8" t="n">
        <v>6</v>
      </c>
      <c r="C132" s="8" t="inlineStr">
        <is>
          <t>17 (court)</t>
        </is>
      </c>
      <c r="D132" s="8" t="inlineStr">
        <is>
          <t>address</t>
        </is>
      </c>
      <c r="E132" s="8" t="inlineStr">
        <is>
          <t>DV-130[0].Page6[0].List17[0].Li1[0].TextField[0]</t>
        </is>
      </c>
      <c r="F132" s="8" t="inlineStr">
        <is>
          <t>text</t>
        </is>
      </c>
      <c r="G132" s="8" t="inlineStr"/>
      <c r="H132" s="8" t="inlineStr"/>
      <c r="I132" s="8" t="inlineStr">
        <is>
          <t>62, 348, 570, 363</t>
        </is>
      </c>
      <c r="J132" s="8" t="inlineStr">
        <is>
          <t>court/clerk</t>
        </is>
      </c>
      <c r="K132" s="8" t="inlineStr"/>
      <c r="L132" s="8" t="inlineStr"/>
      <c r="M132" s="8" t="inlineStr"/>
      <c r="N132" s="8" t="inlineStr">
        <is>
          <t>Judge completes. Court-order rule: party and children info only.</t>
        </is>
      </c>
      <c r="O132" s="8" t="inlineStr"/>
    </row>
    <row r="133">
      <c r="A133" s="8" t="n">
        <v>132</v>
      </c>
      <c r="B133" s="8" t="n">
        <v>6</v>
      </c>
      <c r="C133" s="8" t="inlineStr">
        <is>
          <t>18 (court)</t>
        </is>
      </c>
      <c r="D133" s="8" t="inlineStr">
        <is>
          <t>Other Orders</t>
        </is>
      </c>
      <c r="E133" s="8" t="inlineStr">
        <is>
          <t>DV-130[0].Page6[0].List18[0].Li1[0].OtherOrder_cb[0]</t>
        </is>
      </c>
      <c r="F133" s="8" t="inlineStr">
        <is>
          <t>checkbox</t>
        </is>
      </c>
      <c r="G133" s="8" t="inlineStr">
        <is>
          <t>1</t>
        </is>
      </c>
      <c r="H133" s="8" t="inlineStr"/>
      <c r="I133" s="8" t="inlineStr">
        <is>
          <t>62, 393, 71, 402</t>
        </is>
      </c>
      <c r="J133" s="8" t="inlineStr">
        <is>
          <t>court/clerk</t>
        </is>
      </c>
      <c r="K133" s="8" t="inlineStr"/>
      <c r="L133" s="8" t="inlineStr"/>
      <c r="M133" s="8" t="inlineStr"/>
      <c r="N133" s="8" t="inlineStr">
        <is>
          <t>Judge completes. Court-order rule: party and children info only.</t>
        </is>
      </c>
      <c r="O133" s="8" t="inlineStr"/>
    </row>
    <row r="134">
      <c r="A134" s="8" t="n">
        <v>133</v>
      </c>
      <c r="B134" s="8" t="n">
        <v>6</v>
      </c>
      <c r="C134" s="8" t="inlineStr">
        <is>
          <t>18 (court)</t>
        </is>
      </c>
      <c r="D134" s="8" t="inlineStr">
        <is>
          <t>Other Orders</t>
        </is>
      </c>
      <c r="E134" s="8" t="inlineStr">
        <is>
          <t>DV-130[0].Page6[0].List18[0].Li1[0].OtherOrders_tf[0]</t>
        </is>
      </c>
      <c r="F134" s="8" t="inlineStr">
        <is>
          <t>text</t>
        </is>
      </c>
      <c r="G134" s="8" t="inlineStr"/>
      <c r="H134" s="8" t="inlineStr"/>
      <c r="I134" s="8" t="inlineStr">
        <is>
          <t>62, 408, 574, 436</t>
        </is>
      </c>
      <c r="J134" s="8" t="inlineStr">
        <is>
          <t>court/clerk</t>
        </is>
      </c>
      <c r="K134" s="8" t="inlineStr"/>
      <c r="L134" s="8" t="inlineStr"/>
      <c r="M134" s="8" t="inlineStr"/>
      <c r="N134" s="8" t="inlineStr">
        <is>
          <t>Judge completes. Court-order rule: party and children info only.</t>
        </is>
      </c>
      <c r="O134" s="8" t="inlineStr"/>
    </row>
    <row r="135">
      <c r="A135" s="8" t="n">
        <v>134</v>
      </c>
      <c r="B135" s="8" t="n">
        <v>6</v>
      </c>
      <c r="C135" s="8" t="inlineStr">
        <is>
          <t>19 (court)</t>
        </is>
      </c>
      <c r="D135" s="8" t="inlineStr">
        <is>
          <t>Child Custody and Visitation Order</t>
        </is>
      </c>
      <c r="E135" s="8" t="inlineStr">
        <is>
          <t>DV-130[0].Page6[0].List19[0].Li1[0].FieldName_cb[0]</t>
        </is>
      </c>
      <c r="F135" s="8" t="inlineStr">
        <is>
          <t>checkbox</t>
        </is>
      </c>
      <c r="G135" s="8" t="inlineStr">
        <is>
          <t>1</t>
        </is>
      </c>
      <c r="H135" s="8" t="inlineStr"/>
      <c r="I135" s="8" t="inlineStr">
        <is>
          <t>63, 464, 72, 473</t>
        </is>
      </c>
      <c r="J135" s="8" t="inlineStr">
        <is>
          <t>court/clerk</t>
        </is>
      </c>
      <c r="K135" s="8" t="inlineStr"/>
      <c r="L135" s="8" t="inlineStr"/>
      <c r="M135" s="8" t="inlineStr"/>
      <c r="N135" s="8" t="inlineStr">
        <is>
          <t>Judge completes. Court-order rule: party and children info only.</t>
        </is>
      </c>
      <c r="O135" s="8" t="inlineStr"/>
    </row>
    <row r="136">
      <c r="A136" s="8" t="n">
        <v>135</v>
      </c>
      <c r="B136" s="8" t="n">
        <v>6</v>
      </c>
      <c r="C136" s="8" t="inlineStr">
        <is>
          <t>19 (court)</t>
        </is>
      </c>
      <c r="D136" s="8" t="inlineStr">
        <is>
          <t>list other form</t>
        </is>
      </c>
      <c r="E136" s="8" t="inlineStr">
        <is>
          <t>DV-130[0].Page6[0].List19[0].Li1[0].OtherFormForChildCustodyVisitationOrders_ft[0]</t>
        </is>
      </c>
      <c r="F136" s="8" t="inlineStr">
        <is>
          <t>text</t>
        </is>
      </c>
      <c r="G136" s="8" t="inlineStr"/>
      <c r="H136" s="8" t="inlineStr"/>
      <c r="I136" s="8" t="inlineStr">
        <is>
          <t>155, 497, 568, 512</t>
        </is>
      </c>
      <c r="J136" s="8" t="inlineStr">
        <is>
          <t>court/clerk</t>
        </is>
      </c>
      <c r="K136" s="8" t="inlineStr"/>
      <c r="L136" s="8" t="inlineStr"/>
      <c r="M136" s="8" t="inlineStr"/>
      <c r="N136" s="8" t="inlineStr">
        <is>
          <t>Judge completes. Court-order rule: party and children info only.</t>
        </is>
      </c>
      <c r="O136" s="8" t="inlineStr"/>
    </row>
    <row r="137">
      <c r="A137" s="8" t="n">
        <v>136</v>
      </c>
      <c r="B137" s="8" t="n">
        <v>6</v>
      </c>
      <c r="C137" s="8" t="inlineStr">
        <is>
          <t>20 (court)</t>
        </is>
      </c>
      <c r="D137" s="8" t="inlineStr">
        <is>
          <t>Protect Animals</t>
        </is>
      </c>
      <c r="E137" s="8" t="inlineStr">
        <is>
          <t>DV-130[0].Page6[0].List20[0].item11_cb[0]</t>
        </is>
      </c>
      <c r="F137" s="8" t="inlineStr">
        <is>
          <t>checkbox</t>
        </is>
      </c>
      <c r="G137" s="8" t="inlineStr">
        <is>
          <t>1</t>
        </is>
      </c>
      <c r="H137" s="8" t="inlineStr"/>
      <c r="I137" s="8" t="inlineStr">
        <is>
          <t>62, 541, 71, 550</t>
        </is>
      </c>
      <c r="J137" s="8" t="inlineStr">
        <is>
          <t>court/clerk</t>
        </is>
      </c>
      <c r="K137" s="8" t="inlineStr"/>
      <c r="L137" s="8" t="inlineStr"/>
      <c r="M137" s="8" t="inlineStr"/>
      <c r="N137" s="8" t="inlineStr">
        <is>
          <t>Judge completes. Court-order rule: party and children info only.</t>
        </is>
      </c>
      <c r="O137" s="8" t="inlineStr"/>
    </row>
    <row r="138">
      <c r="A138" s="8" t="n">
        <v>137</v>
      </c>
      <c r="B138" s="8" t="n">
        <v>6</v>
      </c>
      <c r="C138" s="8" t="inlineStr">
        <is>
          <t>20 (court)</t>
        </is>
      </c>
      <c r="D138" s="8" t="inlineStr">
        <is>
          <t>You must stay at least</t>
        </is>
      </c>
      <c r="E138" s="8" t="inlineStr">
        <is>
          <t>DV-130[0].Page6[0].List20[0].Li1[0].AGHagueCert11_cb[0]</t>
        </is>
      </c>
      <c r="F138" s="8" t="inlineStr">
        <is>
          <t>checkbox</t>
        </is>
      </c>
      <c r="G138" s="8" t="inlineStr">
        <is>
          <t>5</t>
        </is>
      </c>
      <c r="H138" s="8" t="inlineStr"/>
      <c r="I138" s="8" t="inlineStr">
        <is>
          <t>72, 559, 81, 568</t>
        </is>
      </c>
      <c r="J138" s="8" t="inlineStr">
        <is>
          <t>court/clerk</t>
        </is>
      </c>
      <c r="K138" s="8" t="inlineStr"/>
      <c r="L138" s="8" t="inlineStr"/>
      <c r="M138" s="8" t="inlineStr"/>
      <c r="N138" s="8" t="inlineStr">
        <is>
          <t>Judge completes. Court-order rule: party and children info only.</t>
        </is>
      </c>
      <c r="O138" s="8" t="inlineStr"/>
    </row>
    <row r="139">
      <c r="A139" s="8" t="n">
        <v>138</v>
      </c>
      <c r="B139" s="8" t="n">
        <v>6</v>
      </c>
      <c r="C139" s="8" t="inlineStr">
        <is>
          <t>20 (court)</t>
        </is>
      </c>
      <c r="D139" s="8" t="inlineStr">
        <is>
          <t>number of yards</t>
        </is>
      </c>
      <c r="E139" s="8" t="inlineStr">
        <is>
          <t>DV-130[0].Page6[0].List20[0].Li1[0].FillText11\.Yards[0]</t>
        </is>
      </c>
      <c r="F139" s="8" t="inlineStr">
        <is>
          <t>text</t>
        </is>
      </c>
      <c r="G139" s="8" t="inlineStr"/>
      <c r="H139" s="8" t="inlineStr"/>
      <c r="I139" s="8" t="inlineStr">
        <is>
          <t>188, 557, 221, 570</t>
        </is>
      </c>
      <c r="J139" s="8" t="inlineStr">
        <is>
          <t>court/clerk</t>
        </is>
      </c>
      <c r="K139" s="8" t="inlineStr"/>
      <c r="L139" s="8" t="inlineStr"/>
      <c r="M139" s="8" t="inlineStr"/>
      <c r="N139" s="8" t="inlineStr">
        <is>
          <t>Judge completes. Court-order rule: party and children info only.</t>
        </is>
      </c>
      <c r="O139" s="8" t="inlineStr"/>
    </row>
    <row r="140">
      <c r="A140" s="8" t="n">
        <v>139</v>
      </c>
      <c r="B140" s="8" t="n">
        <v>6</v>
      </c>
      <c r="C140" s="8" t="inlineStr">
        <is>
          <t>20 (court)</t>
        </is>
      </c>
      <c r="D140" s="8" t="inlineStr">
        <is>
          <t>You must not take, sell, hide, molest, attack, strike, threaten, harm, get rid of, transfer, or borrow against the animals.</t>
        </is>
      </c>
      <c r="E140" s="8" t="inlineStr">
        <is>
          <t>DV-130[0].Page6[0].List20[0].Li2[0].AGHagueCert_cb[0]</t>
        </is>
      </c>
      <c r="F140" s="8" t="inlineStr">
        <is>
          <t>checkbox</t>
        </is>
      </c>
      <c r="G140" s="8" t="inlineStr">
        <is>
          <t>1</t>
        </is>
      </c>
      <c r="H140" s="8" t="inlineStr"/>
      <c r="I140" s="8" t="inlineStr">
        <is>
          <t>72, 575, 81, 584</t>
        </is>
      </c>
      <c r="J140" s="8" t="inlineStr">
        <is>
          <t>court/clerk</t>
        </is>
      </c>
      <c r="K140" s="8" t="inlineStr"/>
      <c r="L140" s="8" t="inlineStr"/>
      <c r="M140" s="8" t="inlineStr"/>
      <c r="N140" s="8" t="inlineStr">
        <is>
          <t>Judge completes. Court-order rule: party and children info only.</t>
        </is>
      </c>
      <c r="O140" s="8" t="inlineStr"/>
    </row>
    <row r="141">
      <c r="A141" s="8" t="n">
        <v>140</v>
      </c>
      <c r="B141" s="8" t="n">
        <v>6</v>
      </c>
      <c r="C141" s="8" t="inlineStr">
        <is>
          <t>20 (court)</t>
        </is>
      </c>
      <c r="D141" s="8" t="inlineStr">
        <is>
          <t>The person in item 1 is given the sole possession, care, and control of the animals listed below.</t>
        </is>
      </c>
      <c r="E141" s="8" t="inlineStr">
        <is>
          <t>DV-130[0].Page6[0].List20[0].Li3[0].AGHagueCert11_cb[0]</t>
        </is>
      </c>
      <c r="F141" s="8" t="inlineStr">
        <is>
          <t>checkbox</t>
        </is>
      </c>
      <c r="G141" s="8" t="inlineStr">
        <is>
          <t>5</t>
        </is>
      </c>
      <c r="H141" s="8" t="inlineStr"/>
      <c r="I141" s="8" t="inlineStr">
        <is>
          <t>72, 606, 81, 615</t>
        </is>
      </c>
      <c r="J141" s="8" t="inlineStr">
        <is>
          <t>court/clerk</t>
        </is>
      </c>
      <c r="K141" s="8" t="inlineStr"/>
      <c r="L141" s="8" t="inlineStr"/>
      <c r="M141" s="8" t="inlineStr"/>
      <c r="N141" s="8" t="inlineStr">
        <is>
          <t>Judge completes. Court-order rule: party and children info only.</t>
        </is>
      </c>
      <c r="O141" s="8" t="inlineStr"/>
    </row>
    <row r="142">
      <c r="A142" s="8" t="n">
        <v>141</v>
      </c>
      <c r="B142" s="8" t="n">
        <v>6</v>
      </c>
      <c r="C142" s="8" t="inlineStr">
        <is>
          <t>20 (court)</t>
        </is>
      </c>
      <c r="D142" s="8" t="inlineStr">
        <is>
          <t>Name (or other way to ID animal)</t>
        </is>
      </c>
      <c r="E142" s="8" t="inlineStr">
        <is>
          <t>DV-130[0].Page6[0].List20[0].Li3[0].item3FullName3_tf1[0]</t>
        </is>
      </c>
      <c r="F142" s="8" t="inlineStr">
        <is>
          <t>text</t>
        </is>
      </c>
      <c r="G142" s="8" t="inlineStr"/>
      <c r="H142" s="8" t="inlineStr"/>
      <c r="I142" s="8" t="inlineStr">
        <is>
          <t>72, 636, 231, 649</t>
        </is>
      </c>
      <c r="J142" s="8" t="inlineStr">
        <is>
          <t>court/clerk</t>
        </is>
      </c>
      <c r="K142" s="8" t="inlineStr"/>
      <c r="L142" s="8" t="inlineStr"/>
      <c r="M142" s="8" t="inlineStr"/>
      <c r="N142" s="8" t="inlineStr">
        <is>
          <t>Judge completes. Court-order rule: party and children info only.</t>
        </is>
      </c>
      <c r="O142" s="8" t="inlineStr"/>
    </row>
    <row r="143">
      <c r="A143" s="8" t="n">
        <v>142</v>
      </c>
      <c r="B143" s="8" t="n">
        <v>6</v>
      </c>
      <c r="C143" s="8" t="inlineStr">
        <is>
          <t>20 (court)</t>
        </is>
      </c>
      <c r="D143" s="8" t="inlineStr">
        <is>
          <t>Type of animal</t>
        </is>
      </c>
      <c r="E143" s="8" t="inlineStr">
        <is>
          <t>DV-130[0].Page6[0].List20[0].Li3[0].item3relation2_tf2[0]</t>
        </is>
      </c>
      <c r="F143" s="8" t="inlineStr">
        <is>
          <t>text</t>
        </is>
      </c>
      <c r="G143" s="8" t="inlineStr"/>
      <c r="H143" s="8" t="inlineStr"/>
      <c r="I143" s="8" t="inlineStr">
        <is>
          <t>236, 636, 341, 649</t>
        </is>
      </c>
      <c r="J143" s="8" t="inlineStr">
        <is>
          <t>court/clerk</t>
        </is>
      </c>
      <c r="K143" s="8" t="inlineStr"/>
      <c r="L143" s="8" t="inlineStr"/>
      <c r="M143" s="8" t="inlineStr"/>
      <c r="N143" s="8" t="inlineStr">
        <is>
          <t>Judge completes. Court-order rule: party and children info only.</t>
        </is>
      </c>
      <c r="O143" s="8" t="inlineStr"/>
    </row>
    <row r="144">
      <c r="A144" s="8" t="n">
        <v>143</v>
      </c>
      <c r="B144" s="8" t="n">
        <v>6</v>
      </c>
      <c r="C144" s="8" t="inlineStr">
        <is>
          <t>20 (court)</t>
        </is>
      </c>
      <c r="D144" s="8" t="inlineStr">
        <is>
          <t>Breed (if known)</t>
        </is>
      </c>
      <c r="E144" s="8" t="inlineStr">
        <is>
          <t>DV-130[0].Page6[0].List20[0].Li3[0].item3relation1_tf3[0]</t>
        </is>
      </c>
      <c r="F144" s="8" t="inlineStr">
        <is>
          <t>text</t>
        </is>
      </c>
      <c r="G144" s="8" t="inlineStr"/>
      <c r="H144" s="8" t="inlineStr"/>
      <c r="I144" s="8" t="inlineStr">
        <is>
          <t>346, 635, 449, 648</t>
        </is>
      </c>
      <c r="J144" s="8" t="inlineStr">
        <is>
          <t>court/clerk</t>
        </is>
      </c>
      <c r="K144" s="8" t="inlineStr"/>
      <c r="L144" s="8" t="inlineStr"/>
      <c r="M144" s="8" t="inlineStr"/>
      <c r="N144" s="8" t="inlineStr">
        <is>
          <t>Judge completes. Court-order rule: party and children info only.</t>
        </is>
      </c>
      <c r="O144" s="8" t="inlineStr"/>
    </row>
    <row r="145">
      <c r="A145" s="8" t="n">
        <v>144</v>
      </c>
      <c r="B145" s="8" t="n">
        <v>6</v>
      </c>
      <c r="C145" s="8" t="inlineStr">
        <is>
          <t>20 (court)</t>
        </is>
      </c>
      <c r="D145" s="8" t="inlineStr">
        <is>
          <t>Color</t>
        </is>
      </c>
      <c r="E145" s="8" t="inlineStr">
        <is>
          <t>DV-130[0].Page6[0].List20[0].Li3[0].item3relation1_tf4[0]</t>
        </is>
      </c>
      <c r="F145" s="8" t="inlineStr">
        <is>
          <t>text</t>
        </is>
      </c>
      <c r="G145" s="8" t="inlineStr"/>
      <c r="H145" s="8" t="inlineStr"/>
      <c r="I145" s="8" t="inlineStr">
        <is>
          <t>454, 635, 560, 648</t>
        </is>
      </c>
      <c r="J145" s="8" t="inlineStr">
        <is>
          <t>court/clerk</t>
        </is>
      </c>
      <c r="K145" s="8" t="inlineStr"/>
      <c r="L145" s="8" t="inlineStr"/>
      <c r="M145" s="8" t="inlineStr"/>
      <c r="N145" s="8" t="inlineStr">
        <is>
          <t>Judge completes. Court-order rule: party and children info only.</t>
        </is>
      </c>
      <c r="O145" s="8" t="inlineStr"/>
    </row>
    <row r="146">
      <c r="A146" s="8" t="n">
        <v>145</v>
      </c>
      <c r="B146" s="8" t="n">
        <v>6</v>
      </c>
      <c r="C146" s="8" t="inlineStr">
        <is>
          <t>20 (court)</t>
        </is>
      </c>
      <c r="D146" s="8" t="inlineStr">
        <is>
          <t>Name (or other way to ID animal)</t>
        </is>
      </c>
      <c r="E146" s="8" t="inlineStr">
        <is>
          <t>DV-130[0].Page6[0].List20[0].Li3[0].item3FullName3_tf5[0]</t>
        </is>
      </c>
      <c r="F146" s="8" t="inlineStr">
        <is>
          <t>text</t>
        </is>
      </c>
      <c r="G146" s="8" t="inlineStr"/>
      <c r="H146" s="8" t="inlineStr"/>
      <c r="I146" s="8" t="inlineStr">
        <is>
          <t>72, 649, 231, 662</t>
        </is>
      </c>
      <c r="J146" s="8" t="inlineStr">
        <is>
          <t>court/clerk</t>
        </is>
      </c>
      <c r="K146" s="8" t="inlineStr"/>
      <c r="L146" s="8" t="inlineStr"/>
      <c r="M146" s="8" t="inlineStr"/>
      <c r="N146" s="8" t="inlineStr">
        <is>
          <t>Judge completes. Court-order rule: party and children info only.</t>
        </is>
      </c>
      <c r="O146" s="8" t="inlineStr"/>
    </row>
    <row r="147">
      <c r="A147" s="8" t="n">
        <v>146</v>
      </c>
      <c r="B147" s="8" t="n">
        <v>6</v>
      </c>
      <c r="C147" s="8" t="inlineStr">
        <is>
          <t>20 (court)</t>
        </is>
      </c>
      <c r="D147" s="8" t="inlineStr">
        <is>
          <t>Type of animal</t>
        </is>
      </c>
      <c r="E147" s="8" t="inlineStr">
        <is>
          <t>DV-130[0].Page6[0].List20[0].Li3[0].item3relation2_tf6[0]</t>
        </is>
      </c>
      <c r="F147" s="8" t="inlineStr">
        <is>
          <t>text</t>
        </is>
      </c>
      <c r="G147" s="8" t="inlineStr"/>
      <c r="H147" s="8" t="inlineStr"/>
      <c r="I147" s="8" t="inlineStr">
        <is>
          <t>236, 649, 341, 662</t>
        </is>
      </c>
      <c r="J147" s="8" t="inlineStr">
        <is>
          <t>court/clerk</t>
        </is>
      </c>
      <c r="K147" s="8" t="inlineStr"/>
      <c r="L147" s="8" t="inlineStr"/>
      <c r="M147" s="8" t="inlineStr"/>
      <c r="N147" s="8" t="inlineStr">
        <is>
          <t>Judge completes. Court-order rule: party and children info only.</t>
        </is>
      </c>
      <c r="O147" s="8" t="inlineStr"/>
    </row>
    <row r="148">
      <c r="A148" s="8" t="n">
        <v>147</v>
      </c>
      <c r="B148" s="8" t="n">
        <v>6</v>
      </c>
      <c r="C148" s="8" t="inlineStr">
        <is>
          <t>20 (court)</t>
        </is>
      </c>
      <c r="D148" s="8" t="inlineStr">
        <is>
          <t>Breed (if known)</t>
        </is>
      </c>
      <c r="E148" s="8" t="inlineStr">
        <is>
          <t>DV-130[0].Page6[0].List20[0].Li3[0].item3relation1_tf7[0]</t>
        </is>
      </c>
      <c r="F148" s="8" t="inlineStr">
        <is>
          <t>text</t>
        </is>
      </c>
      <c r="G148" s="8" t="inlineStr"/>
      <c r="H148" s="8" t="inlineStr"/>
      <c r="I148" s="8" t="inlineStr">
        <is>
          <t>346, 649, 449, 662</t>
        </is>
      </c>
      <c r="J148" s="8" t="inlineStr">
        <is>
          <t>court/clerk</t>
        </is>
      </c>
      <c r="K148" s="8" t="inlineStr"/>
      <c r="L148" s="8" t="inlineStr"/>
      <c r="M148" s="8" t="inlineStr"/>
      <c r="N148" s="8" t="inlineStr">
        <is>
          <t>Judge completes. Court-order rule: party and children info only.</t>
        </is>
      </c>
      <c r="O148" s="8" t="inlineStr"/>
    </row>
    <row r="149">
      <c r="A149" s="8" t="n">
        <v>148</v>
      </c>
      <c r="B149" s="8" t="n">
        <v>6</v>
      </c>
      <c r="C149" s="8" t="inlineStr">
        <is>
          <t>20 (court)</t>
        </is>
      </c>
      <c r="D149" s="8" t="inlineStr">
        <is>
          <t>Color</t>
        </is>
      </c>
      <c r="E149" s="8" t="inlineStr">
        <is>
          <t>DV-130[0].Page6[0].List20[0].Li3[0].item3relation1_tf8[0]</t>
        </is>
      </c>
      <c r="F149" s="8" t="inlineStr">
        <is>
          <t>text</t>
        </is>
      </c>
      <c r="G149" s="8" t="inlineStr"/>
      <c r="H149" s="8" t="inlineStr"/>
      <c r="I149" s="8" t="inlineStr">
        <is>
          <t>454, 649, 560, 662</t>
        </is>
      </c>
      <c r="J149" s="8" t="inlineStr">
        <is>
          <t>court/clerk</t>
        </is>
      </c>
      <c r="K149" s="8" t="inlineStr"/>
      <c r="L149" s="8" t="inlineStr"/>
      <c r="M149" s="8" t="inlineStr"/>
      <c r="N149" s="8" t="inlineStr">
        <is>
          <t>Judge completes. Court-order rule: party and children info only.</t>
        </is>
      </c>
      <c r="O149" s="8" t="inlineStr"/>
    </row>
    <row r="150">
      <c r="A150" s="8" t="n">
        <v>149</v>
      </c>
      <c r="B150" s="8" t="n">
        <v>6</v>
      </c>
      <c r="C150" s="8" t="inlineStr">
        <is>
          <t>20 (court)</t>
        </is>
      </c>
      <c r="D150" s="8" t="inlineStr">
        <is>
          <t>Name (or other way to ID animal)</t>
        </is>
      </c>
      <c r="E150" s="8" t="inlineStr">
        <is>
          <t>DV-130[0].Page6[0].List20[0].Li3[0].item3FullName3_tf9[0]</t>
        </is>
      </c>
      <c r="F150" s="8" t="inlineStr">
        <is>
          <t>text</t>
        </is>
      </c>
      <c r="G150" s="8" t="inlineStr"/>
      <c r="H150" s="8" t="inlineStr"/>
      <c r="I150" s="8" t="inlineStr">
        <is>
          <t>72, 663, 231, 676</t>
        </is>
      </c>
      <c r="J150" s="8" t="inlineStr">
        <is>
          <t>court/clerk</t>
        </is>
      </c>
      <c r="K150" s="8" t="inlineStr"/>
      <c r="L150" s="8" t="inlineStr"/>
      <c r="M150" s="8" t="inlineStr"/>
      <c r="N150" s="8" t="inlineStr">
        <is>
          <t>Judge completes. Court-order rule: party and children info only.</t>
        </is>
      </c>
      <c r="O150" s="8" t="inlineStr"/>
    </row>
    <row r="151">
      <c r="A151" s="8" t="n">
        <v>150</v>
      </c>
      <c r="B151" s="8" t="n">
        <v>6</v>
      </c>
      <c r="C151" s="8" t="inlineStr">
        <is>
          <t>20 (court)</t>
        </is>
      </c>
      <c r="D151" s="8" t="inlineStr">
        <is>
          <t>Type of animal</t>
        </is>
      </c>
      <c r="E151" s="8" t="inlineStr">
        <is>
          <t>DV-130[0].Page6[0].List20[0].Li3[0].item3relation2_tf10[0]</t>
        </is>
      </c>
      <c r="F151" s="8" t="inlineStr">
        <is>
          <t>text</t>
        </is>
      </c>
      <c r="G151" s="8" t="inlineStr"/>
      <c r="H151" s="8" t="inlineStr"/>
      <c r="I151" s="8" t="inlineStr">
        <is>
          <t>236, 663, 341, 676</t>
        </is>
      </c>
      <c r="J151" s="8" t="inlineStr">
        <is>
          <t>court/clerk</t>
        </is>
      </c>
      <c r="K151" s="8" t="inlineStr"/>
      <c r="L151" s="8" t="inlineStr"/>
      <c r="M151" s="8" t="inlineStr"/>
      <c r="N151" s="8" t="inlineStr">
        <is>
          <t>Judge completes. Court-order rule: party and children info only.</t>
        </is>
      </c>
      <c r="O151" s="8" t="inlineStr"/>
    </row>
    <row r="152">
      <c r="A152" s="8" t="n">
        <v>151</v>
      </c>
      <c r="B152" s="8" t="n">
        <v>6</v>
      </c>
      <c r="C152" s="8" t="inlineStr">
        <is>
          <t>20 (court)</t>
        </is>
      </c>
      <c r="D152" s="8" t="inlineStr">
        <is>
          <t>Breed (if known)</t>
        </is>
      </c>
      <c r="E152" s="8" t="inlineStr">
        <is>
          <t>DV-130[0].Page6[0].List20[0].Li3[0].item3relation1_tf11[0]</t>
        </is>
      </c>
      <c r="F152" s="8" t="inlineStr">
        <is>
          <t>text</t>
        </is>
      </c>
      <c r="G152" s="8" t="inlineStr"/>
      <c r="H152" s="8" t="inlineStr"/>
      <c r="I152" s="8" t="inlineStr">
        <is>
          <t>346, 663, 449, 676</t>
        </is>
      </c>
      <c r="J152" s="8" t="inlineStr">
        <is>
          <t>court/clerk</t>
        </is>
      </c>
      <c r="K152" s="8" t="inlineStr"/>
      <c r="L152" s="8" t="inlineStr"/>
      <c r="M152" s="8" t="inlineStr"/>
      <c r="N152" s="8" t="inlineStr">
        <is>
          <t>Judge completes. Court-order rule: party and children info only.</t>
        </is>
      </c>
      <c r="O152" s="8" t="inlineStr"/>
    </row>
    <row r="153">
      <c r="A153" s="8" t="n">
        <v>152</v>
      </c>
      <c r="B153" s="8" t="n">
        <v>6</v>
      </c>
      <c r="C153" s="8" t="inlineStr">
        <is>
          <t>20 (court)</t>
        </is>
      </c>
      <c r="D153" s="8" t="inlineStr">
        <is>
          <t>Color</t>
        </is>
      </c>
      <c r="E153" s="8" t="inlineStr">
        <is>
          <t>DV-130[0].Page6[0].List20[0].Li3[0].item3relation1_tf12[0]</t>
        </is>
      </c>
      <c r="F153" s="8" t="inlineStr">
        <is>
          <t>text</t>
        </is>
      </c>
      <c r="G153" s="8" t="inlineStr"/>
      <c r="H153" s="8" t="inlineStr"/>
      <c r="I153" s="8" t="inlineStr">
        <is>
          <t>454, 663, 560, 676</t>
        </is>
      </c>
      <c r="J153" s="8" t="inlineStr">
        <is>
          <t>court/clerk</t>
        </is>
      </c>
      <c r="K153" s="8" t="inlineStr"/>
      <c r="L153" s="8" t="inlineStr"/>
      <c r="M153" s="8" t="inlineStr"/>
      <c r="N153" s="8" t="inlineStr">
        <is>
          <t>Judge completes. Court-order rule: party and children info only.</t>
        </is>
      </c>
      <c r="O153" s="8" t="inlineStr"/>
    </row>
    <row r="154">
      <c r="A154" s="8" t="n">
        <v>153</v>
      </c>
      <c r="B154" s="8" t="n">
        <v>6</v>
      </c>
      <c r="C154" s="8" t="inlineStr">
        <is>
          <t>20 (court)</t>
        </is>
      </c>
      <c r="D154" s="8" t="inlineStr">
        <is>
          <t>Name (or other way to ID animal)</t>
        </is>
      </c>
      <c r="E154" s="8" t="inlineStr">
        <is>
          <t>DV-130[0].Page6[0].List20[0].Li3[0].item3FullName3_tf13[0]</t>
        </is>
      </c>
      <c r="F154" s="8" t="inlineStr">
        <is>
          <t>text</t>
        </is>
      </c>
      <c r="G154" s="8" t="inlineStr"/>
      <c r="H154" s="8" t="inlineStr"/>
      <c r="I154" s="8" t="inlineStr">
        <is>
          <t>72, 676, 231, 689</t>
        </is>
      </c>
      <c r="J154" s="8" t="inlineStr">
        <is>
          <t>court/clerk</t>
        </is>
      </c>
      <c r="K154" s="8" t="inlineStr"/>
      <c r="L154" s="8" t="inlineStr"/>
      <c r="M154" s="8" t="inlineStr"/>
      <c r="N154" s="8" t="inlineStr">
        <is>
          <t>Judge completes. Court-order rule: party and children info only.</t>
        </is>
      </c>
      <c r="O154" s="8" t="inlineStr"/>
    </row>
    <row r="155">
      <c r="A155" s="8" t="n">
        <v>154</v>
      </c>
      <c r="B155" s="8" t="n">
        <v>6</v>
      </c>
      <c r="C155" s="8" t="inlineStr">
        <is>
          <t>20 (court)</t>
        </is>
      </c>
      <c r="D155" s="8" t="inlineStr">
        <is>
          <t>Type of animal</t>
        </is>
      </c>
      <c r="E155" s="8" t="inlineStr">
        <is>
          <t>DV-130[0].Page6[0].List20[0].Li3[0].item3relation2_tf14[0]</t>
        </is>
      </c>
      <c r="F155" s="8" t="inlineStr">
        <is>
          <t>text</t>
        </is>
      </c>
      <c r="G155" s="8" t="inlineStr"/>
      <c r="H155" s="8" t="inlineStr"/>
      <c r="I155" s="8" t="inlineStr">
        <is>
          <t>236, 676, 341, 689</t>
        </is>
      </c>
      <c r="J155" s="8" t="inlineStr">
        <is>
          <t>court/clerk</t>
        </is>
      </c>
      <c r="K155" s="8" t="inlineStr"/>
      <c r="L155" s="8" t="inlineStr"/>
      <c r="M155" s="8" t="inlineStr"/>
      <c r="N155" s="8" t="inlineStr">
        <is>
          <t>Judge completes. Court-order rule: party and children info only.</t>
        </is>
      </c>
      <c r="O155" s="8" t="inlineStr"/>
    </row>
    <row r="156">
      <c r="A156" s="8" t="n">
        <v>155</v>
      </c>
      <c r="B156" s="8" t="n">
        <v>6</v>
      </c>
      <c r="C156" s="8" t="inlineStr">
        <is>
          <t>20 (court)</t>
        </is>
      </c>
      <c r="D156" s="8" t="inlineStr">
        <is>
          <t>Breed (if known)</t>
        </is>
      </c>
      <c r="E156" s="8" t="inlineStr">
        <is>
          <t>DV-130[0].Page6[0].List20[0].Li3[0].item3relation1_tf15[0]</t>
        </is>
      </c>
      <c r="F156" s="8" t="inlineStr">
        <is>
          <t>text</t>
        </is>
      </c>
      <c r="G156" s="8" t="inlineStr"/>
      <c r="H156" s="8" t="inlineStr"/>
      <c r="I156" s="8" t="inlineStr">
        <is>
          <t>346, 676, 449, 689</t>
        </is>
      </c>
      <c r="J156" s="8" t="inlineStr">
        <is>
          <t>court/clerk</t>
        </is>
      </c>
      <c r="K156" s="8" t="inlineStr"/>
      <c r="L156" s="8" t="inlineStr"/>
      <c r="M156" s="8" t="inlineStr"/>
      <c r="N156" s="8" t="inlineStr">
        <is>
          <t>Judge completes. Court-order rule: party and children info only.</t>
        </is>
      </c>
      <c r="O156" s="8" t="inlineStr"/>
    </row>
    <row r="157">
      <c r="A157" s="8" t="n">
        <v>156</v>
      </c>
      <c r="B157" s="8" t="n">
        <v>6</v>
      </c>
      <c r="C157" s="8" t="inlineStr">
        <is>
          <t>20 (court)</t>
        </is>
      </c>
      <c r="D157" s="8" t="inlineStr">
        <is>
          <t>Color</t>
        </is>
      </c>
      <c r="E157" s="8" t="inlineStr">
        <is>
          <t>DV-130[0].Page6[0].List20[0].Li3[0].item3relation1_tf16[0]</t>
        </is>
      </c>
      <c r="F157" s="8" t="inlineStr">
        <is>
          <t>text</t>
        </is>
      </c>
      <c r="G157" s="8" t="inlineStr"/>
      <c r="H157" s="8" t="inlineStr"/>
      <c r="I157" s="8" t="inlineStr">
        <is>
          <t>454, 676, 560, 689</t>
        </is>
      </c>
      <c r="J157" s="8" t="inlineStr">
        <is>
          <t>court/clerk</t>
        </is>
      </c>
      <c r="K157" s="8" t="inlineStr"/>
      <c r="L157" s="8" t="inlineStr"/>
      <c r="M157" s="8" t="inlineStr"/>
      <c r="N157" s="8" t="inlineStr">
        <is>
          <t>Judge completes. Court-order rule: party and children info only.</t>
        </is>
      </c>
      <c r="O157" s="8" t="inlineStr"/>
    </row>
    <row r="158">
      <c r="A158" s="5" t="n">
        <v>157</v>
      </c>
      <c r="B158" s="5" t="n">
        <v>7</v>
      </c>
      <c r="C158" s="5" t="inlineStr">
        <is>
          <t>Caption</t>
        </is>
      </c>
      <c r="D158" s="5" t="inlineStr">
        <is>
          <t>Case Number:</t>
        </is>
      </c>
      <c r="E158" s="5" t="inlineStr">
        <is>
          <t>DV-130[0].Page7[0].Caption[0].CaseNumber_ft[0]</t>
        </is>
      </c>
      <c r="F158" s="5" t="inlineStr">
        <is>
          <t>text</t>
        </is>
      </c>
      <c r="G158" s="5" t="inlineStr"/>
      <c r="H158" s="5" t="inlineStr"/>
      <c r="I158" s="5" t="inlineStr">
        <is>
          <t>401, 48, 576, 64</t>
        </is>
      </c>
      <c r="J158" s="5" t="inlineStr">
        <is>
          <t>question</t>
        </is>
      </c>
      <c r="K158" s="5" t="inlineStr">
        <is>
          <t>X0</t>
        </is>
      </c>
      <c r="L158" s="5">
        <f> X0</f>
        <v/>
      </c>
      <c r="M158" s="5" t="inlineStr">
        <is>
          <t>stage 3</t>
        </is>
      </c>
      <c r="N158" s="5" t="inlineStr"/>
      <c r="O158" s="5" t="inlineStr"/>
    </row>
    <row r="159">
      <c r="A159" s="8" t="n">
        <v>158</v>
      </c>
      <c r="B159" s="8" t="n">
        <v>7</v>
      </c>
      <c r="C159" s="8" t="inlineStr">
        <is>
          <t>21 (court)</t>
        </is>
      </c>
      <c r="D159" s="8" t="inlineStr">
        <is>
          <t>Only the person in item 1 can use, control, and possess the following property:</t>
        </is>
      </c>
      <c r="E159" s="8" t="inlineStr">
        <is>
          <t>DV-130[0].Page7[0].List21[0].Li1[0].PropertyList_ft[0]</t>
        </is>
      </c>
      <c r="F159" s="8" t="inlineStr">
        <is>
          <t>text</t>
        </is>
      </c>
      <c r="G159" s="8" t="inlineStr"/>
      <c r="H159" s="8" t="inlineStr"/>
      <c r="I159" s="8" t="inlineStr">
        <is>
          <t>62, 116, 565, 188</t>
        </is>
      </c>
      <c r="J159" s="8" t="inlineStr">
        <is>
          <t>court/clerk</t>
        </is>
      </c>
      <c r="K159" s="8" t="inlineStr"/>
      <c r="L159" s="8" t="inlineStr"/>
      <c r="M159" s="8" t="inlineStr"/>
      <c r="N159" s="8" t="inlineStr">
        <is>
          <t>Judge completes. Court-order rule: party and children info only.</t>
        </is>
      </c>
      <c r="O159" s="8" t="inlineStr"/>
    </row>
    <row r="160">
      <c r="A160" s="8" t="n">
        <v>159</v>
      </c>
      <c r="B160" s="8" t="n">
        <v>7</v>
      </c>
      <c r="C160" s="8" t="inlineStr">
        <is>
          <t>21 (court)</t>
        </is>
      </c>
      <c r="D160" s="8" t="inlineStr">
        <is>
          <t>Control of Property</t>
        </is>
      </c>
      <c r="E160" s="8" t="inlineStr">
        <is>
          <t>DV-130[0].Page7[0].List21[0].Li1[0].FieldName_cb[0]</t>
        </is>
      </c>
      <c r="F160" s="8" t="inlineStr">
        <is>
          <t>checkbox</t>
        </is>
      </c>
      <c r="G160" s="8" t="inlineStr">
        <is>
          <t>1</t>
        </is>
      </c>
      <c r="H160" s="8" t="inlineStr"/>
      <c r="I160" s="8" t="inlineStr">
        <is>
          <t>62, 85, 71, 94</t>
        </is>
      </c>
      <c r="J160" s="8" t="inlineStr">
        <is>
          <t>court/clerk</t>
        </is>
      </c>
      <c r="K160" s="8" t="inlineStr"/>
      <c r="L160" s="8" t="inlineStr"/>
      <c r="M160" s="8" t="inlineStr"/>
      <c r="N160" s="8" t="inlineStr">
        <is>
          <t>Judge completes. Court-order rule: party and children info only.</t>
        </is>
      </c>
      <c r="O160" s="8" t="inlineStr"/>
    </row>
    <row r="161">
      <c r="A161" s="8" t="n">
        <v>160</v>
      </c>
      <c r="B161" s="8" t="n">
        <v>7</v>
      </c>
      <c r="C161" s="8" t="inlineStr">
        <is>
          <t>22 (court)</t>
        </is>
      </c>
      <c r="D161" s="8" t="inlineStr">
        <is>
          <t>Health and Other Insurance</t>
        </is>
      </c>
      <c r="E161" s="8" t="inlineStr">
        <is>
          <t>DV-130[0].Page7[0].List22[0].Li1[0].CtyChildFreed_cb[0]</t>
        </is>
      </c>
      <c r="F161" s="8" t="inlineStr">
        <is>
          <t>checkbox</t>
        </is>
      </c>
      <c r="G161" s="8" t="inlineStr">
        <is>
          <t>1</t>
        </is>
      </c>
      <c r="H161" s="8" t="inlineStr"/>
      <c r="I161" s="8" t="inlineStr">
        <is>
          <t>61, 222, 70, 231</t>
        </is>
      </c>
      <c r="J161" s="8" t="inlineStr">
        <is>
          <t>court/clerk</t>
        </is>
      </c>
      <c r="K161" s="8" t="inlineStr"/>
      <c r="L161" s="8" t="inlineStr"/>
      <c r="M161" s="8" t="inlineStr"/>
      <c r="N161" s="8" t="inlineStr">
        <is>
          <t>Judge completes. Court-order rule: party and children info only.</t>
        </is>
      </c>
      <c r="O161" s="8" t="inlineStr"/>
    </row>
    <row r="162">
      <c r="A162" s="8" t="n">
        <v>161</v>
      </c>
      <c r="B162" s="8" t="n">
        <v>7</v>
      </c>
      <c r="C162" s="8" t="inlineStr">
        <is>
          <t>22 (court)</t>
        </is>
      </c>
      <c r="D162" s="8" t="inlineStr">
        <is>
          <t>in 1</t>
        </is>
      </c>
      <c r="E162" s="8" t="inlineStr">
        <is>
          <t>DV-130[0].Page7[0].List22[0].Li1[0].PersonIn1_cb[0]</t>
        </is>
      </c>
      <c r="F162" s="8" t="inlineStr">
        <is>
          <t>checkbox</t>
        </is>
      </c>
      <c r="G162" s="8" t="inlineStr">
        <is>
          <t>1</t>
        </is>
      </c>
      <c r="H162" s="8" t="inlineStr"/>
      <c r="I162" s="8" t="inlineStr">
        <is>
          <t>120, 240, 129, 249</t>
        </is>
      </c>
      <c r="J162" s="8" t="inlineStr">
        <is>
          <t>court/clerk</t>
        </is>
      </c>
      <c r="K162" s="8" t="inlineStr"/>
      <c r="L162" s="8" t="inlineStr"/>
      <c r="M162" s="8" t="inlineStr"/>
      <c r="N162" s="8" t="inlineStr">
        <is>
          <t>Judge completes. Court-order rule: party and children info only.</t>
        </is>
      </c>
      <c r="O162" s="8" t="inlineStr"/>
    </row>
    <row r="163">
      <c r="A163" s="8" t="n">
        <v>162</v>
      </c>
      <c r="B163" s="8" t="n">
        <v>7</v>
      </c>
      <c r="C163" s="8" t="inlineStr">
        <is>
          <t>22 (court)</t>
        </is>
      </c>
      <c r="D163" s="8" t="inlineStr">
        <is>
          <t>in 2</t>
        </is>
      </c>
      <c r="E163" s="8" t="inlineStr">
        <is>
          <t>DV-130[0].Page7[0].List22[0].Li1[0].PersonIn2_cb[0]</t>
        </is>
      </c>
      <c r="F163" s="8" t="inlineStr">
        <is>
          <t>checkbox</t>
        </is>
      </c>
      <c r="G163" s="8" t="inlineStr">
        <is>
          <t>1</t>
        </is>
      </c>
      <c r="H163" s="8" t="inlineStr"/>
      <c r="I163" s="8" t="inlineStr">
        <is>
          <t>164, 240, 173, 249</t>
        </is>
      </c>
      <c r="J163" s="8" t="inlineStr">
        <is>
          <t>court/clerk</t>
        </is>
      </c>
      <c r="K163" s="8" t="inlineStr"/>
      <c r="L163" s="8" t="inlineStr"/>
      <c r="M163" s="8" t="inlineStr"/>
      <c r="N163" s="8" t="inlineStr">
        <is>
          <t>Judge completes. Court-order rule: party and children info only.</t>
        </is>
      </c>
      <c r="O163" s="8" t="inlineStr"/>
    </row>
    <row r="164">
      <c r="A164" s="8" t="n">
        <v>163</v>
      </c>
      <c r="B164" s="8" t="n">
        <v>7</v>
      </c>
      <c r="C164" s="8" t="inlineStr">
        <is>
          <t>23 (court)</t>
        </is>
      </c>
      <c r="D164" s="8" t="inlineStr">
        <is>
          <t>Record Communications</t>
        </is>
      </c>
      <c r="E164" s="8" t="inlineStr">
        <is>
          <t>DV-130[0].Page7[0].List23[0].Li1[0].FieldName_cb[0]</t>
        </is>
      </c>
      <c r="F164" s="8" t="inlineStr">
        <is>
          <t>checkbox</t>
        </is>
      </c>
      <c r="G164" s="8" t="inlineStr">
        <is>
          <t>1</t>
        </is>
      </c>
      <c r="H164" s="8" t="inlineStr"/>
      <c r="I164" s="8" t="inlineStr">
        <is>
          <t>62, 316, 71, 325</t>
        </is>
      </c>
      <c r="J164" s="8" t="inlineStr">
        <is>
          <t>court/clerk</t>
        </is>
      </c>
      <c r="K164" s="8" t="inlineStr"/>
      <c r="L164" s="8" t="inlineStr"/>
      <c r="M164" s="8" t="inlineStr"/>
      <c r="N164" s="8" t="inlineStr">
        <is>
          <t>Judge completes. Court-order rule: party and children info only.</t>
        </is>
      </c>
      <c r="O164" s="8" t="inlineStr"/>
    </row>
    <row r="165">
      <c r="A165" s="8" t="n">
        <v>164</v>
      </c>
      <c r="B165" s="8" t="n">
        <v>7</v>
      </c>
      <c r="C165" s="8" t="inlineStr">
        <is>
          <t>24 (court)</t>
        </is>
      </c>
      <c r="D165" s="8" t="inlineStr">
        <is>
          <t>in 1</t>
        </is>
      </c>
      <c r="E165" s="8" t="inlineStr">
        <is>
          <t>DV-130[0].Page7[0].List24[0].Li1[0].PersonIn1_cb[0]</t>
        </is>
      </c>
      <c r="F165" s="8" t="inlineStr">
        <is>
          <t>checkbox</t>
        </is>
      </c>
      <c r="G165" s="8" t="inlineStr">
        <is>
          <t>1</t>
        </is>
      </c>
      <c r="H165" s="8" t="inlineStr"/>
      <c r="I165" s="8" t="inlineStr">
        <is>
          <t>120, 411, 129, 420</t>
        </is>
      </c>
      <c r="J165" s="8" t="inlineStr">
        <is>
          <t>court/clerk</t>
        </is>
      </c>
      <c r="K165" s="8" t="inlineStr"/>
      <c r="L165" s="8" t="inlineStr"/>
      <c r="M165" s="8" t="inlineStr"/>
      <c r="N165" s="8" t="inlineStr">
        <is>
          <t>Judge completes. Court-order rule: party and children info only.</t>
        </is>
      </c>
      <c r="O165" s="8" t="inlineStr"/>
    </row>
    <row r="166">
      <c r="A166" s="8" t="n">
        <v>165</v>
      </c>
      <c r="B166" s="8" t="n">
        <v>7</v>
      </c>
      <c r="C166" s="8" t="inlineStr">
        <is>
          <t>24 (court)</t>
        </is>
      </c>
      <c r="D166" s="8" t="inlineStr">
        <is>
          <t>Property Restraint</t>
        </is>
      </c>
      <c r="E166" s="8" t="inlineStr">
        <is>
          <t>DV-130[0].Page7[0].List24[0].Li1[0].FieldName_cb[0]</t>
        </is>
      </c>
      <c r="F166" s="8" t="inlineStr">
        <is>
          <t>checkbox</t>
        </is>
      </c>
      <c r="G166" s="8" t="inlineStr">
        <is>
          <t>1</t>
        </is>
      </c>
      <c r="H166" s="8" t="inlineStr"/>
      <c r="I166" s="8" t="inlineStr">
        <is>
          <t>62, 391, 71, 400</t>
        </is>
      </c>
      <c r="J166" s="8" t="inlineStr">
        <is>
          <t>court/clerk</t>
        </is>
      </c>
      <c r="K166" s="8" t="inlineStr"/>
      <c r="L166" s="8" t="inlineStr"/>
      <c r="M166" s="8" t="inlineStr"/>
      <c r="N166" s="8" t="inlineStr">
        <is>
          <t>Judge completes. Court-order rule: party and children info only.</t>
        </is>
      </c>
      <c r="O166" s="8" t="inlineStr"/>
    </row>
    <row r="167">
      <c r="A167" s="8" t="n">
        <v>166</v>
      </c>
      <c r="B167" s="8" t="n">
        <v>7</v>
      </c>
      <c r="C167" s="8" t="inlineStr">
        <is>
          <t>24 (court)</t>
        </is>
      </c>
      <c r="D167" s="8" t="inlineStr">
        <is>
          <t>in 2</t>
        </is>
      </c>
      <c r="E167" s="8" t="inlineStr">
        <is>
          <t>DV-130[0].Page7[0].List24[0].Li1[0].PersonIn2_cb[0]</t>
        </is>
      </c>
      <c r="F167" s="8" t="inlineStr">
        <is>
          <t>checkbox</t>
        </is>
      </c>
      <c r="G167" s="8" t="inlineStr">
        <is>
          <t>1</t>
        </is>
      </c>
      <c r="H167" s="8" t="inlineStr"/>
      <c r="I167" s="8" t="inlineStr">
        <is>
          <t>165, 411, 174, 420</t>
        </is>
      </c>
      <c r="J167" s="8" t="inlineStr">
        <is>
          <t>court/clerk</t>
        </is>
      </c>
      <c r="K167" s="8" t="inlineStr"/>
      <c r="L167" s="8" t="inlineStr"/>
      <c r="M167" s="8" t="inlineStr"/>
      <c r="N167" s="8" t="inlineStr">
        <is>
          <t>Judge completes. Court-order rule: party and children info only.</t>
        </is>
      </c>
      <c r="O167" s="8" t="inlineStr"/>
    </row>
    <row r="168">
      <c r="A168" s="8" t="n">
        <v>167</v>
      </c>
      <c r="B168" s="8" t="n">
        <v>7</v>
      </c>
      <c r="C168" s="8" t="inlineStr">
        <is>
          <t>25 (court)</t>
        </is>
      </c>
      <c r="D168" s="8" t="inlineStr">
        <is>
          <t>Pay Debts (Bills) Owed for Property</t>
        </is>
      </c>
      <c r="E168" s="8" t="inlineStr">
        <is>
          <t>DV-130[0].Page7[0].List25[0].item15_cb[0]</t>
        </is>
      </c>
      <c r="F168" s="8" t="inlineStr">
        <is>
          <t>checkbox</t>
        </is>
      </c>
      <c r="G168" s="8" t="inlineStr">
        <is>
          <t>1</t>
        </is>
      </c>
      <c r="H168" s="8" t="inlineStr"/>
      <c r="I168" s="8" t="inlineStr">
        <is>
          <t>61, 522, 70, 531</t>
        </is>
      </c>
      <c r="J168" s="8" t="inlineStr">
        <is>
          <t>court/clerk</t>
        </is>
      </c>
      <c r="K168" s="8" t="inlineStr"/>
      <c r="L168" s="8" t="inlineStr"/>
      <c r="M168" s="8" t="inlineStr"/>
      <c r="N168" s="8" t="inlineStr">
        <is>
          <t>Judge completes. Court-order rule: party and children info only.</t>
        </is>
      </c>
      <c r="O168" s="8" t="inlineStr"/>
    </row>
    <row r="169">
      <c r="A169" s="8" t="n">
        <v>168</v>
      </c>
      <c r="B169" s="8" t="n">
        <v>7</v>
      </c>
      <c r="C169" s="8" t="inlineStr">
        <is>
          <t>25 (court)</t>
        </is>
      </c>
      <c r="D169" s="8" t="inlineStr">
        <is>
          <t>Pay to:</t>
        </is>
      </c>
      <c r="E169" s="8" t="inlineStr">
        <is>
          <t>DV-130[0].Page7[0].List25[0].Li1[0].List[0].Li1[0].Debt1_PayTo_ft[0]</t>
        </is>
      </c>
      <c r="F169" s="8" t="inlineStr">
        <is>
          <t>text</t>
        </is>
      </c>
      <c r="G169" s="8" t="inlineStr"/>
      <c r="H169" s="8" t="inlineStr"/>
      <c r="I169" s="8" t="inlineStr">
        <is>
          <t>124, 560, 249, 574</t>
        </is>
      </c>
      <c r="J169" s="8" t="inlineStr">
        <is>
          <t>court/clerk</t>
        </is>
      </c>
      <c r="K169" s="8" t="inlineStr"/>
      <c r="L169" s="8" t="inlineStr"/>
      <c r="M169" s="8" t="inlineStr"/>
      <c r="N169" s="8" t="inlineStr">
        <is>
          <t>Judge completes. Court-order rule: party and children info only.</t>
        </is>
      </c>
      <c r="O169" s="8" t="inlineStr"/>
    </row>
    <row r="170">
      <c r="A170" s="8" t="n">
        <v>169</v>
      </c>
      <c r="B170" s="8" t="n">
        <v>7</v>
      </c>
      <c r="C170" s="8" t="inlineStr">
        <is>
          <t>25 (court)</t>
        </is>
      </c>
      <c r="D170" s="8" t="inlineStr">
        <is>
          <t>For:</t>
        </is>
      </c>
      <c r="E170" s="8" t="inlineStr">
        <is>
          <t>DV-130[0].Page7[0].List25[0].Li1[0].List[0].Li1[0].Debt1_For_ft[0]</t>
        </is>
      </c>
      <c r="F170" s="8" t="inlineStr">
        <is>
          <t>text</t>
        </is>
      </c>
      <c r="G170" s="8" t="inlineStr"/>
      <c r="H170" s="8" t="inlineStr"/>
      <c r="I170" s="8" t="inlineStr">
        <is>
          <t>272, 560, 359, 574</t>
        </is>
      </c>
      <c r="J170" s="8" t="inlineStr">
        <is>
          <t>court/clerk</t>
        </is>
      </c>
      <c r="K170" s="8" t="inlineStr"/>
      <c r="L170" s="8" t="inlineStr"/>
      <c r="M170" s="8" t="inlineStr"/>
      <c r="N170" s="8" t="inlineStr">
        <is>
          <t>Judge completes. Court-order rule: party and children info only.</t>
        </is>
      </c>
      <c r="O170" s="8" t="inlineStr"/>
    </row>
    <row r="171">
      <c r="A171" s="8" t="n">
        <v>170</v>
      </c>
      <c r="B171" s="8" t="n">
        <v>7</v>
      </c>
      <c r="C171" s="8" t="inlineStr">
        <is>
          <t>25 (court)</t>
        </is>
      </c>
      <c r="D171" s="8" t="inlineStr">
        <is>
          <t>Amount: $</t>
        </is>
      </c>
      <c r="E171" s="8" t="inlineStr">
        <is>
          <t>DV-130[0].Page7[0].List25[0].Li1[0].List[0].Li1[0].Debt1_Amount_ft[0]</t>
        </is>
      </c>
      <c r="F171" s="8" t="inlineStr">
        <is>
          <t>text</t>
        </is>
      </c>
      <c r="G171" s="8" t="inlineStr"/>
      <c r="H171" s="8" t="inlineStr"/>
      <c r="I171" s="8" t="inlineStr">
        <is>
          <t>408, 560, 473, 574</t>
        </is>
      </c>
      <c r="J171" s="8" t="inlineStr">
        <is>
          <t>court/clerk</t>
        </is>
      </c>
      <c r="K171" s="8" t="inlineStr"/>
      <c r="L171" s="8" t="inlineStr"/>
      <c r="M171" s="8" t="inlineStr"/>
      <c r="N171" s="8" t="inlineStr">
        <is>
          <t>Judge completes. Court-order rule: party and children info only.</t>
        </is>
      </c>
      <c r="O171" s="8" t="inlineStr"/>
    </row>
    <row r="172">
      <c r="A172" s="8" t="n">
        <v>171</v>
      </c>
      <c r="B172" s="8" t="n">
        <v>7</v>
      </c>
      <c r="C172" s="8" t="inlineStr">
        <is>
          <t>25 (court)</t>
        </is>
      </c>
      <c r="D172" s="8" t="inlineStr">
        <is>
          <t>Due date:</t>
        </is>
      </c>
      <c r="E172" s="8" t="inlineStr">
        <is>
          <t>DV-130[0].Page7[0].List25[0].Li1[0].List[0].Li1[0].Debt1_DueDate_dt[0]</t>
        </is>
      </c>
      <c r="F172" s="8" t="inlineStr">
        <is>
          <t>text</t>
        </is>
      </c>
      <c r="G172" s="8" t="inlineStr"/>
      <c r="H172" s="8" t="inlineStr"/>
      <c r="I172" s="8" t="inlineStr">
        <is>
          <t>518, 560, 575, 574</t>
        </is>
      </c>
      <c r="J172" s="8" t="inlineStr">
        <is>
          <t>court/clerk</t>
        </is>
      </c>
      <c r="K172" s="8" t="inlineStr"/>
      <c r="L172" s="8" t="inlineStr"/>
      <c r="M172" s="8" t="inlineStr"/>
      <c r="N172" s="8" t="inlineStr">
        <is>
          <t>Judge completes. Court-order rule: party and children info only.</t>
        </is>
      </c>
      <c r="O172" s="8" t="inlineStr"/>
    </row>
    <row r="173">
      <c r="A173" s="8" t="n">
        <v>172</v>
      </c>
      <c r="B173" s="8" t="n">
        <v>7</v>
      </c>
      <c r="C173" s="8" t="inlineStr">
        <is>
          <t>25 (court)</t>
        </is>
      </c>
      <c r="D173" s="8" t="inlineStr">
        <is>
          <t>Pay to:</t>
        </is>
      </c>
      <c r="E173" s="8" t="inlineStr">
        <is>
          <t>DV-130[0].Page7[0].List25[0].Li1[0].List[0].Li2[0].Debt2_PayTo_ft[0]</t>
        </is>
      </c>
      <c r="F173" s="8" t="inlineStr">
        <is>
          <t>text</t>
        </is>
      </c>
      <c r="G173" s="8" t="inlineStr"/>
      <c r="H173" s="8" t="inlineStr"/>
      <c r="I173" s="8" t="inlineStr">
        <is>
          <t>124, 579, 249, 593</t>
        </is>
      </c>
      <c r="J173" s="8" t="inlineStr">
        <is>
          <t>court/clerk</t>
        </is>
      </c>
      <c r="K173" s="8" t="inlineStr"/>
      <c r="L173" s="8" t="inlineStr"/>
      <c r="M173" s="8" t="inlineStr"/>
      <c r="N173" s="8" t="inlineStr">
        <is>
          <t>Judge completes. Court-order rule: party and children info only.</t>
        </is>
      </c>
      <c r="O173" s="8" t="inlineStr"/>
    </row>
    <row r="174">
      <c r="A174" s="8" t="n">
        <v>173</v>
      </c>
      <c r="B174" s="8" t="n">
        <v>7</v>
      </c>
      <c r="C174" s="8" t="inlineStr">
        <is>
          <t>25 (court)</t>
        </is>
      </c>
      <c r="D174" s="8" t="inlineStr">
        <is>
          <t>For:</t>
        </is>
      </c>
      <c r="E174" s="8" t="inlineStr">
        <is>
          <t>DV-130[0].Page7[0].List25[0].Li1[0].List[0].Li2[0].Debt2_For_ft[0]</t>
        </is>
      </c>
      <c r="F174" s="8" t="inlineStr">
        <is>
          <t>text</t>
        </is>
      </c>
      <c r="G174" s="8" t="inlineStr"/>
      <c r="H174" s="8" t="inlineStr"/>
      <c r="I174" s="8" t="inlineStr">
        <is>
          <t>272, 579, 359, 593</t>
        </is>
      </c>
      <c r="J174" s="8" t="inlineStr">
        <is>
          <t>court/clerk</t>
        </is>
      </c>
      <c r="K174" s="8" t="inlineStr"/>
      <c r="L174" s="8" t="inlineStr"/>
      <c r="M174" s="8" t="inlineStr"/>
      <c r="N174" s="8" t="inlineStr">
        <is>
          <t>Judge completes. Court-order rule: party and children info only.</t>
        </is>
      </c>
      <c r="O174" s="8" t="inlineStr"/>
    </row>
    <row r="175">
      <c r="A175" s="8" t="n">
        <v>174</v>
      </c>
      <c r="B175" s="8" t="n">
        <v>7</v>
      </c>
      <c r="C175" s="8" t="inlineStr">
        <is>
          <t>25 (court)</t>
        </is>
      </c>
      <c r="D175" s="8" t="inlineStr">
        <is>
          <t>Amount: $</t>
        </is>
      </c>
      <c r="E175" s="8" t="inlineStr">
        <is>
          <t>DV-130[0].Page7[0].List25[0].Li1[0].List[0].Li2[0].Debt2_Amount_no[0]</t>
        </is>
      </c>
      <c r="F175" s="8" t="inlineStr">
        <is>
          <t>text</t>
        </is>
      </c>
      <c r="G175" s="8" t="inlineStr"/>
      <c r="H175" s="8" t="inlineStr"/>
      <c r="I175" s="8" t="inlineStr">
        <is>
          <t>408, 579, 473, 593</t>
        </is>
      </c>
      <c r="J175" s="8" t="inlineStr">
        <is>
          <t>court/clerk</t>
        </is>
      </c>
      <c r="K175" s="8" t="inlineStr"/>
      <c r="L175" s="8" t="inlineStr"/>
      <c r="M175" s="8" t="inlineStr"/>
      <c r="N175" s="8" t="inlineStr">
        <is>
          <t>Judge completes. Court-order rule: party and children info only.</t>
        </is>
      </c>
      <c r="O175" s="8" t="inlineStr"/>
    </row>
    <row r="176">
      <c r="A176" s="8" t="n">
        <v>175</v>
      </c>
      <c r="B176" s="8" t="n">
        <v>7</v>
      </c>
      <c r="C176" s="8" t="inlineStr">
        <is>
          <t>25 (court)</t>
        </is>
      </c>
      <c r="D176" s="8" t="inlineStr">
        <is>
          <t>Due date:</t>
        </is>
      </c>
      <c r="E176" s="8" t="inlineStr">
        <is>
          <t>DV-130[0].Page7[0].List25[0].Li1[0].List[0].Li2[0].Debt2_DateDue_dt[0]</t>
        </is>
      </c>
      <c r="F176" s="8" t="inlineStr">
        <is>
          <t>text</t>
        </is>
      </c>
      <c r="G176" s="8" t="inlineStr"/>
      <c r="H176" s="8" t="inlineStr"/>
      <c r="I176" s="8" t="inlineStr">
        <is>
          <t>517, 579, 575, 593</t>
        </is>
      </c>
      <c r="J176" s="8" t="inlineStr">
        <is>
          <t>court/clerk</t>
        </is>
      </c>
      <c r="K176" s="8" t="inlineStr"/>
      <c r="L176" s="8" t="inlineStr"/>
      <c r="M176" s="8" t="inlineStr"/>
      <c r="N176" s="8" t="inlineStr">
        <is>
          <t>Judge completes. Court-order rule: party and children info only.</t>
        </is>
      </c>
      <c r="O176" s="8" t="inlineStr"/>
    </row>
    <row r="177">
      <c r="A177" s="8" t="n">
        <v>176</v>
      </c>
      <c r="B177" s="8" t="n">
        <v>7</v>
      </c>
      <c r="C177" s="8" t="inlineStr">
        <is>
          <t>25 (court)</t>
        </is>
      </c>
      <c r="D177" s="8" t="inlineStr">
        <is>
          <t>Pay to:</t>
        </is>
      </c>
      <c r="E177" s="8" t="inlineStr">
        <is>
          <t>DV-130[0].Page7[0].List25[0].Li1[0].List[0].Li3[0].Debt3_Payto_ft[0]</t>
        </is>
      </c>
      <c r="F177" s="8" t="inlineStr">
        <is>
          <t>text</t>
        </is>
      </c>
      <c r="G177" s="8" t="inlineStr"/>
      <c r="H177" s="8" t="inlineStr"/>
      <c r="I177" s="8" t="inlineStr">
        <is>
          <t>124, 598, 249, 612</t>
        </is>
      </c>
      <c r="J177" s="8" t="inlineStr">
        <is>
          <t>court/clerk</t>
        </is>
      </c>
      <c r="K177" s="8" t="inlineStr"/>
      <c r="L177" s="8" t="inlineStr"/>
      <c r="M177" s="8" t="inlineStr"/>
      <c r="N177" s="8" t="inlineStr">
        <is>
          <t>Judge completes. Court-order rule: party and children info only.</t>
        </is>
      </c>
      <c r="O177" s="8" t="inlineStr"/>
    </row>
    <row r="178">
      <c r="A178" s="8" t="n">
        <v>177</v>
      </c>
      <c r="B178" s="8" t="n">
        <v>7</v>
      </c>
      <c r="C178" s="8" t="inlineStr">
        <is>
          <t>25 (court)</t>
        </is>
      </c>
      <c r="D178" s="8" t="inlineStr">
        <is>
          <t>For:</t>
        </is>
      </c>
      <c r="E178" s="8" t="inlineStr">
        <is>
          <t>DV-130[0].Page7[0].List25[0].Li1[0].List[0].Li3[0].Debt3_For_ft[0]</t>
        </is>
      </c>
      <c r="F178" s="8" t="inlineStr">
        <is>
          <t>text</t>
        </is>
      </c>
      <c r="G178" s="8" t="inlineStr"/>
      <c r="H178" s="8" t="inlineStr"/>
      <c r="I178" s="8" t="inlineStr">
        <is>
          <t>272, 598, 359, 612</t>
        </is>
      </c>
      <c r="J178" s="8" t="inlineStr">
        <is>
          <t>court/clerk</t>
        </is>
      </c>
      <c r="K178" s="8" t="inlineStr"/>
      <c r="L178" s="8" t="inlineStr"/>
      <c r="M178" s="8" t="inlineStr"/>
      <c r="N178" s="8" t="inlineStr">
        <is>
          <t>Judge completes. Court-order rule: party and children info only.</t>
        </is>
      </c>
      <c r="O178" s="8" t="inlineStr"/>
    </row>
    <row r="179">
      <c r="A179" s="8" t="n">
        <v>178</v>
      </c>
      <c r="B179" s="8" t="n">
        <v>7</v>
      </c>
      <c r="C179" s="8" t="inlineStr">
        <is>
          <t>25 (court)</t>
        </is>
      </c>
      <c r="D179" s="8" t="inlineStr">
        <is>
          <t>Amount: $</t>
        </is>
      </c>
      <c r="E179" s="8" t="inlineStr">
        <is>
          <t>DV-130[0].Page7[0].List25[0].Li1[0].List[0].Li3[0].Debt3_Amount_no[0]</t>
        </is>
      </c>
      <c r="F179" s="8" t="inlineStr">
        <is>
          <t>text</t>
        </is>
      </c>
      <c r="G179" s="8" t="inlineStr"/>
      <c r="H179" s="8" t="inlineStr"/>
      <c r="I179" s="8" t="inlineStr">
        <is>
          <t>408, 598, 473, 612</t>
        </is>
      </c>
      <c r="J179" s="8" t="inlineStr">
        <is>
          <t>court/clerk</t>
        </is>
      </c>
      <c r="K179" s="8" t="inlineStr"/>
      <c r="L179" s="8" t="inlineStr"/>
      <c r="M179" s="8" t="inlineStr"/>
      <c r="N179" s="8" t="inlineStr">
        <is>
          <t>Judge completes. Court-order rule: party and children info only.</t>
        </is>
      </c>
      <c r="O179" s="8" t="inlineStr"/>
    </row>
    <row r="180">
      <c r="A180" s="8" t="n">
        <v>179</v>
      </c>
      <c r="B180" s="8" t="n">
        <v>7</v>
      </c>
      <c r="C180" s="8" t="inlineStr">
        <is>
          <t>25 (court)</t>
        </is>
      </c>
      <c r="D180" s="8" t="inlineStr">
        <is>
          <t>Due date:</t>
        </is>
      </c>
      <c r="E180" s="8" t="inlineStr">
        <is>
          <t>DV-130[0].Page7[0].List25[0].Li1[0].List[0].Li3[0].Debt3_DueDate_dt[0]</t>
        </is>
      </c>
      <c r="F180" s="8" t="inlineStr">
        <is>
          <t>text</t>
        </is>
      </c>
      <c r="G180" s="8" t="inlineStr"/>
      <c r="H180" s="8" t="inlineStr"/>
      <c r="I180" s="8" t="inlineStr">
        <is>
          <t>517, 598, 575, 612</t>
        </is>
      </c>
      <c r="J180" s="8" t="inlineStr">
        <is>
          <t>court/clerk</t>
        </is>
      </c>
      <c r="K180" s="8" t="inlineStr"/>
      <c r="L180" s="8" t="inlineStr"/>
      <c r="M180" s="8" t="inlineStr"/>
      <c r="N180" s="8" t="inlineStr">
        <is>
          <t>Judge completes. Court-order rule: party and children info only.</t>
        </is>
      </c>
      <c r="O180" s="8" t="inlineStr"/>
    </row>
    <row r="181">
      <c r="A181" s="8" t="n">
        <v>180</v>
      </c>
      <c r="B181" s="8" t="n">
        <v>7</v>
      </c>
      <c r="C181" s="8" t="inlineStr">
        <is>
          <t>25 (court)</t>
        </is>
      </c>
      <c r="D181" s="8" t="inlineStr">
        <is>
          <t>The court finds that the debt or debts listed above in</t>
        </is>
      </c>
      <c r="E181" s="8" t="inlineStr">
        <is>
          <t>DV-130[0].Page7[0].List25[0].Li2[0].CheckBoxRightCaption1[0]</t>
        </is>
      </c>
      <c r="F181" s="8" t="inlineStr">
        <is>
          <t>checkbox</t>
        </is>
      </c>
      <c r="G181" s="8" t="inlineStr">
        <is>
          <t>1</t>
        </is>
      </c>
      <c r="H181" s="8" t="inlineStr"/>
      <c r="I181" s="8" t="inlineStr">
        <is>
          <t>73, 634, 82, 643</t>
        </is>
      </c>
      <c r="J181" s="8" t="inlineStr">
        <is>
          <t>court/clerk</t>
        </is>
      </c>
      <c r="K181" s="8" t="inlineStr"/>
      <c r="L181" s="8" t="inlineStr"/>
      <c r="M181" s="8" t="inlineStr"/>
      <c r="N181" s="8" t="inlineStr">
        <is>
          <t>Judge completes. Court-order rule: party and children info only.</t>
        </is>
      </c>
      <c r="O181" s="8" t="inlineStr"/>
    </row>
    <row r="182">
      <c r="A182" s="8" t="n">
        <v>181</v>
      </c>
      <c r="B182" s="8" t="n">
        <v>7</v>
      </c>
      <c r="C182" s="8" t="inlineStr">
        <is>
          <t>25 (court)</t>
        </is>
      </c>
      <c r="D182" s="8" t="inlineStr">
        <is>
          <t>a(1)</t>
        </is>
      </c>
      <c r="E182" s="8" t="inlineStr">
        <is>
          <t>DV-130[0].Page7[0].List25[0].Li2[0].CheckBoxRightCaption2[0]</t>
        </is>
      </c>
      <c r="F182" s="8" t="inlineStr">
        <is>
          <t>checkbox</t>
        </is>
      </c>
      <c r="G182" s="8" t="inlineStr">
        <is>
          <t>1</t>
        </is>
      </c>
      <c r="H182" s="8" t="inlineStr"/>
      <c r="I182" s="8" t="inlineStr">
        <is>
          <t>322, 633, 331, 642</t>
        </is>
      </c>
      <c r="J182" s="8" t="inlineStr">
        <is>
          <t>court/clerk</t>
        </is>
      </c>
      <c r="K182" s="8" t="inlineStr"/>
      <c r="L182" s="8" t="inlineStr"/>
      <c r="M182" s="8" t="inlineStr"/>
      <c r="N182" s="8" t="inlineStr">
        <is>
          <t>Judge completes. Court-order rule: party and children info only.</t>
        </is>
      </c>
      <c r="O182" s="8" t="inlineStr"/>
    </row>
    <row r="183">
      <c r="A183" s="8" t="n">
        <v>182</v>
      </c>
      <c r="B183" s="8" t="n">
        <v>7</v>
      </c>
      <c r="C183" s="8" t="inlineStr">
        <is>
          <t>25 (court)</t>
        </is>
      </c>
      <c r="D183" s="8" t="inlineStr">
        <is>
          <t>a(2)</t>
        </is>
      </c>
      <c r="E183" s="8" t="inlineStr">
        <is>
          <t>DV-130[0].Page7[0].List25[0].Li2[0].CheckBoxRightCaption3[0]</t>
        </is>
      </c>
      <c r="F183" s="8" t="inlineStr">
        <is>
          <t>checkbox</t>
        </is>
      </c>
      <c r="G183" s="8" t="inlineStr">
        <is>
          <t>1</t>
        </is>
      </c>
      <c r="H183" s="8" t="inlineStr"/>
      <c r="I183" s="8" t="inlineStr">
        <is>
          <t>366, 633, 375, 642</t>
        </is>
      </c>
      <c r="J183" s="8" t="inlineStr">
        <is>
          <t>court/clerk</t>
        </is>
      </c>
      <c r="K183" s="8" t="inlineStr"/>
      <c r="L183" s="8" t="inlineStr"/>
      <c r="M183" s="8" t="inlineStr"/>
      <c r="N183" s="8" t="inlineStr">
        <is>
          <t>Judge completes. Court-order rule: party and children info only.</t>
        </is>
      </c>
      <c r="O183" s="8" t="inlineStr"/>
    </row>
    <row r="184">
      <c r="A184" s="8" t="n">
        <v>183</v>
      </c>
      <c r="B184" s="8" t="n">
        <v>7</v>
      </c>
      <c r="C184" s="8" t="inlineStr">
        <is>
          <t>25 (court)</t>
        </is>
      </c>
      <c r="D184" s="8" t="inlineStr">
        <is>
          <t>a(3)</t>
        </is>
      </c>
      <c r="E184" s="8" t="inlineStr">
        <is>
          <t>DV-130[0].Page7[0].List25[0].Li2[0].CheckBoxRightCaption4[0]</t>
        </is>
      </c>
      <c r="F184" s="8" t="inlineStr">
        <is>
          <t>checkbox</t>
        </is>
      </c>
      <c r="G184" s="8" t="inlineStr">
        <is>
          <t>1</t>
        </is>
      </c>
      <c r="H184" s="8" t="inlineStr"/>
      <c r="I184" s="8" t="inlineStr">
        <is>
          <t>412, 634, 421, 643</t>
        </is>
      </c>
      <c r="J184" s="8" t="inlineStr">
        <is>
          <t>court/clerk</t>
        </is>
      </c>
      <c r="K184" s="8" t="inlineStr"/>
      <c r="L184" s="8" t="inlineStr"/>
      <c r="M184" s="8" t="inlineStr"/>
      <c r="N184" s="8" t="inlineStr">
        <is>
          <t>Judge completes. Court-order rule: party and children info only.</t>
        </is>
      </c>
      <c r="O184" s="8" t="inlineStr"/>
    </row>
    <row r="185">
      <c r="A185" s="5" t="n">
        <v>184</v>
      </c>
      <c r="B185" s="5" t="n">
        <v>8</v>
      </c>
      <c r="C185" s="5" t="inlineStr">
        <is>
          <t>Caption</t>
        </is>
      </c>
      <c r="D185" s="5" t="inlineStr">
        <is>
          <t>Case Number:</t>
        </is>
      </c>
      <c r="E185" s="5" t="inlineStr">
        <is>
          <t>DV-130[0].Page8[0].CaseNumber_ft[0]</t>
        </is>
      </c>
      <c r="F185" s="5" t="inlineStr">
        <is>
          <t>text</t>
        </is>
      </c>
      <c r="G185" s="5" t="inlineStr"/>
      <c r="H185" s="5" t="inlineStr"/>
      <c r="I185" s="5" t="inlineStr">
        <is>
          <t>401, 47, 576, 62</t>
        </is>
      </c>
      <c r="J185" s="5" t="inlineStr">
        <is>
          <t>question</t>
        </is>
      </c>
      <c r="K185" s="5" t="inlineStr">
        <is>
          <t>X0</t>
        </is>
      </c>
      <c r="L185" s="5">
        <f> X0</f>
        <v/>
      </c>
      <c r="M185" s="5" t="inlineStr">
        <is>
          <t>stage 3</t>
        </is>
      </c>
      <c r="N185" s="5" t="inlineStr"/>
      <c r="O185" s="5" t="inlineStr"/>
    </row>
    <row r="186">
      <c r="A186" s="8" t="n">
        <v>185</v>
      </c>
      <c r="B186" s="8" t="n">
        <v>8</v>
      </c>
      <c r="C186" s="8" t="inlineStr">
        <is>
          <t>26 (court)</t>
        </is>
      </c>
      <c r="D186" s="8" t="inlineStr">
        <is>
          <t>Pay Expenses Caused by the Abuse</t>
        </is>
      </c>
      <c r="E186" s="8" t="inlineStr">
        <is>
          <t>DV-130[0].Page8[0].List26[0].Li1[0].item21_cb[0]</t>
        </is>
      </c>
      <c r="F186" s="8" t="inlineStr">
        <is>
          <t>checkbox</t>
        </is>
      </c>
      <c r="G186" s="8" t="inlineStr">
        <is>
          <t>1</t>
        </is>
      </c>
      <c r="H186" s="8" t="inlineStr"/>
      <c r="I186" s="8" t="inlineStr">
        <is>
          <t>61, 79, 70, 88</t>
        </is>
      </c>
      <c r="J186" s="8" t="inlineStr">
        <is>
          <t>court/clerk</t>
        </is>
      </c>
      <c r="K186" s="8" t="inlineStr"/>
      <c r="L186" s="8" t="inlineStr"/>
      <c r="M186" s="8" t="inlineStr"/>
      <c r="N186" s="8" t="inlineStr">
        <is>
          <t>Judge completes. Court-order rule: party and children info only.</t>
        </is>
      </c>
      <c r="O186" s="8" t="inlineStr"/>
    </row>
    <row r="187">
      <c r="A187" s="8" t="n">
        <v>186</v>
      </c>
      <c r="B187" s="8" t="n">
        <v>8</v>
      </c>
      <c r="C187" s="8" t="inlineStr">
        <is>
          <t>26 (court)</t>
        </is>
      </c>
      <c r="D187" s="8" t="inlineStr">
        <is>
          <t>Pay to:</t>
        </is>
      </c>
      <c r="E187" s="8" t="inlineStr">
        <is>
          <t>DV-130[0].Page8[0].List26[0].Li1[0].CostsAndServices1_PayTo_ft[0]</t>
        </is>
      </c>
      <c r="F187" s="8" t="inlineStr">
        <is>
          <t>text</t>
        </is>
      </c>
      <c r="G187" s="8" t="inlineStr"/>
      <c r="H187" s="8" t="inlineStr"/>
      <c r="I187" s="8" t="inlineStr">
        <is>
          <t>95, 111, 225, 125</t>
        </is>
      </c>
      <c r="J187" s="8" t="inlineStr">
        <is>
          <t>court/clerk</t>
        </is>
      </c>
      <c r="K187" s="8" t="inlineStr"/>
      <c r="L187" s="8" t="inlineStr"/>
      <c r="M187" s="8" t="inlineStr"/>
      <c r="N187" s="8" t="inlineStr">
        <is>
          <t>Judge completes. Court-order rule: party and children info only.</t>
        </is>
      </c>
      <c r="O187" s="8" t="inlineStr"/>
    </row>
    <row r="188">
      <c r="A188" s="8" t="n">
        <v>187</v>
      </c>
      <c r="B188" s="8" t="n">
        <v>8</v>
      </c>
      <c r="C188" s="8" t="inlineStr">
        <is>
          <t>26 (court)</t>
        </is>
      </c>
      <c r="D188" s="8" t="inlineStr">
        <is>
          <t>For:</t>
        </is>
      </c>
      <c r="E188" s="8" t="inlineStr">
        <is>
          <t>DV-130[0].Page8[0].List26[0].Li1[0].CostsAndServices1_For_ft[0]</t>
        </is>
      </c>
      <c r="F188" s="8" t="inlineStr">
        <is>
          <t>text</t>
        </is>
      </c>
      <c r="G188" s="8" t="inlineStr"/>
      <c r="H188" s="8" t="inlineStr"/>
      <c r="I188" s="8" t="inlineStr">
        <is>
          <t>252, 111, 339, 125</t>
        </is>
      </c>
      <c r="J188" s="8" t="inlineStr">
        <is>
          <t>court/clerk</t>
        </is>
      </c>
      <c r="K188" s="8" t="inlineStr"/>
      <c r="L188" s="8" t="inlineStr"/>
      <c r="M188" s="8" t="inlineStr"/>
      <c r="N188" s="8" t="inlineStr">
        <is>
          <t>Judge completes. Court-order rule: party and children info only.</t>
        </is>
      </c>
      <c r="O188" s="8" t="inlineStr"/>
    </row>
    <row r="189">
      <c r="A189" s="8" t="n">
        <v>188</v>
      </c>
      <c r="B189" s="8" t="n">
        <v>8</v>
      </c>
      <c r="C189" s="8" t="inlineStr">
        <is>
          <t>26 (court)</t>
        </is>
      </c>
      <c r="D189" s="8" t="inlineStr">
        <is>
          <t>Amount: $</t>
        </is>
      </c>
      <c r="E189" s="8" t="inlineStr">
        <is>
          <t>DV-130[0].Page8[0].List26[0].Li1[0].CostsAndServices1_Amount_no[0]</t>
        </is>
      </c>
      <c r="F189" s="8" t="inlineStr">
        <is>
          <t>text</t>
        </is>
      </c>
      <c r="G189" s="8" t="inlineStr"/>
      <c r="H189" s="8" t="inlineStr"/>
      <c r="I189" s="8" t="inlineStr">
        <is>
          <t>393, 111, 460, 125</t>
        </is>
      </c>
      <c r="J189" s="8" t="inlineStr">
        <is>
          <t>court/clerk</t>
        </is>
      </c>
      <c r="K189" s="8" t="inlineStr"/>
      <c r="L189" s="8" t="inlineStr"/>
      <c r="M189" s="8" t="inlineStr"/>
      <c r="N189" s="8" t="inlineStr">
        <is>
          <t>Judge completes. Court-order rule: party and children info only.</t>
        </is>
      </c>
      <c r="O189" s="8" t="inlineStr"/>
    </row>
    <row r="190">
      <c r="A190" s="8" t="n">
        <v>189</v>
      </c>
      <c r="B190" s="8" t="n">
        <v>8</v>
      </c>
      <c r="C190" s="8" t="inlineStr">
        <is>
          <t>26 (court)</t>
        </is>
      </c>
      <c r="D190" s="8" t="inlineStr">
        <is>
          <t>Due date:</t>
        </is>
      </c>
      <c r="E190" s="8" t="inlineStr">
        <is>
          <t>DV-130[0].Page8[0].List26[0].Li1[0].CostAndServices1_DueDate_dt[0]</t>
        </is>
      </c>
      <c r="F190" s="8" t="inlineStr">
        <is>
          <t>text</t>
        </is>
      </c>
      <c r="G190" s="8" t="inlineStr"/>
      <c r="H190" s="8" t="inlineStr"/>
      <c r="I190" s="8" t="inlineStr">
        <is>
          <t>505, 111, 572, 125</t>
        </is>
      </c>
      <c r="J190" s="8" t="inlineStr">
        <is>
          <t>court/clerk</t>
        </is>
      </c>
      <c r="K190" s="8" t="inlineStr"/>
      <c r="L190" s="8" t="inlineStr"/>
      <c r="M190" s="8" t="inlineStr"/>
      <c r="N190" s="8" t="inlineStr">
        <is>
          <t>Judge completes. Court-order rule: party and children info only.</t>
        </is>
      </c>
      <c r="O190" s="8" t="inlineStr"/>
    </row>
    <row r="191">
      <c r="A191" s="8" t="n">
        <v>190</v>
      </c>
      <c r="B191" s="8" t="n">
        <v>8</v>
      </c>
      <c r="C191" s="8" t="inlineStr">
        <is>
          <t>26 (court)</t>
        </is>
      </c>
      <c r="D191" s="8" t="inlineStr">
        <is>
          <t>Pay to:</t>
        </is>
      </c>
      <c r="E191" s="8" t="inlineStr">
        <is>
          <t>DV-130[0].Page8[0].List26[0].Li1[0].CostsAndServices2_PayTo_ft[0]</t>
        </is>
      </c>
      <c r="F191" s="8" t="inlineStr">
        <is>
          <t>text</t>
        </is>
      </c>
      <c r="G191" s="8" t="inlineStr"/>
      <c r="H191" s="8" t="inlineStr"/>
      <c r="I191" s="8" t="inlineStr">
        <is>
          <t>95, 128, 225, 142</t>
        </is>
      </c>
      <c r="J191" s="8" t="inlineStr">
        <is>
          <t>court/clerk</t>
        </is>
      </c>
      <c r="K191" s="8" t="inlineStr"/>
      <c r="L191" s="8" t="inlineStr"/>
      <c r="M191" s="8" t="inlineStr"/>
      <c r="N191" s="8" t="inlineStr">
        <is>
          <t>Judge completes. Court-order rule: party and children info only.</t>
        </is>
      </c>
      <c r="O191" s="8" t="inlineStr"/>
    </row>
    <row r="192">
      <c r="A192" s="8" t="n">
        <v>191</v>
      </c>
      <c r="B192" s="8" t="n">
        <v>8</v>
      </c>
      <c r="C192" s="8" t="inlineStr">
        <is>
          <t>26 (court)</t>
        </is>
      </c>
      <c r="D192" s="8" t="inlineStr">
        <is>
          <t>For:</t>
        </is>
      </c>
      <c r="E192" s="8" t="inlineStr">
        <is>
          <t>DV-130[0].Page8[0].List26[0].Li1[0].CostsAndServices2_For_ft[0]</t>
        </is>
      </c>
      <c r="F192" s="8" t="inlineStr">
        <is>
          <t>text</t>
        </is>
      </c>
      <c r="G192" s="8" t="inlineStr"/>
      <c r="H192" s="8" t="inlineStr"/>
      <c r="I192" s="8" t="inlineStr">
        <is>
          <t>252, 128, 339, 142</t>
        </is>
      </c>
      <c r="J192" s="8" t="inlineStr">
        <is>
          <t>court/clerk</t>
        </is>
      </c>
      <c r="K192" s="8" t="inlineStr"/>
      <c r="L192" s="8" t="inlineStr"/>
      <c r="M192" s="8" t="inlineStr"/>
      <c r="N192" s="8" t="inlineStr">
        <is>
          <t>Judge completes. Court-order rule: party and children info only.</t>
        </is>
      </c>
      <c r="O192" s="8" t="inlineStr"/>
    </row>
    <row r="193">
      <c r="A193" s="8" t="n">
        <v>192</v>
      </c>
      <c r="B193" s="8" t="n">
        <v>8</v>
      </c>
      <c r="C193" s="8" t="inlineStr">
        <is>
          <t>26 (court)</t>
        </is>
      </c>
      <c r="D193" s="8" t="inlineStr">
        <is>
          <t>Amount: $</t>
        </is>
      </c>
      <c r="E193" s="8" t="inlineStr">
        <is>
          <t>DV-130[0].Page8[0].List26[0].Li1[0].CostsAndServices2_Amount_no[0]</t>
        </is>
      </c>
      <c r="F193" s="8" t="inlineStr">
        <is>
          <t>text</t>
        </is>
      </c>
      <c r="G193" s="8" t="inlineStr"/>
      <c r="H193" s="8" t="inlineStr"/>
      <c r="I193" s="8" t="inlineStr">
        <is>
          <t>393, 128, 460, 142</t>
        </is>
      </c>
      <c r="J193" s="8" t="inlineStr">
        <is>
          <t>court/clerk</t>
        </is>
      </c>
      <c r="K193" s="8" t="inlineStr"/>
      <c r="L193" s="8" t="inlineStr"/>
      <c r="M193" s="8" t="inlineStr"/>
      <c r="N193" s="8" t="inlineStr">
        <is>
          <t>Judge completes. Court-order rule: party and children info only.</t>
        </is>
      </c>
      <c r="O193" s="8" t="inlineStr"/>
    </row>
    <row r="194">
      <c r="A194" s="8" t="n">
        <v>193</v>
      </c>
      <c r="B194" s="8" t="n">
        <v>8</v>
      </c>
      <c r="C194" s="8" t="inlineStr">
        <is>
          <t>26 (court)</t>
        </is>
      </c>
      <c r="D194" s="8" t="inlineStr">
        <is>
          <t>Due date:</t>
        </is>
      </c>
      <c r="E194" s="8" t="inlineStr">
        <is>
          <t>DV-130[0].Page8[0].List26[0].Li1[0].CostsAndServices2_DueDate_dt[0]</t>
        </is>
      </c>
      <c r="F194" s="8" t="inlineStr">
        <is>
          <t>text</t>
        </is>
      </c>
      <c r="G194" s="8" t="inlineStr"/>
      <c r="H194" s="8" t="inlineStr"/>
      <c r="I194" s="8" t="inlineStr">
        <is>
          <t>505, 128, 572, 142</t>
        </is>
      </c>
      <c r="J194" s="8" t="inlineStr">
        <is>
          <t>court/clerk</t>
        </is>
      </c>
      <c r="K194" s="8" t="inlineStr"/>
      <c r="L194" s="8" t="inlineStr"/>
      <c r="M194" s="8" t="inlineStr"/>
      <c r="N194" s="8" t="inlineStr">
        <is>
          <t>Judge completes. Court-order rule: party and children info only.</t>
        </is>
      </c>
      <c r="O194" s="8" t="inlineStr"/>
    </row>
    <row r="195">
      <c r="A195" s="8" t="n">
        <v>194</v>
      </c>
      <c r="B195" s="8" t="n">
        <v>8</v>
      </c>
      <c r="C195" s="8" t="inlineStr">
        <is>
          <t>26 (court)</t>
        </is>
      </c>
      <c r="D195" s="8" t="inlineStr">
        <is>
          <t>Pay to:</t>
        </is>
      </c>
      <c r="E195" s="8" t="inlineStr">
        <is>
          <t>DV-130[0].Page8[0].List26[0].Li1[0].CostsAndServices3_PayTo_ft[0]</t>
        </is>
      </c>
      <c r="F195" s="8" t="inlineStr">
        <is>
          <t>text</t>
        </is>
      </c>
      <c r="G195" s="8" t="inlineStr"/>
      <c r="H195" s="8" t="inlineStr"/>
      <c r="I195" s="8" t="inlineStr">
        <is>
          <t>95, 145, 225, 159</t>
        </is>
      </c>
      <c r="J195" s="8" t="inlineStr">
        <is>
          <t>court/clerk</t>
        </is>
      </c>
      <c r="K195" s="8" t="inlineStr"/>
      <c r="L195" s="8" t="inlineStr"/>
      <c r="M195" s="8" t="inlineStr"/>
      <c r="N195" s="8" t="inlineStr">
        <is>
          <t>Judge completes. Court-order rule: party and children info only.</t>
        </is>
      </c>
      <c r="O195" s="8" t="inlineStr"/>
    </row>
    <row r="196">
      <c r="A196" s="8" t="n">
        <v>195</v>
      </c>
      <c r="B196" s="8" t="n">
        <v>8</v>
      </c>
      <c r="C196" s="8" t="inlineStr">
        <is>
          <t>26 (court)</t>
        </is>
      </c>
      <c r="D196" s="8" t="inlineStr">
        <is>
          <t>For:</t>
        </is>
      </c>
      <c r="E196" s="8" t="inlineStr">
        <is>
          <t>DV-130[0].Page8[0].List26[0].Li1[0].CostsAndServcies3_For_ft[0]</t>
        </is>
      </c>
      <c r="F196" s="8" t="inlineStr">
        <is>
          <t>text</t>
        </is>
      </c>
      <c r="G196" s="8" t="inlineStr"/>
      <c r="H196" s="8" t="inlineStr"/>
      <c r="I196" s="8" t="inlineStr">
        <is>
          <t>252, 145, 339, 159</t>
        </is>
      </c>
      <c r="J196" s="8" t="inlineStr">
        <is>
          <t>court/clerk</t>
        </is>
      </c>
      <c r="K196" s="8" t="inlineStr"/>
      <c r="L196" s="8" t="inlineStr"/>
      <c r="M196" s="8" t="inlineStr"/>
      <c r="N196" s="8" t="inlineStr">
        <is>
          <t>Judge completes. Court-order rule: party and children info only.</t>
        </is>
      </c>
      <c r="O196" s="8" t="inlineStr"/>
    </row>
    <row r="197">
      <c r="A197" s="8" t="n">
        <v>196</v>
      </c>
      <c r="B197" s="8" t="n">
        <v>8</v>
      </c>
      <c r="C197" s="8" t="inlineStr">
        <is>
          <t>26 (court)</t>
        </is>
      </c>
      <c r="D197" s="8" t="inlineStr">
        <is>
          <t>Amount: $</t>
        </is>
      </c>
      <c r="E197" s="8" t="inlineStr">
        <is>
          <t>DV-130[0].Page8[0].List26[0].Li1[0].CostsAndServices3_Amount_no[0]</t>
        </is>
      </c>
      <c r="F197" s="8" t="inlineStr">
        <is>
          <t>text</t>
        </is>
      </c>
      <c r="G197" s="8" t="inlineStr"/>
      <c r="H197" s="8" t="inlineStr"/>
      <c r="I197" s="8" t="inlineStr">
        <is>
          <t>393, 145, 460, 159</t>
        </is>
      </c>
      <c r="J197" s="8" t="inlineStr">
        <is>
          <t>court/clerk</t>
        </is>
      </c>
      <c r="K197" s="8" t="inlineStr"/>
      <c r="L197" s="8" t="inlineStr"/>
      <c r="M197" s="8" t="inlineStr"/>
      <c r="N197" s="8" t="inlineStr">
        <is>
          <t>Judge completes. Court-order rule: party and children info only.</t>
        </is>
      </c>
      <c r="O197" s="8" t="inlineStr"/>
    </row>
    <row r="198">
      <c r="A198" s="8" t="n">
        <v>197</v>
      </c>
      <c r="B198" s="8" t="n">
        <v>8</v>
      </c>
      <c r="C198" s="8" t="inlineStr">
        <is>
          <t>26 (court)</t>
        </is>
      </c>
      <c r="D198" s="8" t="inlineStr">
        <is>
          <t>Due date:</t>
        </is>
      </c>
      <c r="E198" s="8" t="inlineStr">
        <is>
          <t>DV-130[0].Page8[0].List26[0].Li1[0].CostsAndServices3_DueDate_dt[0]</t>
        </is>
      </c>
      <c r="F198" s="8" t="inlineStr">
        <is>
          <t>text</t>
        </is>
      </c>
      <c r="G198" s="8" t="inlineStr"/>
      <c r="H198" s="8" t="inlineStr"/>
      <c r="I198" s="8" t="inlineStr">
        <is>
          <t>505, 145, 572, 159</t>
        </is>
      </c>
      <c r="J198" s="8" t="inlineStr">
        <is>
          <t>court/clerk</t>
        </is>
      </c>
      <c r="K198" s="8" t="inlineStr"/>
      <c r="L198" s="8" t="inlineStr"/>
      <c r="M198" s="8" t="inlineStr"/>
      <c r="N198" s="8" t="inlineStr">
        <is>
          <t>Judge completes. Court-order rule: party and children info only.</t>
        </is>
      </c>
      <c r="O198" s="8" t="inlineStr"/>
    </row>
    <row r="199">
      <c r="A199" s="8" t="n">
        <v>198</v>
      </c>
      <c r="B199" s="8" t="n">
        <v>8</v>
      </c>
      <c r="C199" s="8" t="inlineStr">
        <is>
          <t>27 (court)</t>
        </is>
      </c>
      <c r="D199" s="8" t="inlineStr">
        <is>
          <t>Child Support</t>
        </is>
      </c>
      <c r="E199" s="8" t="inlineStr">
        <is>
          <t>DV-130[0].Page8[0].List27[0].Li1[0].FieldName_cb[0]</t>
        </is>
      </c>
      <c r="F199" s="8" t="inlineStr">
        <is>
          <t>checkbox</t>
        </is>
      </c>
      <c r="G199" s="8" t="inlineStr">
        <is>
          <t>1</t>
        </is>
      </c>
      <c r="H199" s="8" t="inlineStr"/>
      <c r="I199" s="8" t="inlineStr">
        <is>
          <t>61, 201, 70, 210</t>
        </is>
      </c>
      <c r="J199" s="8" t="inlineStr">
        <is>
          <t>court/clerk</t>
        </is>
      </c>
      <c r="K199" s="8" t="inlineStr"/>
      <c r="L199" s="8" t="inlineStr"/>
      <c r="M199" s="8" t="inlineStr"/>
      <c r="N199" s="8" t="inlineStr">
        <is>
          <t>Judge completes. Court-order rule: party and children info only.</t>
        </is>
      </c>
      <c r="O199" s="8" t="inlineStr"/>
    </row>
    <row r="200">
      <c r="A200" s="7" t="n">
        <v>199</v>
      </c>
      <c r="B200" s="7" t="n">
        <v>8</v>
      </c>
      <c r="C200" s="7" t="inlineStr">
        <is>
          <t>—</t>
        </is>
      </c>
      <c r="D200" s="7" t="inlineStr">
        <is>
          <t>form FL-342</t>
        </is>
      </c>
      <c r="E200" s="7" t="inlineStr">
        <is>
          <t>DV-130[0].Page8[0].List27[0].Li1[0].Button1[0]</t>
        </is>
      </c>
      <c r="F200" s="7" t="inlineStr">
        <is>
          <t>button</t>
        </is>
      </c>
      <c r="G200" s="7" t="inlineStr"/>
      <c r="H200" s="7" t="inlineStr"/>
      <c r="I200" s="7" t="inlineStr">
        <is>
          <t>239, 218, 296, 229</t>
        </is>
      </c>
      <c r="J200" s="7" t="inlineStr">
        <is>
          <t>ignore (UI button)</t>
        </is>
      </c>
      <c r="K200" s="7" t="inlineStr"/>
      <c r="L200" s="7" t="inlineStr"/>
      <c r="M200" s="7" t="inlineStr"/>
      <c r="N200" s="7" t="inlineStr">
        <is>
          <t>Print/Save/Clear button. Do not fill.</t>
        </is>
      </c>
      <c r="O200" s="7" t="inlineStr"/>
    </row>
    <row r="201">
      <c r="A201" s="8" t="n">
        <v>200</v>
      </c>
      <c r="B201" s="8" t="n">
        <v>8</v>
      </c>
      <c r="C201" s="8" t="inlineStr">
        <is>
          <t>27 (court)</t>
        </is>
      </c>
      <c r="D201" s="8" t="inlineStr">
        <is>
          <t>list other form</t>
        </is>
      </c>
      <c r="E201" s="8" t="inlineStr">
        <is>
          <t>DV-130[0].Page8[0].List27[0].Li1[0].FormForChildSupportOrders_ft[0]</t>
        </is>
      </c>
      <c r="F201" s="8" t="inlineStr">
        <is>
          <t>text</t>
        </is>
      </c>
      <c r="G201" s="8" t="inlineStr"/>
      <c r="H201" s="8" t="inlineStr"/>
      <c r="I201" s="8" t="inlineStr">
        <is>
          <t>148, 231, 534, 246</t>
        </is>
      </c>
      <c r="J201" s="8" t="inlineStr">
        <is>
          <t>court/clerk</t>
        </is>
      </c>
      <c r="K201" s="8" t="inlineStr"/>
      <c r="L201" s="8" t="inlineStr"/>
      <c r="M201" s="8" t="inlineStr"/>
      <c r="N201" s="8" t="inlineStr">
        <is>
          <t>Judge completes. Court-order rule: party and children info only.</t>
        </is>
      </c>
      <c r="O201" s="8" t="inlineStr"/>
    </row>
    <row r="202">
      <c r="A202" s="8" t="n">
        <v>201</v>
      </c>
      <c r="B202" s="8" t="n">
        <v>8</v>
      </c>
      <c r="C202" s="8" t="inlineStr">
        <is>
          <t>28 (court)</t>
        </is>
      </c>
      <c r="D202" s="8" t="inlineStr">
        <is>
          <t>Spousal Support</t>
        </is>
      </c>
      <c r="E202" s="8" t="inlineStr">
        <is>
          <t>DV-130[0].Page8[0].List28[0].Li1[0].FieldName_cb[0]</t>
        </is>
      </c>
      <c r="F202" s="8" t="inlineStr">
        <is>
          <t>checkbox</t>
        </is>
      </c>
      <c r="G202" s="8" t="inlineStr">
        <is>
          <t>1</t>
        </is>
      </c>
      <c r="H202" s="8" t="inlineStr"/>
      <c r="I202" s="8" t="inlineStr">
        <is>
          <t>61, 285, 70, 294</t>
        </is>
      </c>
      <c r="J202" s="8" t="inlineStr">
        <is>
          <t>court/clerk</t>
        </is>
      </c>
      <c r="K202" s="8" t="inlineStr"/>
      <c r="L202" s="8" t="inlineStr"/>
      <c r="M202" s="8" t="inlineStr"/>
      <c r="N202" s="8" t="inlineStr">
        <is>
          <t>Judge completes. Court-order rule: party and children info only.</t>
        </is>
      </c>
      <c r="O202" s="8" t="inlineStr"/>
    </row>
    <row r="203">
      <c r="A203" s="7" t="n">
        <v>202</v>
      </c>
      <c r="B203" s="7" t="n">
        <v>8</v>
      </c>
      <c r="C203" s="7" t="inlineStr">
        <is>
          <t>—</t>
        </is>
      </c>
      <c r="D203" s="7" t="inlineStr">
        <is>
          <t>form FL-343</t>
        </is>
      </c>
      <c r="E203" s="7" t="inlineStr">
        <is>
          <t>DV-130[0].Page8[0].List28[0].Li1[0].Button1[0]</t>
        </is>
      </c>
      <c r="F203" s="7" t="inlineStr">
        <is>
          <t>button</t>
        </is>
      </c>
      <c r="G203" s="7" t="inlineStr"/>
      <c r="H203" s="7" t="inlineStr"/>
      <c r="I203" s="7" t="inlineStr">
        <is>
          <t>250, 302, 307, 313</t>
        </is>
      </c>
      <c r="J203" s="7" t="inlineStr">
        <is>
          <t>ignore (UI button)</t>
        </is>
      </c>
      <c r="K203" s="7" t="inlineStr"/>
      <c r="L203" s="7" t="inlineStr"/>
      <c r="M203" s="7" t="inlineStr"/>
      <c r="N203" s="7" t="inlineStr">
        <is>
          <t>Print/Save/Clear button. Do not fill.</t>
        </is>
      </c>
      <c r="O203" s="7" t="inlineStr"/>
    </row>
    <row r="204">
      <c r="A204" s="8" t="n">
        <v>203</v>
      </c>
      <c r="B204" s="8" t="n">
        <v>8</v>
      </c>
      <c r="C204" s="8" t="inlineStr">
        <is>
          <t>28 (court)</t>
        </is>
      </c>
      <c r="D204" s="8" t="inlineStr">
        <is>
          <t>attachment or list other form</t>
        </is>
      </c>
      <c r="E204" s="8" t="inlineStr">
        <is>
          <t>DV-130[0].Page8[0].List28[0].Li1[0].SpousalSupportFormOrder_SpecifyFormAttached_ft[0]</t>
        </is>
      </c>
      <c r="F204" s="8" t="inlineStr">
        <is>
          <t>text</t>
        </is>
      </c>
      <c r="G204" s="8" t="inlineStr"/>
      <c r="H204" s="8" t="inlineStr"/>
      <c r="I204" s="8" t="inlineStr">
        <is>
          <t>201, 315, 535, 329</t>
        </is>
      </c>
      <c r="J204" s="8" t="inlineStr">
        <is>
          <t>court/clerk</t>
        </is>
      </c>
      <c r="K204" s="8" t="inlineStr"/>
      <c r="L204" s="8" t="inlineStr"/>
      <c r="M204" s="8" t="inlineStr"/>
      <c r="N204" s="8" t="inlineStr">
        <is>
          <t>Judge completes. Court-order rule: party and children info only.</t>
        </is>
      </c>
      <c r="O204" s="8" t="inlineStr"/>
    </row>
    <row r="205">
      <c r="A205" s="8" t="n">
        <v>204</v>
      </c>
      <c r="B205" s="8" t="n">
        <v>8</v>
      </c>
      <c r="C205" s="8" t="inlineStr">
        <is>
          <t>29 (court)</t>
        </is>
      </c>
      <c r="D205" s="8" t="inlineStr">
        <is>
          <t>Pay to:</t>
        </is>
      </c>
      <c r="E205" s="8" t="inlineStr">
        <is>
          <t>DV-130[0].Page8[0].List29[0].Li1[0].Lawyer1Fees_PayTo_ft[0]</t>
        </is>
      </c>
      <c r="F205" s="8" t="inlineStr">
        <is>
          <t>text</t>
        </is>
      </c>
      <c r="G205" s="8" t="inlineStr"/>
      <c r="H205" s="8" t="inlineStr"/>
      <c r="I205" s="8" t="inlineStr">
        <is>
          <t>95, 400, 227, 414</t>
        </is>
      </c>
      <c r="J205" s="8" t="inlineStr">
        <is>
          <t>court/clerk</t>
        </is>
      </c>
      <c r="K205" s="8" t="inlineStr"/>
      <c r="L205" s="8" t="inlineStr"/>
      <c r="M205" s="8" t="inlineStr"/>
      <c r="N205" s="8" t="inlineStr">
        <is>
          <t>Judge completes. Court-order rule: party and children info only.</t>
        </is>
      </c>
      <c r="O205" s="8" t="inlineStr"/>
    </row>
    <row r="206">
      <c r="A206" s="8" t="n">
        <v>205</v>
      </c>
      <c r="B206" s="8" t="n">
        <v>8</v>
      </c>
      <c r="C206" s="8" t="inlineStr">
        <is>
          <t>29 (court)</t>
        </is>
      </c>
      <c r="D206" s="8" t="inlineStr">
        <is>
          <t>For:</t>
        </is>
      </c>
      <c r="E206" s="8" t="inlineStr">
        <is>
          <t>DV-130[0].Page8[0].List29[0].Li1[0].Lawyer1Fees_For_ft[0]</t>
        </is>
      </c>
      <c r="F206" s="8" t="inlineStr">
        <is>
          <t>text</t>
        </is>
      </c>
      <c r="G206" s="8" t="inlineStr"/>
      <c r="H206" s="8" t="inlineStr"/>
      <c r="I206" s="8" t="inlineStr">
        <is>
          <t>250, 400, 336, 414</t>
        </is>
      </c>
      <c r="J206" s="8" t="inlineStr">
        <is>
          <t>court/clerk</t>
        </is>
      </c>
      <c r="K206" s="8" t="inlineStr"/>
      <c r="L206" s="8" t="inlineStr"/>
      <c r="M206" s="8" t="inlineStr"/>
      <c r="N206" s="8" t="inlineStr">
        <is>
          <t>Judge completes. Court-order rule: party and children info only.</t>
        </is>
      </c>
      <c r="O206" s="8" t="inlineStr"/>
    </row>
    <row r="207">
      <c r="A207" s="8" t="n">
        <v>206</v>
      </c>
      <c r="B207" s="8" t="n">
        <v>8</v>
      </c>
      <c r="C207" s="8" t="inlineStr">
        <is>
          <t>29 (court)</t>
        </is>
      </c>
      <c r="D207" s="8" t="inlineStr">
        <is>
          <t>Lawyer's Fees and Costs</t>
        </is>
      </c>
      <c r="E207" s="8" t="inlineStr">
        <is>
          <t>DV-130[0].Page8[0].List29[0].Li1[0].LawyerFeeCost_cb[0]</t>
        </is>
      </c>
      <c r="F207" s="8" t="inlineStr">
        <is>
          <t>checkbox</t>
        </is>
      </c>
      <c r="G207" s="8" t="inlineStr">
        <is>
          <t>1</t>
        </is>
      </c>
      <c r="H207" s="8" t="inlineStr"/>
      <c r="I207" s="8" t="inlineStr">
        <is>
          <t>61, 369, 70, 378</t>
        </is>
      </c>
      <c r="J207" s="8" t="inlineStr">
        <is>
          <t>court/clerk</t>
        </is>
      </c>
      <c r="K207" s="8" t="inlineStr"/>
      <c r="L207" s="8" t="inlineStr"/>
      <c r="M207" s="8" t="inlineStr"/>
      <c r="N207" s="8" t="inlineStr">
        <is>
          <t>Judge completes. Court-order rule: party and children info only.</t>
        </is>
      </c>
      <c r="O207" s="8" t="inlineStr"/>
    </row>
    <row r="208">
      <c r="A208" s="8" t="n">
        <v>207</v>
      </c>
      <c r="B208" s="8" t="n">
        <v>8</v>
      </c>
      <c r="C208" s="8" t="inlineStr">
        <is>
          <t>29 (court)</t>
        </is>
      </c>
      <c r="D208" s="8" t="inlineStr">
        <is>
          <t>Amount: $</t>
        </is>
      </c>
      <c r="E208" s="8" t="inlineStr">
        <is>
          <t>DV-130[0].Page8[0].List29[0].Li1[0].Lawyer1Fees_Amount_no[0]</t>
        </is>
      </c>
      <c r="F208" s="8" t="inlineStr">
        <is>
          <t>text</t>
        </is>
      </c>
      <c r="G208" s="8" t="inlineStr"/>
      <c r="H208" s="8" t="inlineStr"/>
      <c r="I208" s="8" t="inlineStr">
        <is>
          <t>388, 400, 457, 414</t>
        </is>
      </c>
      <c r="J208" s="8" t="inlineStr">
        <is>
          <t>court/clerk</t>
        </is>
      </c>
      <c r="K208" s="8" t="inlineStr"/>
      <c r="L208" s="8" t="inlineStr"/>
      <c r="M208" s="8" t="inlineStr"/>
      <c r="N208" s="8" t="inlineStr">
        <is>
          <t>Judge completes. Court-order rule: party and children info only.</t>
        </is>
      </c>
      <c r="O208" s="8" t="inlineStr"/>
    </row>
    <row r="209">
      <c r="A209" s="8" t="n">
        <v>208</v>
      </c>
      <c r="B209" s="8" t="n">
        <v>8</v>
      </c>
      <c r="C209" s="8" t="inlineStr">
        <is>
          <t>29 (court)</t>
        </is>
      </c>
      <c r="D209" s="8" t="inlineStr">
        <is>
          <t>Due date:</t>
        </is>
      </c>
      <c r="E209" s="8" t="inlineStr">
        <is>
          <t>DV-130[0].Page8[0].List29[0].Li1[0].Lawyer1Fees_DueDate_dt[0]</t>
        </is>
      </c>
      <c r="F209" s="8" t="inlineStr">
        <is>
          <t>text</t>
        </is>
      </c>
      <c r="G209" s="8" t="inlineStr"/>
      <c r="H209" s="8" t="inlineStr"/>
      <c r="I209" s="8" t="inlineStr">
        <is>
          <t>501, 400, 567, 414</t>
        </is>
      </c>
      <c r="J209" s="8" t="inlineStr">
        <is>
          <t>court/clerk</t>
        </is>
      </c>
      <c r="K209" s="8" t="inlineStr"/>
      <c r="L209" s="8" t="inlineStr"/>
      <c r="M209" s="8" t="inlineStr"/>
      <c r="N209" s="8" t="inlineStr">
        <is>
          <t>Judge completes. Court-order rule: party and children info only.</t>
        </is>
      </c>
      <c r="O209" s="8" t="inlineStr"/>
    </row>
    <row r="210">
      <c r="A210" s="8" t="n">
        <v>209</v>
      </c>
      <c r="B210" s="8" t="n">
        <v>8</v>
      </c>
      <c r="C210" s="8" t="inlineStr">
        <is>
          <t>29 (court)</t>
        </is>
      </c>
      <c r="D210" s="8" t="inlineStr">
        <is>
          <t>Pay to:</t>
        </is>
      </c>
      <c r="E210" s="8" t="inlineStr">
        <is>
          <t>DV-130[0].Page8[0].List29[0].Li1[0].Lawyer2_PayTo_ft[0]</t>
        </is>
      </c>
      <c r="F210" s="8" t="inlineStr">
        <is>
          <t>text</t>
        </is>
      </c>
      <c r="G210" s="8" t="inlineStr"/>
      <c r="H210" s="8" t="inlineStr"/>
      <c r="I210" s="8" t="inlineStr">
        <is>
          <t>95, 416, 227, 431</t>
        </is>
      </c>
      <c r="J210" s="8" t="inlineStr">
        <is>
          <t>court/clerk</t>
        </is>
      </c>
      <c r="K210" s="8" t="inlineStr"/>
      <c r="L210" s="8" t="inlineStr"/>
      <c r="M210" s="8" t="inlineStr"/>
      <c r="N210" s="8" t="inlineStr">
        <is>
          <t>Judge completes. Court-order rule: party and children info only.</t>
        </is>
      </c>
      <c r="O210" s="8" t="inlineStr"/>
    </row>
    <row r="211">
      <c r="A211" s="8" t="n">
        <v>210</v>
      </c>
      <c r="B211" s="8" t="n">
        <v>8</v>
      </c>
      <c r="C211" s="8" t="inlineStr">
        <is>
          <t>29 (court)</t>
        </is>
      </c>
      <c r="D211" s="8" t="inlineStr">
        <is>
          <t>For:</t>
        </is>
      </c>
      <c r="E211" s="8" t="inlineStr">
        <is>
          <t>DV-130[0].Page8[0].List29[0].Li1[0].Lawyer2Fees_For_ft[0]</t>
        </is>
      </c>
      <c r="F211" s="8" t="inlineStr">
        <is>
          <t>text</t>
        </is>
      </c>
      <c r="G211" s="8" t="inlineStr"/>
      <c r="H211" s="8" t="inlineStr"/>
      <c r="I211" s="8" t="inlineStr">
        <is>
          <t>250, 416, 336, 431</t>
        </is>
      </c>
      <c r="J211" s="8" t="inlineStr">
        <is>
          <t>court/clerk</t>
        </is>
      </c>
      <c r="K211" s="8" t="inlineStr"/>
      <c r="L211" s="8" t="inlineStr"/>
      <c r="M211" s="8" t="inlineStr"/>
      <c r="N211" s="8" t="inlineStr">
        <is>
          <t>Judge completes. Court-order rule: party and children info only.</t>
        </is>
      </c>
      <c r="O211" s="8" t="inlineStr"/>
    </row>
    <row r="212">
      <c r="A212" s="8" t="n">
        <v>211</v>
      </c>
      <c r="B212" s="8" t="n">
        <v>8</v>
      </c>
      <c r="C212" s="8" t="inlineStr">
        <is>
          <t>29 (court)</t>
        </is>
      </c>
      <c r="D212" s="8" t="inlineStr">
        <is>
          <t>Amount: $</t>
        </is>
      </c>
      <c r="E212" s="8" t="inlineStr">
        <is>
          <t>DV-130[0].Page8[0].List29[0].Li1[0].LawyerFees_Amount_no[0]</t>
        </is>
      </c>
      <c r="F212" s="8" t="inlineStr">
        <is>
          <t>text</t>
        </is>
      </c>
      <c r="G212" s="8" t="inlineStr"/>
      <c r="H212" s="8" t="inlineStr"/>
      <c r="I212" s="8" t="inlineStr">
        <is>
          <t>388, 416, 457, 431</t>
        </is>
      </c>
      <c r="J212" s="8" t="inlineStr">
        <is>
          <t>court/clerk</t>
        </is>
      </c>
      <c r="K212" s="8" t="inlineStr"/>
      <c r="L212" s="8" t="inlineStr"/>
      <c r="M212" s="8" t="inlineStr"/>
      <c r="N212" s="8" t="inlineStr">
        <is>
          <t>Judge completes. Court-order rule: party and children info only.</t>
        </is>
      </c>
      <c r="O212" s="8" t="inlineStr"/>
    </row>
    <row r="213">
      <c r="A213" s="8" t="n">
        <v>212</v>
      </c>
      <c r="B213" s="8" t="n">
        <v>8</v>
      </c>
      <c r="C213" s="8" t="inlineStr">
        <is>
          <t>29 (court)</t>
        </is>
      </c>
      <c r="D213" s="8" t="inlineStr">
        <is>
          <t>Due date:</t>
        </is>
      </c>
      <c r="E213" s="8" t="inlineStr">
        <is>
          <t>DV-130[0].Page8[0].List29[0].Li1[0].Lawyer2Fees_DueDate_dt[0]</t>
        </is>
      </c>
      <c r="F213" s="8" t="inlineStr">
        <is>
          <t>text</t>
        </is>
      </c>
      <c r="G213" s="8" t="inlineStr"/>
      <c r="H213" s="8" t="inlineStr"/>
      <c r="I213" s="8" t="inlineStr">
        <is>
          <t>501, 416, 567, 431</t>
        </is>
      </c>
      <c r="J213" s="8" t="inlineStr">
        <is>
          <t>court/clerk</t>
        </is>
      </c>
      <c r="K213" s="8" t="inlineStr"/>
      <c r="L213" s="8" t="inlineStr"/>
      <c r="M213" s="8" t="inlineStr"/>
      <c r="N213" s="8" t="inlineStr">
        <is>
          <t>Judge completes. Court-order rule: party and children info only.</t>
        </is>
      </c>
      <c r="O213" s="8" t="inlineStr"/>
    </row>
    <row r="214">
      <c r="A214" s="8" t="n">
        <v>213</v>
      </c>
      <c r="B214" s="8" t="n">
        <v>8</v>
      </c>
      <c r="C214" s="8" t="inlineStr">
        <is>
          <t>30 (court)</t>
        </is>
      </c>
      <c r="D214" s="8" t="inlineStr">
        <is>
          <t>Batterer Intervention Program</t>
        </is>
      </c>
      <c r="E214" s="8" t="inlineStr">
        <is>
          <t>DV-130[0].Page8[0].List30[0].FieldName_cb[0]</t>
        </is>
      </c>
      <c r="F214" s="8" t="inlineStr">
        <is>
          <t>checkbox</t>
        </is>
      </c>
      <c r="G214" s="8" t="inlineStr">
        <is>
          <t>1</t>
        </is>
      </c>
      <c r="H214" s="8" t="inlineStr"/>
      <c r="I214" s="8" t="inlineStr">
        <is>
          <t>62, 470, 71, 479</t>
        </is>
      </c>
      <c r="J214" s="8" t="inlineStr">
        <is>
          <t>court/clerk</t>
        </is>
      </c>
      <c r="K214" s="8" t="inlineStr"/>
      <c r="L214" s="8" t="inlineStr"/>
      <c r="M214" s="8" t="inlineStr"/>
      <c r="N214" s="8" t="inlineStr">
        <is>
          <t>Judge completes. Court-order rule: party and children info only.</t>
        </is>
      </c>
      <c r="O214" s="8" t="inlineStr"/>
    </row>
    <row r="215">
      <c r="A215" s="8" t="n">
        <v>214</v>
      </c>
      <c r="B215" s="8" t="n">
        <v>8</v>
      </c>
      <c r="C215" s="8" t="inlineStr">
        <is>
          <t>30 (court)</t>
        </is>
      </c>
      <c r="D215" s="8" t="inlineStr">
        <is>
          <t>date</t>
        </is>
      </c>
      <c r="E215" s="8" t="inlineStr">
        <is>
          <t>DV-130[0].Page8[0].List30[0].Li2[0].DateTimeField1[0]</t>
        </is>
      </c>
      <c r="F215" s="8" t="inlineStr">
        <is>
          <t>text</t>
        </is>
      </c>
      <c r="G215" s="8" t="inlineStr"/>
      <c r="H215" s="8" t="inlineStr"/>
      <c r="I215" s="8" t="inlineStr">
        <is>
          <t>253, 518, 333, 531</t>
        </is>
      </c>
      <c r="J215" s="8" t="inlineStr">
        <is>
          <t>court/clerk</t>
        </is>
      </c>
      <c r="K215" s="8" t="inlineStr"/>
      <c r="L215" s="8" t="inlineStr"/>
      <c r="M215" s="8" t="inlineStr"/>
      <c r="N215" s="8" t="inlineStr">
        <is>
          <t>Judge completes. Court-order rule: party and children info only.</t>
        </is>
      </c>
      <c r="O215" s="8" t="inlineStr"/>
    </row>
    <row r="216">
      <c r="A216" s="7" t="n">
        <v>215</v>
      </c>
      <c r="B216" s="7" t="n">
        <v>8</v>
      </c>
      <c r="C216" s="7" t="inlineStr">
        <is>
          <t>—</t>
        </is>
      </c>
      <c r="D216" s="7" t="inlineStr">
        <is>
          <t>form DV-805</t>
        </is>
      </c>
      <c r="E216" s="7" t="inlineStr">
        <is>
          <t>DV-130[0].Page8[0].List30[0].Li3[0].Button1[0]</t>
        </is>
      </c>
      <c r="F216" s="7" t="inlineStr">
        <is>
          <t>button</t>
        </is>
      </c>
      <c r="G216" s="7" t="inlineStr"/>
      <c r="H216" s="7" t="inlineStr"/>
      <c r="I216" s="7" t="inlineStr">
        <is>
          <t>289, 550, 352, 561</t>
        </is>
      </c>
      <c r="J216" s="7" t="inlineStr">
        <is>
          <t>ignore (UI button)</t>
        </is>
      </c>
      <c r="K216" s="7" t="inlineStr"/>
      <c r="L216" s="7" t="inlineStr"/>
      <c r="M216" s="7" t="inlineStr"/>
      <c r="N216" s="7" t="inlineStr">
        <is>
          <t>Print/Save/Clear button. Do not fill.</t>
        </is>
      </c>
      <c r="O216" s="7" t="inlineStr"/>
    </row>
    <row r="217">
      <c r="A217" s="8" t="n">
        <v>216</v>
      </c>
      <c r="B217" s="8" t="n">
        <v>8</v>
      </c>
      <c r="C217" s="8" t="inlineStr">
        <is>
          <t>31 (court)</t>
        </is>
      </c>
      <c r="D217" s="8" t="inlineStr">
        <is>
          <t>Transfer of Wireless Phone Account</t>
        </is>
      </c>
      <c r="E217" s="8" t="inlineStr">
        <is>
          <t>DV-130[0].Page8[0].List31[0].Li1[0].FieldName_cb[0]</t>
        </is>
      </c>
      <c r="F217" s="8" t="inlineStr">
        <is>
          <t>checkbox</t>
        </is>
      </c>
      <c r="G217" s="8" t="inlineStr">
        <is>
          <t>1</t>
        </is>
      </c>
      <c r="H217" s="8" t="inlineStr"/>
      <c r="I217" s="8" t="inlineStr">
        <is>
          <t>62, 614, 71, 623</t>
        </is>
      </c>
      <c r="J217" s="8" t="inlineStr">
        <is>
          <t>court/clerk</t>
        </is>
      </c>
      <c r="K217" s="8" t="inlineStr"/>
      <c r="L217" s="8" t="inlineStr"/>
      <c r="M217" s="8" t="inlineStr"/>
      <c r="N217" s="8" t="inlineStr">
        <is>
          <t>Judge completes. Court-order rule: party and children info only.</t>
        </is>
      </c>
      <c r="O217" s="8" t="inlineStr"/>
    </row>
    <row r="218">
      <c r="A218" s="7" t="n">
        <v>217</v>
      </c>
      <c r="B218" s="7" t="n">
        <v>8</v>
      </c>
      <c r="C218" s="7" t="inlineStr">
        <is>
          <t>—</t>
        </is>
      </c>
      <c r="D218" s="7" t="inlineStr">
        <is>
          <t>form DV-900</t>
        </is>
      </c>
      <c r="E218" s="7" t="inlineStr">
        <is>
          <t>DV-130[0].Page8[0].List31[0].Li1[0].Button1[0]</t>
        </is>
      </c>
      <c r="F218" s="7" t="inlineStr">
        <is>
          <t>button</t>
        </is>
      </c>
      <c r="G218" s="7" t="inlineStr"/>
      <c r="H218" s="7" t="inlineStr"/>
      <c r="I218" s="7" t="inlineStr">
        <is>
          <t>197, 645, 257, 656</t>
        </is>
      </c>
      <c r="J218" s="7" t="inlineStr">
        <is>
          <t>ignore (UI button)</t>
        </is>
      </c>
      <c r="K218" s="7" t="inlineStr"/>
      <c r="L218" s="7" t="inlineStr"/>
      <c r="M218" s="7" t="inlineStr"/>
      <c r="N218" s="7" t="inlineStr">
        <is>
          <t>Print/Save/Clear button. Do not fill.</t>
        </is>
      </c>
      <c r="O218" s="7" t="inlineStr"/>
    </row>
    <row r="219">
      <c r="A219" s="5" t="n">
        <v>218</v>
      </c>
      <c r="B219" s="5" t="n">
        <v>9</v>
      </c>
      <c r="C219" s="5" t="inlineStr">
        <is>
          <t>Caption</t>
        </is>
      </c>
      <c r="D219" s="5" t="inlineStr">
        <is>
          <t>Case Number:</t>
        </is>
      </c>
      <c r="E219" s="5" t="inlineStr">
        <is>
          <t>DV-130[0].Page9[0].Caption[0].CaseNumber_ft[0]</t>
        </is>
      </c>
      <c r="F219" s="5" t="inlineStr">
        <is>
          <t>text</t>
        </is>
      </c>
      <c r="G219" s="5" t="inlineStr"/>
      <c r="H219" s="5" t="inlineStr"/>
      <c r="I219" s="5" t="inlineStr">
        <is>
          <t>401, 49, 576, 64</t>
        </is>
      </c>
      <c r="J219" s="5" t="inlineStr">
        <is>
          <t>question</t>
        </is>
      </c>
      <c r="K219" s="5" t="inlineStr">
        <is>
          <t>X0</t>
        </is>
      </c>
      <c r="L219" s="5">
        <f> X0</f>
        <v/>
      </c>
      <c r="M219" s="5" t="inlineStr">
        <is>
          <t>stage 3</t>
        </is>
      </c>
      <c r="N219" s="5" t="inlineStr"/>
      <c r="O219" s="5" t="inlineStr"/>
    </row>
    <row r="220">
      <c r="A220" s="8" t="n">
        <v>219</v>
      </c>
      <c r="B220" s="8" t="n">
        <v>9</v>
      </c>
      <c r="C220" s="8" t="inlineStr">
        <is>
          <t>32 (court)</t>
        </is>
      </c>
      <c r="D220" s="8" t="inlineStr">
        <is>
          <t>No other proof of service is needed. The people in 1 and 2 attended the hearing, either physically or remotely (by telephone or videoconference), or agreed in writing to this order.</t>
        </is>
      </c>
      <c r="E220" s="8" t="inlineStr">
        <is>
          <t>DV-130[0].Page9[0].List32[0].Li1[0].item30abc[0]</t>
        </is>
      </c>
      <c r="F220" s="8" t="inlineStr">
        <is>
          <t>checkbox</t>
        </is>
      </c>
      <c r="G220" s="8" t="inlineStr">
        <is>
          <t>1</t>
        </is>
      </c>
      <c r="H220" s="8" t="inlineStr"/>
      <c r="I220" s="8" t="inlineStr">
        <is>
          <t>77, 101, 86, 110</t>
        </is>
      </c>
      <c r="J220" s="8" t="inlineStr">
        <is>
          <t>court/clerk</t>
        </is>
      </c>
      <c r="K220" s="8" t="inlineStr"/>
      <c r="L220" s="8" t="inlineStr"/>
      <c r="M220" s="8" t="inlineStr"/>
      <c r="N220" s="8" t="inlineStr">
        <is>
          <t>Judge completes. Court-order rule: party and children info only.</t>
        </is>
      </c>
      <c r="O220" s="8" t="inlineStr"/>
    </row>
    <row r="221">
      <c r="A221" s="8" t="n">
        <v>220</v>
      </c>
      <c r="B221" s="8" t="n">
        <v>9</v>
      </c>
      <c r="C221" s="8" t="inlineStr">
        <is>
          <t>32 (court)</t>
        </is>
      </c>
      <c r="D221" s="8" t="inlineStr">
        <is>
          <t>The person in 2 was not present. Proof of service of form DV-109 and form DV-110 (if issued) was  presented to the court. (Check all that apply):</t>
        </is>
      </c>
      <c r="E221" s="8" t="inlineStr">
        <is>
          <t>DV-130[0].Page9[0].List32[0].Li2[0].item30abc[0]</t>
        </is>
      </c>
      <c r="F221" s="8" t="inlineStr">
        <is>
          <t>checkbox</t>
        </is>
      </c>
      <c r="G221" s="8" t="inlineStr">
        <is>
          <t>11</t>
        </is>
      </c>
      <c r="H221" s="8" t="inlineStr"/>
      <c r="I221" s="8" t="inlineStr">
        <is>
          <t>77, 142, 86, 151</t>
        </is>
      </c>
      <c r="J221" s="8" t="inlineStr">
        <is>
          <t>court/clerk</t>
        </is>
      </c>
      <c r="K221" s="8" t="inlineStr"/>
      <c r="L221" s="8" t="inlineStr"/>
      <c r="M221" s="8" t="inlineStr"/>
      <c r="N221" s="8" t="inlineStr">
        <is>
          <t>Judge completes. Court-order rule: party and children info only.</t>
        </is>
      </c>
      <c r="O221" s="8" t="inlineStr"/>
    </row>
    <row r="222">
      <c r="A222" s="8" t="n">
        <v>221</v>
      </c>
      <c r="B222" s="8" t="n">
        <v>9</v>
      </c>
      <c r="C222" s="8" t="inlineStr">
        <is>
          <t>32 (court)</t>
        </is>
      </c>
      <c r="D222" s="8" t="inlineStr">
        <is>
          <t>This order can be served by mail. The judge’s orders in this form are the same as in form DV-110 except for the expiration date. The person in item 2 must be served, either by mail or in person.</t>
        </is>
      </c>
      <c r="E222" s="8" t="inlineStr">
        <is>
          <t>DV-130[0].Page9[0].List32[0].Li2[0].List[0].Li1[0].itemb1and2_cb[0]</t>
        </is>
      </c>
      <c r="F222" s="8" t="inlineStr">
        <is>
          <t>checkbox</t>
        </is>
      </c>
      <c r="G222" s="8" t="inlineStr">
        <is>
          <t>5</t>
        </is>
      </c>
      <c r="H222" s="8" t="inlineStr"/>
      <c r="I222" s="8" t="inlineStr">
        <is>
          <t>95, 175, 104, 184</t>
        </is>
      </c>
      <c r="J222" s="8" t="inlineStr">
        <is>
          <t>court/clerk</t>
        </is>
      </c>
      <c r="K222" s="8" t="inlineStr"/>
      <c r="L222" s="8" t="inlineStr"/>
      <c r="M222" s="8" t="inlineStr"/>
      <c r="N222" s="8" t="inlineStr">
        <is>
          <t>Judge completes. Court-order rule: party and children info only.</t>
        </is>
      </c>
      <c r="O222" s="8" t="inlineStr"/>
    </row>
    <row r="223">
      <c r="A223" s="8" t="n">
        <v>222</v>
      </c>
      <c r="B223" s="8" t="n">
        <v>9</v>
      </c>
      <c r="C223" s="8" t="inlineStr">
        <is>
          <t>32 (court)</t>
        </is>
      </c>
      <c r="D223" s="8" t="inlineStr">
        <is>
          <t>This order must be personally served. The judge’s orders in this form are different from the orders in form DV-110, or form DV-110 was not issued. The person in item 2 must be personally served (given</t>
        </is>
      </c>
      <c r="E223" s="8" t="inlineStr">
        <is>
          <t>DV-130[0].Page9[0].List32[0].Li2[0].List[0].Li2[0].itemb1and2_cb[0]</t>
        </is>
      </c>
      <c r="F223" s="8" t="inlineStr">
        <is>
          <t>checkbox</t>
        </is>
      </c>
      <c r="G223" s="8" t="inlineStr">
        <is>
          <t>2</t>
        </is>
      </c>
      <c r="H223" s="8" t="inlineStr"/>
      <c r="I223" s="8" t="inlineStr">
        <is>
          <t>95, 206, 104, 215</t>
        </is>
      </c>
      <c r="J223" s="8" t="inlineStr">
        <is>
          <t>court/clerk</t>
        </is>
      </c>
      <c r="K223" s="8" t="inlineStr"/>
      <c r="L223" s="8" t="inlineStr"/>
      <c r="M223" s="8" t="inlineStr"/>
      <c r="N223" s="8" t="inlineStr">
        <is>
          <t>Judge completes. Court-order rule: party and children info only.</t>
        </is>
      </c>
      <c r="O223" s="8" t="inlineStr"/>
    </row>
    <row r="224">
      <c r="A224" s="8" t="n">
        <v>223</v>
      </c>
      <c r="B224" s="8" t="n">
        <v>9</v>
      </c>
      <c r="C224" s="8" t="inlineStr">
        <is>
          <t>32 (court)</t>
        </is>
      </c>
      <c r="D224" s="8" t="inlineStr">
        <is>
          <t>The court has scheduled a firearms and ammunition compliance hearing. The person in item 1 must have  a copy of this order served on the person in item 2 by:</t>
        </is>
      </c>
      <c r="E224" s="8" t="inlineStr">
        <is>
          <t>DV-130[0].Page9[0].List32[0].Li2[0].List[0].Li3[0].ProofService_cb[0]</t>
        </is>
      </c>
      <c r="F224" s="8" t="inlineStr">
        <is>
          <t>checkbox</t>
        </is>
      </c>
      <c r="G224" s="8" t="inlineStr">
        <is>
          <t>5</t>
        </is>
      </c>
      <c r="H224" s="8" t="inlineStr"/>
      <c r="I224" s="8" t="inlineStr">
        <is>
          <t>95, 249, 104, 258</t>
        </is>
      </c>
      <c r="J224" s="8" t="inlineStr">
        <is>
          <t>court/clerk</t>
        </is>
      </c>
      <c r="K224" s="8" t="inlineStr"/>
      <c r="L224" s="8" t="inlineStr"/>
      <c r="M224" s="8" t="inlineStr"/>
      <c r="N224" s="8" t="inlineStr">
        <is>
          <t>Judge completes. Court-order rule: party and children info only.</t>
        </is>
      </c>
      <c r="O224" s="8" t="inlineStr"/>
    </row>
    <row r="225">
      <c r="A225" s="8" t="n">
        <v>224</v>
      </c>
      <c r="B225" s="8" t="n">
        <v>9</v>
      </c>
      <c r="C225" s="8" t="inlineStr">
        <is>
          <t>32 (court)</t>
        </is>
      </c>
      <c r="D225" s="8" t="inlineStr">
        <is>
          <t>Personal service by (date):</t>
        </is>
      </c>
      <c r="E225" s="8" t="inlineStr">
        <is>
          <t>DV-130[0].Page9[0].List32[0].Li2[0].List[0].Li3[0].CheckBoxRightCaption30b3ab[0]</t>
        </is>
      </c>
      <c r="F225" s="8" t="inlineStr">
        <is>
          <t>checkbox</t>
        </is>
      </c>
      <c r="G225" s="8" t="inlineStr">
        <is>
          <t>1</t>
        </is>
      </c>
      <c r="H225" s="8" t="inlineStr"/>
      <c r="I225" s="8" t="inlineStr">
        <is>
          <t>125, 277, 134, 286</t>
        </is>
      </c>
      <c r="J225" s="8" t="inlineStr">
        <is>
          <t>court/clerk</t>
        </is>
      </c>
      <c r="K225" s="8" t="inlineStr"/>
      <c r="L225" s="8" t="inlineStr"/>
      <c r="M225" s="8" t="inlineStr"/>
      <c r="N225" s="8" t="inlineStr">
        <is>
          <t>Judge completes. Court-order rule: party and children info only.</t>
        </is>
      </c>
      <c r="O225" s="8" t="inlineStr"/>
    </row>
    <row r="226">
      <c r="A226" s="8" t="n">
        <v>225</v>
      </c>
      <c r="B226" s="8" t="n">
        <v>9</v>
      </c>
      <c r="C226" s="8" t="inlineStr">
        <is>
          <t>32 (court)</t>
        </is>
      </c>
      <c r="D226" s="8" t="inlineStr">
        <is>
          <t>date</t>
        </is>
      </c>
      <c r="E226" s="8" t="inlineStr">
        <is>
          <t>DV-130[0].Page9[0].List32[0].Li2[0].List[0].Li3[0].DateField9[0]</t>
        </is>
      </c>
      <c r="F226" s="8" t="inlineStr">
        <is>
          <t>text</t>
        </is>
      </c>
      <c r="G226" s="8" t="inlineStr"/>
      <c r="H226" s="8" t="inlineStr"/>
      <c r="I226" s="8" t="inlineStr">
        <is>
          <t>260, 276, 568, 291</t>
        </is>
      </c>
      <c r="J226" s="8" t="inlineStr">
        <is>
          <t>court/clerk</t>
        </is>
      </c>
      <c r="K226" s="8" t="inlineStr"/>
      <c r="L226" s="8" t="inlineStr"/>
      <c r="M226" s="8" t="inlineStr"/>
      <c r="N226" s="8" t="inlineStr">
        <is>
          <t>Judge completes. Court-order rule: party and children info only.</t>
        </is>
      </c>
      <c r="O226" s="8" t="inlineStr"/>
    </row>
    <row r="227">
      <c r="A227" s="8" t="n">
        <v>226</v>
      </c>
      <c r="B227" s="8" t="n">
        <v>9</v>
      </c>
      <c r="C227" s="8" t="inlineStr">
        <is>
          <t>32 (court)</t>
        </is>
      </c>
      <c r="D227" s="8" t="inlineStr">
        <is>
          <t>Mail at the person in 2's last known address by (date):</t>
        </is>
      </c>
      <c r="E227" s="8" t="inlineStr">
        <is>
          <t>DV-130[0].Page9[0].List32[0].Li2[0].List[0].Li3[0].CheckBoxRightCaption30b3ab[1]</t>
        </is>
      </c>
      <c r="F227" s="8" t="inlineStr">
        <is>
          <t>checkbox</t>
        </is>
      </c>
      <c r="G227" s="8" t="inlineStr">
        <is>
          <t>11</t>
        </is>
      </c>
      <c r="H227" s="8" t="inlineStr"/>
      <c r="I227" s="8" t="inlineStr">
        <is>
          <t>125, 296, 134, 305</t>
        </is>
      </c>
      <c r="J227" s="8" t="inlineStr">
        <is>
          <t>court/clerk</t>
        </is>
      </c>
      <c r="K227" s="8" t="inlineStr"/>
      <c r="L227" s="8" t="inlineStr"/>
      <c r="M227" s="8" t="inlineStr"/>
      <c r="N227" s="8" t="inlineStr">
        <is>
          <t>Judge completes. Court-order rule: party and children info only.</t>
        </is>
      </c>
      <c r="O227" s="8" t="inlineStr"/>
    </row>
    <row r="228">
      <c r="A228" s="8" t="n">
        <v>227</v>
      </c>
      <c r="B228" s="8" t="n">
        <v>9</v>
      </c>
      <c r="C228" s="8" t="inlineStr">
        <is>
          <t>32 (court)</t>
        </is>
      </c>
      <c r="D228" s="8" t="inlineStr">
        <is>
          <t>date</t>
        </is>
      </c>
      <c r="E228" s="8" t="inlineStr">
        <is>
          <t>DV-130[0].Page9[0].List32[0].Li2[0].List[0].Li3[0].DateField10[0]</t>
        </is>
      </c>
      <c r="F228" s="8" t="inlineStr">
        <is>
          <t>text</t>
        </is>
      </c>
      <c r="G228" s="8" t="inlineStr"/>
      <c r="H228" s="8" t="inlineStr"/>
      <c r="I228" s="8" t="inlineStr">
        <is>
          <t>388, 292, 568, 307</t>
        </is>
      </c>
      <c r="J228" s="8" t="inlineStr">
        <is>
          <t>court/clerk</t>
        </is>
      </c>
      <c r="K228" s="8" t="inlineStr"/>
      <c r="L228" s="8" t="inlineStr"/>
      <c r="M228" s="8" t="inlineStr"/>
      <c r="N228" s="8" t="inlineStr">
        <is>
          <t>Judge completes. Court-order rule: party and children info only.</t>
        </is>
      </c>
      <c r="O228" s="8" t="inlineStr"/>
    </row>
    <row r="229">
      <c r="A229" s="8" t="n">
        <v>228</v>
      </c>
      <c r="B229" s="8" t="n">
        <v>9</v>
      </c>
      <c r="C229" s="8" t="inlineStr">
        <is>
          <t>32 (court)</t>
        </is>
      </c>
      <c r="D229" s="8" t="inlineStr">
        <is>
          <t>Proof of service of form DV-300 to modify the orders in form DV-130 was presented to the court.</t>
        </is>
      </c>
      <c r="E229" s="8" t="inlineStr">
        <is>
          <t>DV-130[0].Page9[0].List32[0].Li3[0].item30abc[0]</t>
        </is>
      </c>
      <c r="F229" s="8" t="inlineStr">
        <is>
          <t>checkbox</t>
        </is>
      </c>
      <c r="G229" s="8" t="inlineStr">
        <is>
          <t>21</t>
        </is>
      </c>
      <c r="H229" s="8" t="inlineStr"/>
      <c r="I229" s="8" t="inlineStr">
        <is>
          <t>77, 326, 86, 335</t>
        </is>
      </c>
      <c r="J229" s="8" t="inlineStr">
        <is>
          <t>court/clerk</t>
        </is>
      </c>
      <c r="K229" s="8" t="inlineStr"/>
      <c r="L229" s="8" t="inlineStr"/>
      <c r="M229" s="8" t="inlineStr"/>
      <c r="N229" s="8" t="inlineStr">
        <is>
          <t>Judge completes. Court-order rule: party and children info only.</t>
        </is>
      </c>
      <c r="O229" s="8" t="inlineStr"/>
    </row>
    <row r="230">
      <c r="A230" s="8" t="n">
        <v>229</v>
      </c>
      <c r="B230" s="8" t="n">
        <v>9</v>
      </c>
      <c r="C230" s="8" t="inlineStr">
        <is>
          <t>32 (court)</t>
        </is>
      </c>
      <c r="D230" s="8" t="inlineStr">
        <is>
          <t>The people in item 1 and 2 were at the hearing or agreed in writing to this order. No other proof ofservice is needed.</t>
        </is>
      </c>
      <c r="E230" s="8" t="inlineStr">
        <is>
          <t>DV-130[0].Page9[0].List32[0].Li3[0].List[0].Li1[0].item26c[0]</t>
        </is>
      </c>
      <c r="F230" s="8" t="inlineStr">
        <is>
          <t>checkbox</t>
        </is>
      </c>
      <c r="G230" s="8" t="inlineStr">
        <is>
          <t>1</t>
        </is>
      </c>
      <c r="H230" s="8" t="inlineStr"/>
      <c r="I230" s="8" t="inlineStr">
        <is>
          <t>95, 344, 104, 353</t>
        </is>
      </c>
      <c r="J230" s="8" t="inlineStr">
        <is>
          <t>court/clerk</t>
        </is>
      </c>
      <c r="K230" s="8" t="inlineStr"/>
      <c r="L230" s="8" t="inlineStr"/>
      <c r="M230" s="8" t="inlineStr"/>
      <c r="N230" s="8" t="inlineStr">
        <is>
          <t>Judge completes. Court-order rule: party and children info only.</t>
        </is>
      </c>
      <c r="O230" s="8" t="inlineStr"/>
    </row>
    <row r="231">
      <c r="A231" s="8" t="n">
        <v>230</v>
      </c>
      <c r="B231" s="8" t="n">
        <v>9</v>
      </c>
      <c r="C231" s="8" t="inlineStr">
        <is>
          <t>32 (court)</t>
        </is>
      </c>
      <c r="D231" s="8" t="inlineStr">
        <is>
          <t>The person</t>
        </is>
      </c>
      <c r="E231" s="8" t="inlineStr">
        <is>
          <t>DV-130[0].Page9[0].List32[0].Li3[0].List[0].Li2[0].item26c[0]</t>
        </is>
      </c>
      <c r="F231" s="8" t="inlineStr">
        <is>
          <t>checkbox</t>
        </is>
      </c>
      <c r="G231" s="8" t="inlineStr">
        <is>
          <t>12</t>
        </is>
      </c>
      <c r="H231" s="8" t="inlineStr"/>
      <c r="I231" s="8" t="inlineStr">
        <is>
          <t>95, 374, 104, 383</t>
        </is>
      </c>
      <c r="J231" s="8" t="inlineStr">
        <is>
          <t>court/clerk</t>
        </is>
      </c>
      <c r="K231" s="8" t="inlineStr"/>
      <c r="L231" s="8" t="inlineStr"/>
      <c r="M231" s="8" t="inlineStr"/>
      <c r="N231" s="8" t="inlineStr">
        <is>
          <t>Judge completes. Court-order rule: party and children info only.</t>
        </is>
      </c>
      <c r="O231" s="8" t="inlineStr"/>
    </row>
    <row r="232">
      <c r="A232" s="8" t="n">
        <v>231</v>
      </c>
      <c r="B232" s="8" t="n">
        <v>9</v>
      </c>
      <c r="C232" s="8" t="inlineStr">
        <is>
          <t>32 (court)</t>
        </is>
      </c>
      <c r="D232" s="8" t="inlineStr">
        <is>
          <t>in</t>
        </is>
      </c>
      <c r="E232" s="8" t="inlineStr">
        <is>
          <t>DV-130[0].Page9[0].List32[0].Li3[0].List[0].Li2[0].PersonIn1_cb[0]</t>
        </is>
      </c>
      <c r="F232" s="8" t="inlineStr">
        <is>
          <t>checkbox</t>
        </is>
      </c>
      <c r="G232" s="8" t="inlineStr">
        <is>
          <t>1</t>
        </is>
      </c>
      <c r="H232" s="8" t="inlineStr"/>
      <c r="I232" s="8" t="inlineStr">
        <is>
          <t>171, 373, 180, 382</t>
        </is>
      </c>
      <c r="J232" s="8" t="inlineStr">
        <is>
          <t>court/clerk</t>
        </is>
      </c>
      <c r="K232" s="8" t="inlineStr"/>
      <c r="L232" s="8" t="inlineStr"/>
      <c r="M232" s="8" t="inlineStr"/>
      <c r="N232" s="8" t="inlineStr">
        <is>
          <t>Judge completes. Court-order rule: party and children info only.</t>
        </is>
      </c>
      <c r="O232" s="8" t="inlineStr"/>
    </row>
    <row r="233">
      <c r="A233" s="8" t="n">
        <v>232</v>
      </c>
      <c r="B233" s="8" t="n">
        <v>9</v>
      </c>
      <c r="C233" s="8" t="inlineStr">
        <is>
          <t>32 (court)</t>
        </is>
      </c>
      <c r="D233" s="8" t="inlineStr">
        <is>
          <t>in</t>
        </is>
      </c>
      <c r="E233" s="8" t="inlineStr">
        <is>
          <t>DV-130[0].Page9[0].List32[0].Li3[0].List[0].Li2[0].PersonIn2_cb[0]</t>
        </is>
      </c>
      <c r="F233" s="8" t="inlineStr">
        <is>
          <t>checkbox</t>
        </is>
      </c>
      <c r="G233" s="8" t="inlineStr">
        <is>
          <t>1</t>
        </is>
      </c>
      <c r="H233" s="8" t="inlineStr"/>
      <c r="I233" s="8" t="inlineStr">
        <is>
          <t>216, 373, 225, 382</t>
        </is>
      </c>
      <c r="J233" s="8" t="inlineStr">
        <is>
          <t>court/clerk</t>
        </is>
      </c>
      <c r="K233" s="8" t="inlineStr"/>
      <c r="L233" s="8" t="inlineStr"/>
      <c r="M233" s="8" t="inlineStr"/>
      <c r="N233" s="8" t="inlineStr">
        <is>
          <t>Judge completes. Court-order rule: party and children info only.</t>
        </is>
      </c>
      <c r="O233" s="8" t="inlineStr"/>
    </row>
    <row r="234">
      <c r="A234" s="7" t="n">
        <v>233</v>
      </c>
      <c r="B234" s="7" t="n">
        <v>9</v>
      </c>
      <c r="C234" s="7" t="inlineStr">
        <is>
          <t>—</t>
        </is>
      </c>
      <c r="D234" s="7" t="inlineStr">
        <is>
          <t>SER-001</t>
        </is>
      </c>
      <c r="E234" s="7" t="inlineStr">
        <is>
          <t>DV-130[0].Page9[0].List33[0].Li1[0].Button1[0]</t>
        </is>
      </c>
      <c r="F234" s="7" t="inlineStr">
        <is>
          <t>button</t>
        </is>
      </c>
      <c r="G234" s="7" t="inlineStr"/>
      <c r="H234" s="7" t="inlineStr"/>
      <c r="I234" s="7" t="inlineStr">
        <is>
          <t>62, 468, 102, 479</t>
        </is>
      </c>
      <c r="J234" s="7" t="inlineStr">
        <is>
          <t>ignore (UI button)</t>
        </is>
      </c>
      <c r="K234" s="7" t="inlineStr"/>
      <c r="L234" s="7" t="inlineStr"/>
      <c r="M234" s="7" t="inlineStr"/>
      <c r="N234" s="7" t="inlineStr">
        <is>
          <t>Print/Save/Clear button. Do not fill.</t>
        </is>
      </c>
      <c r="O234" s="7" t="inlineStr"/>
    </row>
    <row r="235">
      <c r="A235" s="8" t="n">
        <v>234</v>
      </c>
      <c r="B235" s="8" t="n">
        <v>9</v>
      </c>
      <c r="C235" s="8" t="inlineStr">
        <is>
          <t>34 (court)</t>
        </is>
      </c>
      <c r="D235" s="8" t="inlineStr">
        <is>
          <t>Attached Pages</t>
        </is>
      </c>
      <c r="E235" s="8" t="inlineStr">
        <is>
          <t>DV-130[0].Page9[0].List34[0].FieldName_cb[0]</t>
        </is>
      </c>
      <c r="F235" s="8" t="inlineStr">
        <is>
          <t>checkbox</t>
        </is>
      </c>
      <c r="G235" s="8" t="inlineStr">
        <is>
          <t>1</t>
        </is>
      </c>
      <c r="H235" s="8" t="inlineStr"/>
      <c r="I235" s="8" t="inlineStr">
        <is>
          <t>60, 529, 69, 538</t>
        </is>
      </c>
      <c r="J235" s="8" t="inlineStr">
        <is>
          <t>court/clerk</t>
        </is>
      </c>
      <c r="K235" s="8" t="inlineStr"/>
      <c r="L235" s="8" t="inlineStr"/>
      <c r="M235" s="8" t="inlineStr"/>
      <c r="N235" s="8" t="inlineStr">
        <is>
          <t>Judge completes. Court-order rule: party and children info only.</t>
        </is>
      </c>
      <c r="O235" s="8" t="inlineStr"/>
    </row>
    <row r="236">
      <c r="A236" s="8" t="n">
        <v>235</v>
      </c>
      <c r="B236" s="8" t="n">
        <v>9</v>
      </c>
      <c r="C236" s="8" t="inlineStr">
        <is>
          <t>34 (court)</t>
        </is>
      </c>
      <c r="D236" s="8" t="inlineStr">
        <is>
          <t>Number of pages attached to this 11-page form:</t>
        </is>
      </c>
      <c r="E236" s="8" t="inlineStr">
        <is>
          <t>DV-130[0].Page9[0].List34[0].Li1[0].NumberOfAttachedPages_ft[0]</t>
        </is>
      </c>
      <c r="F236" s="8" t="inlineStr">
        <is>
          <t>text</t>
        </is>
      </c>
      <c r="G236" s="8" t="inlineStr"/>
      <c r="H236" s="8" t="inlineStr"/>
      <c r="I236" s="8" t="inlineStr">
        <is>
          <t>302, 560, 389, 575</t>
        </is>
      </c>
      <c r="J236" s="8" t="inlineStr">
        <is>
          <t>court/clerk</t>
        </is>
      </c>
      <c r="K236" s="8" t="inlineStr"/>
      <c r="L236" s="8" t="inlineStr"/>
      <c r="M236" s="8" t="inlineStr"/>
      <c r="N236" s="8" t="inlineStr">
        <is>
          <t>Judge completes. Court-order rule: party and children info only.</t>
        </is>
      </c>
      <c r="O236" s="8" t="inlineStr"/>
    </row>
    <row r="237">
      <c r="A237" s="8" t="n">
        <v>236</v>
      </c>
      <c r="B237" s="8" t="n">
        <v>9</v>
      </c>
      <c r="C237" s="8" t="inlineStr">
        <is>
          <t>34 (court)</t>
        </is>
      </c>
      <c r="D237" s="8" t="inlineStr">
        <is>
          <t>DV-140</t>
        </is>
      </c>
      <c r="E237" s="8" t="inlineStr">
        <is>
          <t>DV-130[0].Page9[0].List34[0].Li2[0].FieldName_cb1[0]</t>
        </is>
      </c>
      <c r="F237" s="8" t="inlineStr">
        <is>
          <t>checkbox</t>
        </is>
      </c>
      <c r="G237" s="8" t="inlineStr">
        <is>
          <t>1</t>
        </is>
      </c>
      <c r="H237" s="8" t="inlineStr"/>
      <c r="I237" s="8" t="inlineStr">
        <is>
          <t>72, 592, 81, 601</t>
        </is>
      </c>
      <c r="J237" s="8" t="inlineStr">
        <is>
          <t>court/clerk</t>
        </is>
      </c>
      <c r="K237" s="8" t="inlineStr"/>
      <c r="L237" s="8" t="inlineStr"/>
      <c r="M237" s="8" t="inlineStr"/>
      <c r="N237" s="8" t="inlineStr">
        <is>
          <t>Judge completes. Court-order rule: party and children info only.</t>
        </is>
      </c>
      <c r="O237" s="8" t="inlineStr"/>
    </row>
    <row r="238">
      <c r="A238" s="8" t="n">
        <v>237</v>
      </c>
      <c r="B238" s="8" t="n">
        <v>9</v>
      </c>
      <c r="C238" s="8" t="inlineStr">
        <is>
          <t>34 (court)</t>
        </is>
      </c>
      <c r="D238" s="8" t="inlineStr">
        <is>
          <t>DV-900</t>
        </is>
      </c>
      <c r="E238" s="8" t="inlineStr">
        <is>
          <t>DV-130[0].Page9[0].List34[0].Li2[0].FieldName_cb4[0]</t>
        </is>
      </c>
      <c r="F238" s="8" t="inlineStr">
        <is>
          <t>checkbox</t>
        </is>
      </c>
      <c r="G238" s="8" t="inlineStr">
        <is>
          <t>1</t>
        </is>
      </c>
      <c r="H238" s="8" t="inlineStr"/>
      <c r="I238" s="8" t="inlineStr">
        <is>
          <t>196, 592, 205, 601</t>
        </is>
      </c>
      <c r="J238" s="8" t="inlineStr">
        <is>
          <t>court/clerk</t>
        </is>
      </c>
      <c r="K238" s="8" t="inlineStr"/>
      <c r="L238" s="8" t="inlineStr"/>
      <c r="M238" s="8" t="inlineStr"/>
      <c r="N238" s="8" t="inlineStr">
        <is>
          <t>Judge completes. Court-order rule: party and children info only.</t>
        </is>
      </c>
      <c r="O238" s="8" t="inlineStr"/>
    </row>
    <row r="239">
      <c r="A239" s="8" t="n">
        <v>238</v>
      </c>
      <c r="B239" s="8" t="n">
        <v>9</v>
      </c>
      <c r="C239" s="8" t="inlineStr">
        <is>
          <t>34 (court)</t>
        </is>
      </c>
      <c r="D239" s="8" t="inlineStr">
        <is>
          <t>FL-342</t>
        </is>
      </c>
      <c r="E239" s="8" t="inlineStr">
        <is>
          <t>DV-130[0].Page9[0].List34[0].Li2[0].FieldName_cb5[0]</t>
        </is>
      </c>
      <c r="F239" s="8" t="inlineStr">
        <is>
          <t>checkbox</t>
        </is>
      </c>
      <c r="G239" s="8" t="inlineStr">
        <is>
          <t>1</t>
        </is>
      </c>
      <c r="H239" s="8" t="inlineStr"/>
      <c r="I239" s="8" t="inlineStr">
        <is>
          <t>332, 592, 341, 601</t>
        </is>
      </c>
      <c r="J239" s="8" t="inlineStr">
        <is>
          <t>court/clerk</t>
        </is>
      </c>
      <c r="K239" s="8" t="inlineStr"/>
      <c r="L239" s="8" t="inlineStr"/>
      <c r="M239" s="8" t="inlineStr"/>
      <c r="N239" s="8" t="inlineStr">
        <is>
          <t>Judge completes. Court-order rule: party and children info only.</t>
        </is>
      </c>
      <c r="O239" s="8" t="inlineStr"/>
    </row>
    <row r="240">
      <c r="A240" s="8" t="n">
        <v>239</v>
      </c>
      <c r="B240" s="8" t="n">
        <v>9</v>
      </c>
      <c r="C240" s="8" t="inlineStr">
        <is>
          <t>34 (court)</t>
        </is>
      </c>
      <c r="D240" s="8" t="inlineStr">
        <is>
          <t>FL-343</t>
        </is>
      </c>
      <c r="E240" s="8" t="inlineStr">
        <is>
          <t>DV-130[0].Page9[0].List34[0].Li2[0].FieldName_cb6[0]</t>
        </is>
      </c>
      <c r="F240" s="8" t="inlineStr">
        <is>
          <t>checkbox</t>
        </is>
      </c>
      <c r="G240" s="8" t="inlineStr">
        <is>
          <t>1</t>
        </is>
      </c>
      <c r="H240" s="8" t="inlineStr"/>
      <c r="I240" s="8" t="inlineStr">
        <is>
          <t>392, 592, 401, 601</t>
        </is>
      </c>
      <c r="J240" s="8" t="inlineStr">
        <is>
          <t>court/clerk</t>
        </is>
      </c>
      <c r="K240" s="8" t="inlineStr"/>
      <c r="L240" s="8" t="inlineStr"/>
      <c r="M240" s="8" t="inlineStr"/>
      <c r="N240" s="8" t="inlineStr">
        <is>
          <t>Judge completes. Court-order rule: party and children info only.</t>
        </is>
      </c>
      <c r="O240" s="8" t="inlineStr"/>
    </row>
    <row r="241">
      <c r="A241" s="8" t="n">
        <v>240</v>
      </c>
      <c r="B241" s="8" t="n">
        <v>9</v>
      </c>
      <c r="C241" s="8" t="inlineStr">
        <is>
          <t>34 (court)</t>
        </is>
      </c>
      <c r="D241" s="8" t="inlineStr">
        <is>
          <t>Other:</t>
        </is>
      </c>
      <c r="E241" s="8" t="inlineStr">
        <is>
          <t>DV-130[0].Page9[0].List34[0].Li2[0].AGHagueCert_cb[0]</t>
        </is>
      </c>
      <c r="F241" s="8" t="inlineStr">
        <is>
          <t>checkbox</t>
        </is>
      </c>
      <c r="G241" s="8" t="inlineStr">
        <is>
          <t>1</t>
        </is>
      </c>
      <c r="H241" s="8" t="inlineStr"/>
      <c r="I241" s="8" t="inlineStr">
        <is>
          <t>452, 592, 461, 601</t>
        </is>
      </c>
      <c r="J241" s="8" t="inlineStr">
        <is>
          <t>court/clerk</t>
        </is>
      </c>
      <c r="K241" s="8" t="inlineStr"/>
      <c r="L241" s="8" t="inlineStr"/>
      <c r="M241" s="8" t="inlineStr"/>
      <c r="N241" s="8" t="inlineStr">
        <is>
          <t>Judge completes. Court-order rule: party and children info only.</t>
        </is>
      </c>
      <c r="O241" s="8" t="inlineStr"/>
    </row>
    <row r="242">
      <c r="A242" s="8" t="n">
        <v>241</v>
      </c>
      <c r="B242" s="8" t="n">
        <v>9</v>
      </c>
      <c r="C242" s="8" t="inlineStr">
        <is>
          <t>34 (court)</t>
        </is>
      </c>
      <c r="D242" s="8" t="inlineStr">
        <is>
          <t>other</t>
        </is>
      </c>
      <c r="E242" s="8" t="inlineStr">
        <is>
          <t>DV-130[0].Page9[0].List34[0].Li2[0].TextField2[0]</t>
        </is>
      </c>
      <c r="F242" s="8" t="inlineStr">
        <is>
          <t>text</t>
        </is>
      </c>
      <c r="G242" s="8" t="inlineStr"/>
      <c r="H242" s="8" t="inlineStr"/>
      <c r="I242" s="8" t="inlineStr">
        <is>
          <t>499, 591, 568, 603</t>
        </is>
      </c>
      <c r="J242" s="8" t="inlineStr">
        <is>
          <t>court/clerk</t>
        </is>
      </c>
      <c r="K242" s="8" t="inlineStr"/>
      <c r="L242" s="8" t="inlineStr"/>
      <c r="M242" s="8" t="inlineStr"/>
      <c r="N242" s="8" t="inlineStr">
        <is>
          <t>Judge completes. Court-order rule: party and children info only.</t>
        </is>
      </c>
      <c r="O242" s="8" t="inlineStr"/>
    </row>
    <row r="243">
      <c r="A243" s="8" t="n">
        <v>242</v>
      </c>
      <c r="B243" s="8" t="n">
        <v>9</v>
      </c>
      <c r="C243" s="8" t="inlineStr">
        <is>
          <t>34 (court)</t>
        </is>
      </c>
      <c r="D243" s="8" t="inlineStr">
        <is>
          <t>FL-341(C)</t>
        </is>
      </c>
      <c r="E243" s="8" t="inlineStr">
        <is>
          <t>DV-130[0].Page9[0].List34[0].Li2[0].FieldName_cb5[1]</t>
        </is>
      </c>
      <c r="F243" s="8" t="inlineStr">
        <is>
          <t>checkbox</t>
        </is>
      </c>
      <c r="G243" s="8" t="inlineStr">
        <is>
          <t>1</t>
        </is>
      </c>
      <c r="H243" s="8" t="inlineStr"/>
      <c r="I243" s="8" t="inlineStr">
        <is>
          <t>258, 592, 267, 601</t>
        </is>
      </c>
      <c r="J243" s="8" t="inlineStr">
        <is>
          <t>court/clerk</t>
        </is>
      </c>
      <c r="K243" s="8" t="inlineStr"/>
      <c r="L243" s="8" t="inlineStr"/>
      <c r="M243" s="8" t="inlineStr"/>
      <c r="N243" s="8" t="inlineStr">
        <is>
          <t>Judge completes. Court-order rule: party and children info only.</t>
        </is>
      </c>
      <c r="O243" s="8" t="inlineStr"/>
    </row>
    <row r="244">
      <c r="A244" s="8" t="n">
        <v>243</v>
      </c>
      <c r="B244" s="8" t="n">
        <v>9</v>
      </c>
      <c r="C244" s="8" t="inlineStr">
        <is>
          <t>34 (court)</t>
        </is>
      </c>
      <c r="D244" s="8" t="inlineStr">
        <is>
          <t>DV-145</t>
        </is>
      </c>
      <c r="E244" s="8" t="inlineStr">
        <is>
          <t>DV-130[0].Page9[0].List34[0].Li2[0].FieldName_cb1[1]</t>
        </is>
      </c>
      <c r="F244" s="8" t="inlineStr">
        <is>
          <t>checkbox</t>
        </is>
      </c>
      <c r="G244" s="8" t="inlineStr">
        <is>
          <t>1</t>
        </is>
      </c>
      <c r="H244" s="8" t="inlineStr"/>
      <c r="I244" s="8" t="inlineStr">
        <is>
          <t>133, 592, 142, 601</t>
        </is>
      </c>
      <c r="J244" s="8" t="inlineStr">
        <is>
          <t>court/clerk</t>
        </is>
      </c>
      <c r="K244" s="8" t="inlineStr"/>
      <c r="L244" s="8" t="inlineStr"/>
      <c r="M244" s="8" t="inlineStr"/>
      <c r="N244" s="8" t="inlineStr">
        <is>
          <t>Judge completes. Court-order rule: party and children info only.</t>
        </is>
      </c>
      <c r="O244" s="8" t="inlineStr"/>
    </row>
    <row r="245">
      <c r="A245" s="8" t="n">
        <v>244</v>
      </c>
      <c r="B245" s="8" t="n">
        <v>9</v>
      </c>
      <c r="C245" s="8" t="inlineStr">
        <is>
          <t>(court)</t>
        </is>
      </c>
      <c r="D245" s="8" t="inlineStr">
        <is>
          <t>Date:</t>
        </is>
      </c>
      <c r="E245" s="8" t="inlineStr">
        <is>
          <t>DV-130[0].Page9[0].SignatureSub[0].SigDate[0]</t>
        </is>
      </c>
      <c r="F245" s="8" t="inlineStr">
        <is>
          <t>text</t>
        </is>
      </c>
      <c r="G245" s="8" t="inlineStr"/>
      <c r="H245" s="8" t="inlineStr"/>
      <c r="I245" s="8" t="inlineStr">
        <is>
          <t>66, 662, 224, 673</t>
        </is>
      </c>
      <c r="J245" s="8" t="inlineStr">
        <is>
          <t>court/clerk</t>
        </is>
      </c>
      <c r="K245" s="8" t="inlineStr"/>
      <c r="L245" s="8" t="inlineStr"/>
      <c r="M245" s="8" t="inlineStr"/>
      <c r="N245" s="8" t="inlineStr">
        <is>
          <t>Judge completes. Court-order rule: party and children info only.</t>
        </is>
      </c>
      <c r="O245" s="8" t="inlineStr"/>
    </row>
    <row r="246">
      <c r="A246" s="5" t="n">
        <v>245</v>
      </c>
      <c r="B246" s="5" t="n">
        <v>10</v>
      </c>
      <c r="C246" s="5" t="inlineStr">
        <is>
          <t>Caption</t>
        </is>
      </c>
      <c r="D246" s="5" t="inlineStr">
        <is>
          <t>Case Number:</t>
        </is>
      </c>
      <c r="E246" s="5" t="inlineStr">
        <is>
          <t>DV-130[0].Page10[0].Caption[0].CaseNumber_ft[0]</t>
        </is>
      </c>
      <c r="F246" s="5" t="inlineStr">
        <is>
          <t>text</t>
        </is>
      </c>
      <c r="G246" s="5" t="inlineStr"/>
      <c r="H246" s="5" t="inlineStr"/>
      <c r="I246" s="5" t="inlineStr">
        <is>
          <t>401, 49, 576, 65</t>
        </is>
      </c>
      <c r="J246" s="5" t="inlineStr">
        <is>
          <t>question</t>
        </is>
      </c>
      <c r="K246" s="5" t="inlineStr">
        <is>
          <t>X0</t>
        </is>
      </c>
      <c r="L246" s="5">
        <f> X0</f>
        <v/>
      </c>
      <c r="M246" s="5" t="inlineStr">
        <is>
          <t>stage 3</t>
        </is>
      </c>
      <c r="N246" s="5" t="inlineStr"/>
      <c r="O246" s="5" t="inlineStr"/>
    </row>
    <row r="247">
      <c r="A247" s="7" t="n">
        <v>246</v>
      </c>
      <c r="B247" s="7" t="n">
        <v>11</v>
      </c>
      <c r="C247" s="7" t="inlineStr">
        <is>
          <t>—</t>
        </is>
      </c>
      <c r="D247" s="7" t="inlineStr">
        <is>
          <t>Print</t>
        </is>
      </c>
      <c r="E247" s="7" t="inlineStr">
        <is>
          <t>DV-130[0].#pageSet[0].LastPage[0].Print[0]</t>
        </is>
      </c>
      <c r="F247" s="7" t="inlineStr">
        <is>
          <t>button</t>
        </is>
      </c>
      <c r="G247" s="7" t="inlineStr"/>
      <c r="H247" s="7" t="inlineStr"/>
      <c r="I247" s="7" t="inlineStr">
        <is>
          <t>258, 760, 339, 777</t>
        </is>
      </c>
      <c r="J247" s="7" t="inlineStr">
        <is>
          <t>ignore (UI button)</t>
        </is>
      </c>
      <c r="K247" s="7" t="inlineStr"/>
      <c r="L247" s="7" t="inlineStr"/>
      <c r="M247" s="7" t="inlineStr"/>
      <c r="N247" s="7" t="inlineStr">
        <is>
          <t>Print/Save/Clear button. Do not fill.</t>
        </is>
      </c>
      <c r="O247" s="7" t="inlineStr"/>
    </row>
    <row r="248">
      <c r="A248" s="7" t="n">
        <v>247</v>
      </c>
      <c r="B248" s="7" t="n">
        <v>11</v>
      </c>
      <c r="C248" s="7" t="inlineStr">
        <is>
          <t>—</t>
        </is>
      </c>
      <c r="D248" s="7" t="inlineStr">
        <is>
          <t>Save</t>
        </is>
      </c>
      <c r="E248" s="7" t="inlineStr">
        <is>
          <t>DV-130[0].#pageSet[0].LastPage[0].Save[0]</t>
        </is>
      </c>
      <c r="F248" s="7" t="inlineStr">
        <is>
          <t>button</t>
        </is>
      </c>
      <c r="G248" s="7" t="inlineStr"/>
      <c r="H248" s="7" t="inlineStr"/>
      <c r="I248" s="7" t="inlineStr">
        <is>
          <t>345, 760, 426, 777</t>
        </is>
      </c>
      <c r="J248" s="7" t="inlineStr">
        <is>
          <t>ignore (UI button)</t>
        </is>
      </c>
      <c r="K248" s="7" t="inlineStr"/>
      <c r="L248" s="7" t="inlineStr"/>
      <c r="M248" s="7" t="inlineStr"/>
      <c r="N248" s="7" t="inlineStr">
        <is>
          <t>Print/Save/Clear button. Do not fill.</t>
        </is>
      </c>
      <c r="O248" s="7" t="inlineStr"/>
    </row>
    <row r="249">
      <c r="A249" s="7" t="n">
        <v>248</v>
      </c>
      <c r="B249" s="7" t="n">
        <v>11</v>
      </c>
      <c r="C249" s="7" t="inlineStr">
        <is>
          <t>—</t>
        </is>
      </c>
      <c r="D249" s="7" t="inlineStr">
        <is>
          <t>Clear</t>
        </is>
      </c>
      <c r="E249" s="7" t="inlineStr">
        <is>
          <t>DV-130[0].#pageSet[0].LastPage[0].Reset[0]</t>
        </is>
      </c>
      <c r="F249" s="7" t="inlineStr">
        <is>
          <t>button</t>
        </is>
      </c>
      <c r="G249" s="7" t="inlineStr"/>
      <c r="H249" s="7" t="inlineStr"/>
      <c r="I249" s="7" t="inlineStr">
        <is>
          <t>495, 760, 576, 777</t>
        </is>
      </c>
      <c r="J249" s="7" t="inlineStr">
        <is>
          <t>ignore (UI button)</t>
        </is>
      </c>
      <c r="K249" s="7" t="inlineStr"/>
      <c r="L249" s="7" t="inlineStr"/>
      <c r="M249" s="7" t="inlineStr"/>
      <c r="N249" s="7" t="inlineStr">
        <is>
          <t>Print/Save/Clear button. Do not fill.</t>
        </is>
      </c>
      <c r="O249" s="7" t="inlineStr"/>
    </row>
    <row r="250">
      <c r="A250" s="8" t="n">
        <v>249</v>
      </c>
      <c r="B250" s="8" t="n">
        <v>11</v>
      </c>
      <c r="C250" s="8" t="inlineStr">
        <is>
          <t>(court)</t>
        </is>
      </c>
      <c r="D250" s="8" t="inlineStr">
        <is>
          <t>Date:</t>
        </is>
      </c>
      <c r="E250" s="8" t="inlineStr">
        <is>
          <t>DV-130[0].page11[0].ClerkSub[0].ClerkCertificate_dt[0]</t>
        </is>
      </c>
      <c r="F250" s="8" t="inlineStr">
        <is>
          <t>text</t>
        </is>
      </c>
      <c r="G250" s="8" t="inlineStr"/>
      <c r="H250" s="8" t="inlineStr"/>
      <c r="I250" s="8" t="inlineStr">
        <is>
          <t>200, 676, 298, 688</t>
        </is>
      </c>
      <c r="J250" s="8" t="inlineStr">
        <is>
          <t>court/clerk</t>
        </is>
      </c>
      <c r="K250" s="8" t="inlineStr"/>
      <c r="L250" s="8" t="inlineStr"/>
      <c r="M250" s="8" t="inlineStr"/>
      <c r="N250" s="8" t="inlineStr">
        <is>
          <t>Judge completes. Court-order rule: party and children info only.</t>
        </is>
      </c>
      <c r="O250" s="8" t="inlineStr"/>
    </row>
    <row r="251">
      <c r="A251" s="8" t="n">
        <v>250</v>
      </c>
      <c r="B251" s="8" t="n">
        <v>11</v>
      </c>
      <c r="C251" s="8" t="inlineStr">
        <is>
          <t>(court)</t>
        </is>
      </c>
      <c r="D251" s="8" t="inlineStr">
        <is>
          <t>name of clerk</t>
        </is>
      </c>
      <c r="E251" s="8" t="inlineStr">
        <is>
          <t>DV-130[0].page11[0].ClerkSub[0].ClerkName_ft[0]</t>
        </is>
      </c>
      <c r="F251" s="8" t="inlineStr">
        <is>
          <t>text</t>
        </is>
      </c>
      <c r="G251" s="8" t="inlineStr"/>
      <c r="H251" s="8" t="inlineStr"/>
      <c r="I251" s="8" t="inlineStr">
        <is>
          <t>345, 676, 527, 688</t>
        </is>
      </c>
      <c r="J251" s="8" t="inlineStr">
        <is>
          <t>court/clerk</t>
        </is>
      </c>
      <c r="K251" s="8" t="inlineStr"/>
      <c r="L251" s="8" t="inlineStr"/>
      <c r="M251" s="8" t="inlineStr"/>
      <c r="N251" s="8" t="inlineStr">
        <is>
          <t>Judge completes. Court-order rule: party and children info only.</t>
        </is>
      </c>
      <c r="O251" s="8" t="inlineStr"/>
    </row>
    <row r="252">
      <c r="A252" s="5" t="n">
        <v>251</v>
      </c>
      <c r="B252" s="5" t="n">
        <v>11</v>
      </c>
      <c r="C252" s="5" t="inlineStr">
        <is>
          <t>Caption</t>
        </is>
      </c>
      <c r="D252" s="5" t="inlineStr">
        <is>
          <t>Case Number:</t>
        </is>
      </c>
      <c r="E252" s="5" t="inlineStr">
        <is>
          <t>DV-130[0].page11[0].CaseNumber_ft[0]</t>
        </is>
      </c>
      <c r="F252" s="5" t="inlineStr">
        <is>
          <t>text</t>
        </is>
      </c>
      <c r="G252" s="5" t="inlineStr"/>
      <c r="H252" s="5" t="inlineStr"/>
      <c r="I252" s="5" t="inlineStr">
        <is>
          <t>401, 50, 576, 66</t>
        </is>
      </c>
      <c r="J252" s="5" t="inlineStr">
        <is>
          <t>question</t>
        </is>
      </c>
      <c r="K252" s="5" t="inlineStr">
        <is>
          <t>X0</t>
        </is>
      </c>
      <c r="L252" s="5">
        <f> X0</f>
        <v/>
      </c>
      <c r="M252" s="5" t="inlineStr">
        <is>
          <t>stage 3</t>
        </is>
      </c>
      <c r="N252" s="5" t="inlineStr"/>
      <c r="O252" s="5" t="inlineStr"/>
    </row>
  </sheetData>
  <autoFilter ref="A1:O252"/>
  <dataValidations count="1">
    <dataValidation sqref="J2:J252" showDropDown="0" showInputMessage="0" showErrorMessage="0" allowBlank="1" type="list">
      <formula1>"question,derived,court/clerk,server,ignore (UI button)"</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6" t="n">
        <v>1</v>
      </c>
      <c r="B2" s="6" t="n">
        <v>1</v>
      </c>
      <c r="C2" s="6" t="inlineStr">
        <is>
          <t>Caption</t>
        </is>
      </c>
      <c r="D2" s="6" t="inlineStr">
        <is>
          <t>Superior Court of California, County of</t>
        </is>
      </c>
      <c r="E2" s="6" t="inlineStr">
        <is>
          <t>DV-150[0].Page1[0].rightCaption[0].CourtInfo[0]</t>
        </is>
      </c>
      <c r="F2" s="6" t="inlineStr">
        <is>
          <t>text</t>
        </is>
      </c>
      <c r="G2" s="6" t="inlineStr"/>
      <c r="H2" s="6" t="inlineStr"/>
      <c r="I2" s="6" t="inlineStr">
        <is>
          <t>400, 219, 574, 286</t>
        </is>
      </c>
      <c r="J2" s="6" t="inlineStr">
        <is>
          <t>derived</t>
        </is>
      </c>
      <c r="K2" s="6" t="inlineStr">
        <is>
          <t>S1,S2</t>
        </is>
      </c>
      <c r="L2" s="6">
        <f> S1.countyName + "\n" + courthouse(S1,S2).streetAddress + ", " + courthouse(S1,S2).cityZip</f>
        <v/>
      </c>
      <c r="M2" s="6" t="inlineStr"/>
      <c r="N2" s="6" t="inlineStr"/>
      <c r="O2" s="6" t="inlineStr"/>
    </row>
    <row r="3">
      <c r="A3" s="5" t="n">
        <v>2</v>
      </c>
      <c r="B3" s="5" t="n">
        <v>1</v>
      </c>
      <c r="C3" s="5" t="inlineStr">
        <is>
          <t>Caption</t>
        </is>
      </c>
      <c r="D3" s="5" t="inlineStr">
        <is>
          <t>Case Number:</t>
        </is>
      </c>
      <c r="E3" s="5" t="inlineStr">
        <is>
          <t>DV-150[0].Page1[0].rightCaption[0].CaseNumber[0]</t>
        </is>
      </c>
      <c r="F3" s="5" t="inlineStr">
        <is>
          <t>text</t>
        </is>
      </c>
      <c r="G3" s="5" t="inlineStr"/>
      <c r="H3" s="5" t="inlineStr"/>
      <c r="I3" s="5" t="inlineStr">
        <is>
          <t>400, 317, 574, 334</t>
        </is>
      </c>
      <c r="J3" s="5" t="inlineStr">
        <is>
          <t>question</t>
        </is>
      </c>
      <c r="K3" s="5" t="inlineStr">
        <is>
          <t>X0</t>
        </is>
      </c>
      <c r="L3" s="5">
        <f> X0</f>
        <v/>
      </c>
      <c r="M3" s="5" t="inlineStr">
        <is>
          <t>stage 3</t>
        </is>
      </c>
      <c r="N3" s="5" t="inlineStr">
        <is>
          <t>The form says "Court fills in case number"; filling it from X0 is optional.</t>
        </is>
      </c>
      <c r="O3" s="5" t="inlineStr"/>
    </row>
    <row r="4">
      <c r="A4" s="5" t="n">
        <v>3</v>
      </c>
      <c r="B4" s="5" t="n">
        <v>1</v>
      </c>
      <c r="C4" s="5" t="inlineStr">
        <is>
          <t>1</t>
        </is>
      </c>
      <c r="D4" s="5" t="inlineStr">
        <is>
          <t>(name):</t>
        </is>
      </c>
      <c r="E4" s="5" t="inlineStr">
        <is>
          <t>DV-150[0].Page1[0].List1[0].Li1[0].ProtectedLawyerName[0]</t>
        </is>
      </c>
      <c r="F4" s="5" t="inlineStr">
        <is>
          <t>text</t>
        </is>
      </c>
      <c r="G4" s="5" t="inlineStr"/>
      <c r="H4" s="5" t="inlineStr"/>
      <c r="I4" s="5" t="inlineStr">
        <is>
          <t>98, 96, 384, 108</t>
        </is>
      </c>
      <c r="J4" s="5" t="inlineStr">
        <is>
          <t>question</t>
        </is>
      </c>
      <c r="K4" s="5" t="inlineStr">
        <is>
          <t>P1</t>
        </is>
      </c>
      <c r="L4" s="5">
        <f> P1</f>
        <v/>
      </c>
      <c r="M4" s="5" t="inlineStr"/>
      <c r="N4" s="5" t="inlineStr">
        <is>
          <t>Field name is a leftover ("ProtectedLawyerName"); the item is "Protected Person (name)".</t>
        </is>
      </c>
      <c r="O4" s="5" t="inlineStr"/>
    </row>
    <row r="5">
      <c r="A5" s="5" t="n">
        <v>4</v>
      </c>
      <c r="B5" s="5" t="n">
        <v>1</v>
      </c>
      <c r="C5" s="5" t="inlineStr">
        <is>
          <t>2</t>
        </is>
      </c>
      <c r="D5" s="5" t="inlineStr">
        <is>
          <t>(name):</t>
        </is>
      </c>
      <c r="E5" s="5" t="inlineStr">
        <is>
          <t>DV-150[0].Page1[0].List2[0].Li1[0].ProtectedLawyerName[0]</t>
        </is>
      </c>
      <c r="F5" s="5" t="inlineStr">
        <is>
          <t>text</t>
        </is>
      </c>
      <c r="G5" s="5" t="inlineStr"/>
      <c r="H5" s="5" t="inlineStr"/>
      <c r="I5" s="5" t="inlineStr">
        <is>
          <t>96, 140, 384, 152</t>
        </is>
      </c>
      <c r="J5" s="5" t="inlineStr">
        <is>
          <t>question</t>
        </is>
      </c>
      <c r="K5" s="5" t="inlineStr">
        <is>
          <t>R1</t>
        </is>
      </c>
      <c r="L5" s="5">
        <f> R1</f>
        <v/>
      </c>
      <c r="M5" s="5" t="inlineStr"/>
      <c r="N5" s="5" t="inlineStr"/>
      <c r="O5" s="5" t="inlineStr"/>
    </row>
    <row r="6">
      <c r="A6" s="8" t="n">
        <v>5</v>
      </c>
      <c r="B6" s="8" t="n">
        <v>1</v>
      </c>
      <c r="C6" s="8" t="inlineStr">
        <is>
          <t>3 (court)</t>
        </is>
      </c>
      <c r="D6" s="8" t="inlineStr">
        <is>
          <t>(date):</t>
        </is>
      </c>
      <c r="E6" s="8" t="inlineStr">
        <is>
          <t>DV-150[0].Page1[0].List3[0].Li1[0].HearingDate_dt[0]</t>
        </is>
      </c>
      <c r="F6" s="8" t="inlineStr">
        <is>
          <t>text</t>
        </is>
      </c>
      <c r="G6" s="8" t="inlineStr"/>
      <c r="H6" s="8" t="inlineStr"/>
      <c r="I6" s="8" t="inlineStr">
        <is>
          <t>198, 190, 387, 205</t>
        </is>
      </c>
      <c r="J6" s="8" t="inlineStr">
        <is>
          <t>court/clerk</t>
        </is>
      </c>
      <c r="K6" s="8" t="inlineStr"/>
      <c r="L6" s="8" t="inlineStr"/>
      <c r="M6" s="8" t="inlineStr"/>
      <c r="N6" s="8" t="inlineStr">
        <is>
          <t>Judge completes (mandatory findings).</t>
        </is>
      </c>
      <c r="O6" s="8" t="inlineStr"/>
    </row>
    <row r="7">
      <c r="A7" s="8" t="n">
        <v>6</v>
      </c>
      <c r="B7" s="8" t="n">
        <v>1</v>
      </c>
      <c r="C7" s="8" t="inlineStr">
        <is>
          <t>3 (court)</t>
        </is>
      </c>
      <c r="D7" s="8" t="inlineStr">
        <is>
          <t>with (name of judicial officer):</t>
        </is>
      </c>
      <c r="E7" s="8" t="inlineStr">
        <is>
          <t>DV-150[0].Page1[0].List3[0].Li1[0].NameOfJudicialOfficer_ft[0]</t>
        </is>
      </c>
      <c r="F7" s="8" t="inlineStr">
        <is>
          <t>text</t>
        </is>
      </c>
      <c r="G7" s="8" t="inlineStr"/>
      <c r="H7" s="8" t="inlineStr"/>
      <c r="I7" s="8" t="inlineStr">
        <is>
          <t>214, 208, 387, 223</t>
        </is>
      </c>
      <c r="J7" s="8" t="inlineStr">
        <is>
          <t>court/clerk</t>
        </is>
      </c>
      <c r="K7" s="8" t="inlineStr"/>
      <c r="L7" s="8" t="inlineStr"/>
      <c r="M7" s="8" t="inlineStr"/>
      <c r="N7" s="8" t="inlineStr">
        <is>
          <t>Judge completes (mandatory findings).</t>
        </is>
      </c>
      <c r="O7" s="8" t="inlineStr"/>
    </row>
    <row r="8">
      <c r="A8" s="8" t="n">
        <v>7</v>
      </c>
      <c r="B8" s="8" t="n">
        <v>1</v>
      </c>
      <c r="C8" s="8" t="inlineStr">
        <is>
          <t>3 (court)</t>
        </is>
      </c>
      <c r="D8" s="8" t="inlineStr">
        <is>
          <t>The person in 1</t>
        </is>
      </c>
      <c r="E8" s="8" t="inlineStr">
        <is>
          <t>DV-150[0].Page1[0].List3[0].Li2[0].FieldName_cb1[0]</t>
        </is>
      </c>
      <c r="F8" s="8" t="inlineStr">
        <is>
          <t>checkbox</t>
        </is>
      </c>
      <c r="G8" s="8" t="inlineStr">
        <is>
          <t>1</t>
        </is>
      </c>
      <c r="H8" s="8" t="inlineStr"/>
      <c r="I8" s="8" t="inlineStr">
        <is>
          <t>75, 256, 84, 265</t>
        </is>
      </c>
      <c r="J8" s="8" t="inlineStr">
        <is>
          <t>court/clerk</t>
        </is>
      </c>
      <c r="K8" s="8" t="inlineStr"/>
      <c r="L8" s="8" t="inlineStr"/>
      <c r="M8" s="8" t="inlineStr"/>
      <c r="N8" s="8" t="inlineStr">
        <is>
          <t>Judge completes (mandatory findings).</t>
        </is>
      </c>
      <c r="O8" s="8" t="inlineStr"/>
    </row>
    <row r="9">
      <c r="A9" s="8" t="n">
        <v>8</v>
      </c>
      <c r="B9" s="8" t="n">
        <v>1</v>
      </c>
      <c r="C9" s="8" t="inlineStr">
        <is>
          <t>3 (court)</t>
        </is>
      </c>
      <c r="D9" s="8" t="inlineStr">
        <is>
          <t>The lawyer for the person in 1</t>
        </is>
      </c>
      <c r="E9" s="8" t="inlineStr">
        <is>
          <t>DV-150[0].Page1[0].List3[0].Li2[0].FieldName_cb2[0]</t>
        </is>
      </c>
      <c r="F9" s="8" t="inlineStr">
        <is>
          <t>checkbox</t>
        </is>
      </c>
      <c r="G9" s="8" t="inlineStr">
        <is>
          <t>1</t>
        </is>
      </c>
      <c r="H9" s="8" t="inlineStr"/>
      <c r="I9" s="8" t="inlineStr">
        <is>
          <t>75, 272, 84, 281</t>
        </is>
      </c>
      <c r="J9" s="8" t="inlineStr">
        <is>
          <t>court/clerk</t>
        </is>
      </c>
      <c r="K9" s="8" t="inlineStr"/>
      <c r="L9" s="8" t="inlineStr"/>
      <c r="M9" s="8" t="inlineStr"/>
      <c r="N9" s="8" t="inlineStr">
        <is>
          <t>Judge completes (mandatory findings).</t>
        </is>
      </c>
      <c r="O9" s="8" t="inlineStr"/>
    </row>
    <row r="10">
      <c r="A10" s="8" t="n">
        <v>9</v>
      </c>
      <c r="B10" s="8" t="n">
        <v>1</v>
      </c>
      <c r="C10" s="8" t="inlineStr">
        <is>
          <t>3 (court)</t>
        </is>
      </c>
      <c r="D10" s="8" t="inlineStr">
        <is>
          <t>(Lawyer’s name):</t>
        </is>
      </c>
      <c r="E10" s="8" t="inlineStr">
        <is>
          <t>DV-150[0].Page1[0].List3[0].Li2[0].T150[0]</t>
        </is>
      </c>
      <c r="F10" s="8" t="inlineStr">
        <is>
          <t>text</t>
        </is>
      </c>
      <c r="G10" s="8" t="inlineStr"/>
      <c r="H10" s="8" t="inlineStr"/>
      <c r="I10" s="8" t="inlineStr">
        <is>
          <t>172, 285, 387, 296</t>
        </is>
      </c>
      <c r="J10" s="8" t="inlineStr">
        <is>
          <t>court/clerk</t>
        </is>
      </c>
      <c r="K10" s="8" t="inlineStr"/>
      <c r="L10" s="8" t="inlineStr"/>
      <c r="M10" s="8" t="inlineStr"/>
      <c r="N10" s="8" t="inlineStr">
        <is>
          <t>Judge completes (mandatory findings).</t>
        </is>
      </c>
      <c r="O10" s="8" t="inlineStr"/>
    </row>
    <row r="11">
      <c r="A11" s="8" t="n">
        <v>10</v>
      </c>
      <c r="B11" s="8" t="n">
        <v>1</v>
      </c>
      <c r="C11" s="8" t="inlineStr">
        <is>
          <t>3 (court)</t>
        </is>
      </c>
      <c r="D11" s="8" t="inlineStr">
        <is>
          <t>The person in 2</t>
        </is>
      </c>
      <c r="E11" s="8" t="inlineStr">
        <is>
          <t>DV-150[0].Page1[0].List3[0].Li2[0].FieldName_cb3[0]</t>
        </is>
      </c>
      <c r="F11" s="8" t="inlineStr">
        <is>
          <t>checkbox</t>
        </is>
      </c>
      <c r="G11" s="8" t="inlineStr">
        <is>
          <t>1</t>
        </is>
      </c>
      <c r="H11" s="8" t="inlineStr"/>
      <c r="I11" s="8" t="inlineStr">
        <is>
          <t>75, 307, 84, 316</t>
        </is>
      </c>
      <c r="J11" s="8" t="inlineStr">
        <is>
          <t>court/clerk</t>
        </is>
      </c>
      <c r="K11" s="8" t="inlineStr"/>
      <c r="L11" s="8" t="inlineStr"/>
      <c r="M11" s="8" t="inlineStr"/>
      <c r="N11" s="8" t="inlineStr">
        <is>
          <t>Judge completes (mandatory findings).</t>
        </is>
      </c>
      <c r="O11" s="8" t="inlineStr"/>
    </row>
    <row r="12">
      <c r="A12" s="8" t="n">
        <v>11</v>
      </c>
      <c r="B12" s="8" t="n">
        <v>1</v>
      </c>
      <c r="C12" s="8" t="inlineStr">
        <is>
          <t>3 (court)</t>
        </is>
      </c>
      <c r="D12" s="8" t="inlineStr">
        <is>
          <t>The lawyer for the person in 2</t>
        </is>
      </c>
      <c r="E12" s="8" t="inlineStr">
        <is>
          <t>DV-150[0].Page1[0].List3[0].Li2[0].FieldName_cb[0]</t>
        </is>
      </c>
      <c r="F12" s="8" t="inlineStr">
        <is>
          <t>checkbox</t>
        </is>
      </c>
      <c r="G12" s="8" t="inlineStr">
        <is>
          <t>1</t>
        </is>
      </c>
      <c r="H12" s="8" t="inlineStr"/>
      <c r="I12" s="8" t="inlineStr">
        <is>
          <t>75, 323, 84, 332</t>
        </is>
      </c>
      <c r="J12" s="8" t="inlineStr">
        <is>
          <t>court/clerk</t>
        </is>
      </c>
      <c r="K12" s="8" t="inlineStr"/>
      <c r="L12" s="8" t="inlineStr"/>
      <c r="M12" s="8" t="inlineStr"/>
      <c r="N12" s="8" t="inlineStr">
        <is>
          <t>Judge completes (mandatory findings).</t>
        </is>
      </c>
      <c r="O12" s="8" t="inlineStr"/>
    </row>
    <row r="13">
      <c r="A13" s="8" t="n">
        <v>12</v>
      </c>
      <c r="B13" s="8" t="n">
        <v>1</v>
      </c>
      <c r="C13" s="8" t="inlineStr">
        <is>
          <t>3 (court)</t>
        </is>
      </c>
      <c r="D13" s="8" t="inlineStr">
        <is>
          <t>(Lawyer’s name):</t>
        </is>
      </c>
      <c r="E13" s="8" t="inlineStr">
        <is>
          <t>DV-150[0].Page1[0].List3[0].Li2[0].T155[0]</t>
        </is>
      </c>
      <c r="F13" s="8" t="inlineStr">
        <is>
          <t>text</t>
        </is>
      </c>
      <c r="G13" s="8" t="inlineStr"/>
      <c r="H13" s="8" t="inlineStr"/>
      <c r="I13" s="8" t="inlineStr">
        <is>
          <t>172, 338, 387, 349</t>
        </is>
      </c>
      <c r="J13" s="8" t="inlineStr">
        <is>
          <t>court/clerk</t>
        </is>
      </c>
      <c r="K13" s="8" t="inlineStr"/>
      <c r="L13" s="8" t="inlineStr"/>
      <c r="M13" s="8" t="inlineStr"/>
      <c r="N13" s="8" t="inlineStr">
        <is>
          <t>Judge completes (mandatory findings).</t>
        </is>
      </c>
      <c r="O13" s="8" t="inlineStr"/>
    </row>
    <row r="14">
      <c r="A14" s="8" t="n">
        <v>13</v>
      </c>
      <c r="B14" s="8" t="n">
        <v>1</v>
      </c>
      <c r="C14" s="8" t="inlineStr">
        <is>
          <t>4 (court)</t>
        </is>
      </c>
      <c r="D14" s="8" t="inlineStr">
        <is>
          <t>The Restrained Person Is Granted Sole Custody, Joint Custody, or Unsupervised Visits</t>
        </is>
      </c>
      <c r="E14" s="8" t="inlineStr">
        <is>
          <t>DV-150[0].Page1[0].List4[0].CheckBoxRightCaption[0]</t>
        </is>
      </c>
      <c r="F14" s="8" t="inlineStr">
        <is>
          <t>checkbox</t>
        </is>
      </c>
      <c r="G14" s="8" t="inlineStr">
        <is>
          <t>1</t>
        </is>
      </c>
      <c r="H14" s="8" t="inlineStr"/>
      <c r="I14" s="8" t="inlineStr">
        <is>
          <t>62, 373, 71, 382</t>
        </is>
      </c>
      <c r="J14" s="8" t="inlineStr">
        <is>
          <t>court/clerk</t>
        </is>
      </c>
      <c r="K14" s="8" t="inlineStr"/>
      <c r="L14" s="8" t="inlineStr"/>
      <c r="M14" s="8" t="inlineStr"/>
      <c r="N14" s="8" t="inlineStr">
        <is>
          <t>Judge completes (mandatory findings).</t>
        </is>
      </c>
      <c r="O14" s="8" t="inlineStr"/>
    </row>
    <row r="15">
      <c r="A15" s="8" t="n">
        <v>14</v>
      </c>
      <c r="B15" s="8" t="n">
        <v>1</v>
      </c>
      <c r="C15" s="8" t="inlineStr">
        <is>
          <t>4 (court)</t>
        </is>
      </c>
      <c r="D15" s="8" t="inlineStr">
        <is>
          <t>The children listed on form DV-140, item 3</t>
        </is>
      </c>
      <c r="E15" s="8" t="inlineStr">
        <is>
          <t>DV-150[0].Page1[0].List4[0].Li1[0].item4a_cb[0]</t>
        </is>
      </c>
      <c r="F15" s="8" t="inlineStr">
        <is>
          <t>checkbox</t>
        </is>
      </c>
      <c r="G15" s="8" t="inlineStr">
        <is>
          <t>1</t>
        </is>
      </c>
      <c r="H15" s="8" t="inlineStr"/>
      <c r="I15" s="8" t="inlineStr">
        <is>
          <t>78, 464, 87, 473</t>
        </is>
      </c>
      <c r="J15" s="8" t="inlineStr">
        <is>
          <t>court/clerk</t>
        </is>
      </c>
      <c r="K15" s="8" t="inlineStr"/>
      <c r="L15" s="8" t="inlineStr"/>
      <c r="M15" s="8" t="inlineStr"/>
      <c r="N15" s="8" t="inlineStr">
        <is>
          <t>Judge completes (mandatory findings).</t>
        </is>
      </c>
      <c r="O15" s="8" t="inlineStr"/>
    </row>
    <row r="16">
      <c r="A16" s="8" t="n">
        <v>15</v>
      </c>
      <c r="B16" s="8" t="n">
        <v>1</v>
      </c>
      <c r="C16" s="8" t="inlineStr">
        <is>
          <t>4 (court)</t>
        </is>
      </c>
      <c r="D16" s="8" t="inlineStr">
        <is>
          <t>Only the children listed here (names of children):</t>
        </is>
      </c>
      <c r="E16" s="8" t="inlineStr">
        <is>
          <t>DV-150[0].Page1[0].List4[0].Li1[0].item4a_cb[1]</t>
        </is>
      </c>
      <c r="F16" s="8" t="inlineStr">
        <is>
          <t>checkbox</t>
        </is>
      </c>
      <c r="G16" s="8" t="inlineStr">
        <is>
          <t>11</t>
        </is>
      </c>
      <c r="H16" s="8" t="inlineStr"/>
      <c r="I16" s="8" t="inlineStr">
        <is>
          <t>78, 479, 87, 488</t>
        </is>
      </c>
      <c r="J16" s="8" t="inlineStr">
        <is>
          <t>court/clerk</t>
        </is>
      </c>
      <c r="K16" s="8" t="inlineStr"/>
      <c r="L16" s="8" t="inlineStr"/>
      <c r="M16" s="8" t="inlineStr"/>
      <c r="N16" s="8" t="inlineStr">
        <is>
          <t>Judge completes (mandatory findings).</t>
        </is>
      </c>
      <c r="O16" s="8" t="inlineStr"/>
    </row>
    <row r="17">
      <c r="A17" s="8" t="n">
        <v>16</v>
      </c>
      <c r="B17" s="8" t="n">
        <v>1</v>
      </c>
      <c r="C17" s="8" t="inlineStr">
        <is>
          <t>4 (court)</t>
        </is>
      </c>
      <c r="D17" s="8" t="inlineStr">
        <is>
          <t>Only the children listed here (names of children):</t>
        </is>
      </c>
      <c r="E17" s="8" t="inlineStr">
        <is>
          <t>DV-150[0].Page1[0].List4[0].Li1[0].item4a[0]</t>
        </is>
      </c>
      <c r="F17" s="8" t="inlineStr">
        <is>
          <t>text</t>
        </is>
      </c>
      <c r="G17" s="8" t="inlineStr"/>
      <c r="H17" s="8" t="inlineStr"/>
      <c r="I17" s="8" t="inlineStr">
        <is>
          <t>315, 479, 564, 490</t>
        </is>
      </c>
      <c r="J17" s="8" t="inlineStr">
        <is>
          <t>court/clerk</t>
        </is>
      </c>
      <c r="K17" s="8" t="inlineStr"/>
      <c r="L17" s="8" t="inlineStr"/>
      <c r="M17" s="8" t="inlineStr"/>
      <c r="N17" s="8" t="inlineStr">
        <is>
          <t>Judge completes (mandatory findings).</t>
        </is>
      </c>
      <c r="O17" s="8" t="inlineStr"/>
    </row>
    <row r="18">
      <c r="A18" s="8" t="n">
        <v>17</v>
      </c>
      <c r="B18" s="8" t="n">
        <v>1</v>
      </c>
      <c r="C18" s="8" t="inlineStr">
        <is>
          <t>4 (court)</t>
        </is>
      </c>
      <c r="D18" s="8" t="inlineStr">
        <is>
          <t>Only the children listed here (names of children):</t>
        </is>
      </c>
      <c r="E18" s="8" t="inlineStr">
        <is>
          <t>DV-150[0].Page1[0].List4[0].Li1[0].item4aCont[0]</t>
        </is>
      </c>
      <c r="F18" s="8" t="inlineStr">
        <is>
          <t>text</t>
        </is>
      </c>
      <c r="G18" s="8" t="inlineStr"/>
      <c r="H18" s="8" t="inlineStr"/>
      <c r="I18" s="8" t="inlineStr">
        <is>
          <t>96, 492, 565, 503</t>
        </is>
      </c>
      <c r="J18" s="8" t="inlineStr">
        <is>
          <t>court/clerk</t>
        </is>
      </c>
      <c r="K18" s="8" t="inlineStr"/>
      <c r="L18" s="8" t="inlineStr"/>
      <c r="M18" s="8" t="inlineStr"/>
      <c r="N18" s="8" t="inlineStr">
        <is>
          <t>Judge completes (mandatory findings).</t>
        </is>
      </c>
      <c r="O18" s="8" t="inlineStr"/>
    </row>
    <row r="19">
      <c r="A19" s="8" t="n">
        <v>18</v>
      </c>
      <c r="B19" s="8" t="n">
        <v>1</v>
      </c>
      <c r="C19" s="8" t="inlineStr">
        <is>
          <t>4 (court)</t>
        </is>
      </c>
      <c r="D19" s="8" t="inlineStr">
        <is>
          <t>Court’s reasons for granting sole or joint physical or legal custody, or unsupervised visits:</t>
        </is>
      </c>
      <c r="E19" s="8" t="inlineStr">
        <is>
          <t>DV-150[0].Page1[0].List4[0].Li2[0].tf1[0]</t>
        </is>
      </c>
      <c r="F19" s="8" t="inlineStr">
        <is>
          <t>text</t>
        </is>
      </c>
      <c r="G19" s="8" t="inlineStr"/>
      <c r="H19" s="8" t="inlineStr"/>
      <c r="I19" s="8" t="inlineStr">
        <is>
          <t>80, 590, 572, 680</t>
        </is>
      </c>
      <c r="J19" s="8" t="inlineStr">
        <is>
          <t>court/clerk</t>
        </is>
      </c>
      <c r="K19" s="8" t="inlineStr"/>
      <c r="L19" s="8" t="inlineStr"/>
      <c r="M19" s="8" t="inlineStr"/>
      <c r="N19" s="8" t="inlineStr">
        <is>
          <t>Judge completes (mandatory findings).</t>
        </is>
      </c>
      <c r="O19" s="8" t="inlineStr"/>
    </row>
    <row r="20">
      <c r="A20" s="5" t="n">
        <v>19</v>
      </c>
      <c r="B20" s="5" t="n">
        <v>2</v>
      </c>
      <c r="C20" s="5" t="inlineStr">
        <is>
          <t>Caption</t>
        </is>
      </c>
      <c r="D20" s="5" t="inlineStr">
        <is>
          <t>Case Number:</t>
        </is>
      </c>
      <c r="E20" s="5" t="inlineStr">
        <is>
          <t>DV-150[0].Page2[0].CaptionSub[0].CaseNumber[0]</t>
        </is>
      </c>
      <c r="F20" s="5" t="inlineStr">
        <is>
          <t>text</t>
        </is>
      </c>
      <c r="G20" s="5" t="inlineStr"/>
      <c r="H20" s="5" t="inlineStr"/>
      <c r="I20" s="5" t="inlineStr">
        <is>
          <t>406, 49, 576, 65</t>
        </is>
      </c>
      <c r="J20" s="5" t="inlineStr">
        <is>
          <t>question</t>
        </is>
      </c>
      <c r="K20" s="5" t="inlineStr">
        <is>
          <t>X0</t>
        </is>
      </c>
      <c r="L20" s="5">
        <f> X0</f>
        <v/>
      </c>
      <c r="M20" s="5" t="inlineStr">
        <is>
          <t>stage 3</t>
        </is>
      </c>
      <c r="N20" s="5" t="inlineStr"/>
      <c r="O20" s="5" t="inlineStr"/>
    </row>
    <row r="21">
      <c r="A21" s="8" t="n">
        <v>20</v>
      </c>
      <c r="B21" s="8" t="n">
        <v>2</v>
      </c>
      <c r="C21" s="8" t="inlineStr">
        <is>
          <t>5 (court)</t>
        </is>
      </c>
      <c r="D21" s="8" t="inlineStr">
        <is>
          <t>The Restrained Person Is Granted Sole or Joint Custody and Has Committed  Domestic Violence in the Last Five Years</t>
        </is>
      </c>
      <c r="E21" s="8" t="inlineStr">
        <is>
          <t>DV-150[0].Page2[0].List5[0].CheckBoxRightCaption[0]</t>
        </is>
      </c>
      <c r="F21" s="8" t="inlineStr">
        <is>
          <t>checkbox</t>
        </is>
      </c>
      <c r="G21" s="8" t="inlineStr">
        <is>
          <t>1</t>
        </is>
      </c>
      <c r="H21" s="8" t="inlineStr"/>
      <c r="I21" s="8" t="inlineStr">
        <is>
          <t>63, 93, 72, 102</t>
        </is>
      </c>
      <c r="J21" s="8" t="inlineStr">
        <is>
          <t>court/clerk</t>
        </is>
      </c>
      <c r="K21" s="8" t="inlineStr"/>
      <c r="L21" s="8" t="inlineStr"/>
      <c r="M21" s="8" t="inlineStr"/>
      <c r="N21" s="8" t="inlineStr">
        <is>
          <t>Judge completes (mandatory findings).</t>
        </is>
      </c>
      <c r="O21" s="8" t="inlineStr"/>
    </row>
    <row r="22">
      <c r="A22" s="8" t="n">
        <v>21</v>
      </c>
      <c r="B22" s="8" t="n">
        <v>2</v>
      </c>
      <c r="C22" s="8" t="inlineStr">
        <is>
          <t>5 (court)</t>
        </is>
      </c>
      <c r="D22" s="8" t="inlineStr">
        <is>
          <t>Sole or joint legal custody</t>
        </is>
      </c>
      <c r="E22" s="8" t="inlineStr">
        <is>
          <t>DV-150[0].Page2[0].List5[0].Li1[0].MultilineCheckBox[0]</t>
        </is>
      </c>
      <c r="F22" s="8" t="inlineStr">
        <is>
          <t>checkbox</t>
        </is>
      </c>
      <c r="G22" s="8" t="inlineStr">
        <is>
          <t>1</t>
        </is>
      </c>
      <c r="H22" s="8" t="inlineStr"/>
      <c r="I22" s="8" t="inlineStr">
        <is>
          <t>77, 200, 86, 209</t>
        </is>
      </c>
      <c r="J22" s="8" t="inlineStr">
        <is>
          <t>court/clerk</t>
        </is>
      </c>
      <c r="K22" s="8" t="inlineStr"/>
      <c r="L22" s="8" t="inlineStr"/>
      <c r="M22" s="8" t="inlineStr"/>
      <c r="N22" s="8" t="inlineStr">
        <is>
          <t>Judge completes (mandatory findings).</t>
        </is>
      </c>
      <c r="O22" s="8" t="inlineStr"/>
    </row>
    <row r="23">
      <c r="A23" s="8" t="n">
        <v>22</v>
      </c>
      <c r="B23" s="8" t="n">
        <v>2</v>
      </c>
      <c r="C23" s="8" t="inlineStr">
        <is>
          <t>5 (court)</t>
        </is>
      </c>
      <c r="D23" s="8" t="inlineStr">
        <is>
          <t>Sole or joint physical custody</t>
        </is>
      </c>
      <c r="E23" s="8" t="inlineStr">
        <is>
          <t>DV-150[0].Page2[0].List5[0].Li1[0].MultilineCheckBox1[0]</t>
        </is>
      </c>
      <c r="F23" s="8" t="inlineStr">
        <is>
          <t>checkbox</t>
        </is>
      </c>
      <c r="G23" s="8" t="inlineStr">
        <is>
          <t>1</t>
        </is>
      </c>
      <c r="H23" s="8" t="inlineStr"/>
      <c r="I23" s="8" t="inlineStr">
        <is>
          <t>77, 215, 86, 224</t>
        </is>
      </c>
      <c r="J23" s="8" t="inlineStr">
        <is>
          <t>court/clerk</t>
        </is>
      </c>
      <c r="K23" s="8" t="inlineStr"/>
      <c r="L23" s="8" t="inlineStr"/>
      <c r="M23" s="8" t="inlineStr"/>
      <c r="N23" s="8" t="inlineStr">
        <is>
          <t>Judge completes (mandatory findings).</t>
        </is>
      </c>
      <c r="O23" s="8" t="inlineStr"/>
    </row>
    <row r="24">
      <c r="A24" s="8" t="n">
        <v>23</v>
      </c>
      <c r="B24" s="8" t="n">
        <v>2</v>
      </c>
      <c r="C24" s="8" t="inlineStr">
        <is>
          <t>5 (court)</t>
        </is>
      </c>
      <c r="D24" s="8" t="inlineStr">
        <is>
          <t>The children listed on form DV-140, item 3</t>
        </is>
      </c>
      <c r="E24" s="8" t="inlineStr">
        <is>
          <t>DV-150[0].Page2[0].List5[0].Li2[0].item5b_cb[0]</t>
        </is>
      </c>
      <c r="F24" s="8" t="inlineStr">
        <is>
          <t>checkbox</t>
        </is>
      </c>
      <c r="G24" s="8" t="inlineStr">
        <is>
          <t>1</t>
        </is>
      </c>
      <c r="H24" s="8" t="inlineStr"/>
      <c r="I24" s="8" t="inlineStr">
        <is>
          <t>77, 267, 86, 276</t>
        </is>
      </c>
      <c r="J24" s="8" t="inlineStr">
        <is>
          <t>court/clerk</t>
        </is>
      </c>
      <c r="K24" s="8" t="inlineStr"/>
      <c r="L24" s="8" t="inlineStr"/>
      <c r="M24" s="8" t="inlineStr"/>
      <c r="N24" s="8" t="inlineStr">
        <is>
          <t>Judge completes (mandatory findings).</t>
        </is>
      </c>
      <c r="O24" s="8" t="inlineStr"/>
    </row>
    <row r="25">
      <c r="A25" s="8" t="n">
        <v>24</v>
      </c>
      <c r="B25" s="8" t="n">
        <v>2</v>
      </c>
      <c r="C25" s="8" t="inlineStr">
        <is>
          <t>5 (court)</t>
        </is>
      </c>
      <c r="D25" s="8" t="inlineStr">
        <is>
          <t>Only the children listed here (names of children):</t>
        </is>
      </c>
      <c r="E25" s="8" t="inlineStr">
        <is>
          <t>DV-150[0].Page2[0].List5[0].Li2[0].item5b_cb[1]</t>
        </is>
      </c>
      <c r="F25" s="8" t="inlineStr">
        <is>
          <t>checkbox</t>
        </is>
      </c>
      <c r="G25" s="8" t="inlineStr">
        <is>
          <t>11</t>
        </is>
      </c>
      <c r="H25" s="8" t="inlineStr"/>
      <c r="I25" s="8" t="inlineStr">
        <is>
          <t>77, 282, 86, 291</t>
        </is>
      </c>
      <c r="J25" s="8" t="inlineStr">
        <is>
          <t>court/clerk</t>
        </is>
      </c>
      <c r="K25" s="8" t="inlineStr"/>
      <c r="L25" s="8" t="inlineStr"/>
      <c r="M25" s="8" t="inlineStr"/>
      <c r="N25" s="8" t="inlineStr">
        <is>
          <t>Judge completes (mandatory findings).</t>
        </is>
      </c>
      <c r="O25" s="8" t="inlineStr"/>
    </row>
    <row r="26">
      <c r="A26" s="8" t="n">
        <v>25</v>
      </c>
      <c r="B26" s="8" t="n">
        <v>2</v>
      </c>
      <c r="C26" s="8" t="inlineStr">
        <is>
          <t>5 (court)</t>
        </is>
      </c>
      <c r="D26" s="8" t="inlineStr">
        <is>
          <t>Only the children listed here (names of children):</t>
        </is>
      </c>
      <c r="E26" s="8" t="inlineStr">
        <is>
          <t>DV-150[0].Page2[0].List5[0].Li2[0].item5b[0]</t>
        </is>
      </c>
      <c r="F26" s="8" t="inlineStr">
        <is>
          <t>text</t>
        </is>
      </c>
      <c r="G26" s="8" t="inlineStr"/>
      <c r="H26" s="8" t="inlineStr"/>
      <c r="I26" s="8" t="inlineStr">
        <is>
          <t>314, 282, 574, 293</t>
        </is>
      </c>
      <c r="J26" s="8" t="inlineStr">
        <is>
          <t>court/clerk</t>
        </is>
      </c>
      <c r="K26" s="8" t="inlineStr"/>
      <c r="L26" s="8" t="inlineStr"/>
      <c r="M26" s="8" t="inlineStr"/>
      <c r="N26" s="8" t="inlineStr">
        <is>
          <t>Judge completes (mandatory findings).</t>
        </is>
      </c>
      <c r="O26" s="8" t="inlineStr"/>
    </row>
    <row r="27">
      <c r="A27" s="8" t="n">
        <v>26</v>
      </c>
      <c r="B27" s="8" t="n">
        <v>2</v>
      </c>
      <c r="C27" s="8" t="inlineStr">
        <is>
          <t>5 (court)</t>
        </is>
      </c>
      <c r="D27" s="8" t="inlineStr">
        <is>
          <t>Only the children listed here (names of children):</t>
        </is>
      </c>
      <c r="E27" s="8" t="inlineStr">
        <is>
          <t>DV-150[0].Page2[0].List5[0].Li2[0].item5bCont[0]</t>
        </is>
      </c>
      <c r="F27" s="8" t="inlineStr">
        <is>
          <t>text</t>
        </is>
      </c>
      <c r="G27" s="8" t="inlineStr"/>
      <c r="H27" s="8" t="inlineStr"/>
      <c r="I27" s="8" t="inlineStr">
        <is>
          <t>94, 294, 574, 305</t>
        </is>
      </c>
      <c r="J27" s="8" t="inlineStr">
        <is>
          <t>court/clerk</t>
        </is>
      </c>
      <c r="K27" s="8" t="inlineStr"/>
      <c r="L27" s="8" t="inlineStr"/>
      <c r="M27" s="8" t="inlineStr"/>
      <c r="N27" s="8" t="inlineStr">
        <is>
          <t>Judge completes (mandatory findings).</t>
        </is>
      </c>
      <c r="O27" s="8" t="inlineStr"/>
    </row>
    <row r="28">
      <c r="A28" s="8" t="n">
        <v>27</v>
      </c>
      <c r="B28" s="8" t="n">
        <v>2</v>
      </c>
      <c r="C28" s="8" t="inlineStr">
        <is>
          <t>5 (court)</t>
        </is>
      </c>
      <c r="D28" s="8" t="inlineStr">
        <is>
          <t>Court’s reasons for granting sole or joint physical or legal custody:</t>
        </is>
      </c>
      <c r="E28" s="8" t="inlineStr">
        <is>
          <t>DV-150[0].Page2[0].List5[0].Li3[0].tf1[0]</t>
        </is>
      </c>
      <c r="F28" s="8" t="inlineStr">
        <is>
          <t>text</t>
        </is>
      </c>
      <c r="G28" s="8" t="inlineStr"/>
      <c r="H28" s="8" t="inlineStr"/>
      <c r="I28" s="8" t="inlineStr">
        <is>
          <t>77, 391, 573, 642</t>
        </is>
      </c>
      <c r="J28" s="8" t="inlineStr">
        <is>
          <t>court/clerk</t>
        </is>
      </c>
      <c r="K28" s="8" t="inlineStr"/>
      <c r="L28" s="8" t="inlineStr"/>
      <c r="M28" s="8" t="inlineStr"/>
      <c r="N28" s="8" t="inlineStr">
        <is>
          <t>Judge completes (mandatory findings).</t>
        </is>
      </c>
      <c r="O28" s="8" t="inlineStr"/>
    </row>
    <row r="29">
      <c r="A29" s="5" t="n">
        <v>28</v>
      </c>
      <c r="B29" s="5" t="n">
        <v>3</v>
      </c>
      <c r="C29" s="5" t="inlineStr">
        <is>
          <t>Caption</t>
        </is>
      </c>
      <c r="D29" s="5" t="inlineStr">
        <is>
          <t>Case Number:</t>
        </is>
      </c>
      <c r="E29" s="5" t="inlineStr">
        <is>
          <t>DV-150[0].Page3[0].CaseNumber[0]</t>
        </is>
      </c>
      <c r="F29" s="5" t="inlineStr">
        <is>
          <t>text</t>
        </is>
      </c>
      <c r="G29" s="5" t="inlineStr"/>
      <c r="H29" s="5" t="inlineStr"/>
      <c r="I29" s="5" t="inlineStr">
        <is>
          <t>406, 47, 576, 63</t>
        </is>
      </c>
      <c r="J29" s="5" t="inlineStr">
        <is>
          <t>question</t>
        </is>
      </c>
      <c r="K29" s="5" t="inlineStr">
        <is>
          <t>X0</t>
        </is>
      </c>
      <c r="L29" s="5">
        <f> X0</f>
        <v/>
      </c>
      <c r="M29" s="5" t="inlineStr">
        <is>
          <t>stage 3</t>
        </is>
      </c>
      <c r="N29" s="5" t="inlineStr"/>
      <c r="O29" s="5" t="inlineStr"/>
    </row>
    <row r="30">
      <c r="A30" s="8" t="n">
        <v>29</v>
      </c>
      <c r="B30" s="8" t="n">
        <v>3</v>
      </c>
      <c r="C30" s="8" t="inlineStr">
        <is>
          <t>5 (court)</t>
        </is>
      </c>
      <c r="D30" s="8" t="inlineStr">
        <is>
          <t>Yes</t>
        </is>
      </c>
      <c r="E30" s="8" t="inlineStr">
        <is>
          <t>DV-150[0].Page3[0].List5Cont[0].Li1[0].item5d1[0]</t>
        </is>
      </c>
      <c r="F30" s="8" t="inlineStr">
        <is>
          <t>checkbox</t>
        </is>
      </c>
      <c r="G30" s="8" t="inlineStr">
        <is>
          <t>1</t>
        </is>
      </c>
      <c r="H30" s="8" t="inlineStr"/>
      <c r="I30" s="8" t="inlineStr">
        <is>
          <t>97, 136, 106, 145</t>
        </is>
      </c>
      <c r="J30" s="8" t="inlineStr">
        <is>
          <t>court/clerk</t>
        </is>
      </c>
      <c r="K30" s="8" t="inlineStr"/>
      <c r="L30" s="8" t="inlineStr"/>
      <c r="M30" s="8" t="inlineStr"/>
      <c r="N30" s="8" t="inlineStr">
        <is>
          <t>Judge completes (mandatory findings).</t>
        </is>
      </c>
      <c r="O30" s="8" t="inlineStr"/>
    </row>
    <row r="31">
      <c r="A31" s="8" t="n">
        <v>30</v>
      </c>
      <c r="B31" s="8" t="n">
        <v>3</v>
      </c>
      <c r="C31" s="8" t="inlineStr">
        <is>
          <t>5 (court)</t>
        </is>
      </c>
      <c r="D31" s="8" t="inlineStr">
        <is>
          <t>No</t>
        </is>
      </c>
      <c r="E31" s="8" t="inlineStr">
        <is>
          <t>DV-150[0].Page3[0].List5Cont[0].Li1[0].item5d1[1]</t>
        </is>
      </c>
      <c r="F31" s="8" t="inlineStr">
        <is>
          <t>checkbox</t>
        </is>
      </c>
      <c r="G31" s="8" t="inlineStr">
        <is>
          <t>11</t>
        </is>
      </c>
      <c r="H31" s="8" t="inlineStr"/>
      <c r="I31" s="8" t="inlineStr">
        <is>
          <t>149, 136, 158, 145</t>
        </is>
      </c>
      <c r="J31" s="8" t="inlineStr">
        <is>
          <t>court/clerk</t>
        </is>
      </c>
      <c r="K31" s="8" t="inlineStr"/>
      <c r="L31" s="8" t="inlineStr"/>
      <c r="M31" s="8" t="inlineStr"/>
      <c r="N31" s="8" t="inlineStr">
        <is>
          <t>Judge completes (mandatory findings).</t>
        </is>
      </c>
      <c r="O31" s="8" t="inlineStr"/>
    </row>
    <row r="32">
      <c r="A32" s="8" t="n">
        <v>31</v>
      </c>
      <c r="B32" s="8" t="n">
        <v>3</v>
      </c>
      <c r="C32" s="8" t="inlineStr">
        <is>
          <t>5 (court)</t>
        </is>
      </c>
      <c r="D32" s="8" t="inlineStr">
        <is>
          <t>(Explain, as needed):</t>
        </is>
      </c>
      <c r="E32" s="8" t="inlineStr">
        <is>
          <t>DV-150[0].Page3[0].List5Cont[0].Li1[0].tf1[0]</t>
        </is>
      </c>
      <c r="F32" s="8" t="inlineStr">
        <is>
          <t>text</t>
        </is>
      </c>
      <c r="G32" s="8" t="inlineStr"/>
      <c r="H32" s="8" t="inlineStr"/>
      <c r="I32" s="8" t="inlineStr">
        <is>
          <t>98, 162, 563, 219</t>
        </is>
      </c>
      <c r="J32" s="8" t="inlineStr">
        <is>
          <t>court/clerk</t>
        </is>
      </c>
      <c r="K32" s="8" t="inlineStr"/>
      <c r="L32" s="8" t="inlineStr"/>
      <c r="M32" s="8" t="inlineStr"/>
      <c r="N32" s="8" t="inlineStr">
        <is>
          <t>Judge completes (mandatory findings).</t>
        </is>
      </c>
      <c r="O32" s="8" t="inlineStr"/>
    </row>
    <row r="33">
      <c r="A33" s="8" t="n">
        <v>32</v>
      </c>
      <c r="B33" s="8" t="n">
        <v>3</v>
      </c>
      <c r="C33" s="8" t="inlineStr">
        <is>
          <t>5 (court)</t>
        </is>
      </c>
      <c r="D33" s="8" t="inlineStr">
        <is>
          <t>Yes</t>
        </is>
      </c>
      <c r="E33" s="8" t="inlineStr">
        <is>
          <t>DV-150[0].Page3[0].List5Cont[0].Li2[0].item5d2[0]</t>
        </is>
      </c>
      <c r="F33" s="8" t="inlineStr">
        <is>
          <t>checkbox</t>
        </is>
      </c>
      <c r="G33" s="8" t="inlineStr">
        <is>
          <t>1</t>
        </is>
      </c>
      <c r="H33" s="8" t="inlineStr"/>
      <c r="I33" s="8" t="inlineStr">
        <is>
          <t>97, 254, 106, 263</t>
        </is>
      </c>
      <c r="J33" s="8" t="inlineStr">
        <is>
          <t>court/clerk</t>
        </is>
      </c>
      <c r="K33" s="8" t="inlineStr"/>
      <c r="L33" s="8" t="inlineStr"/>
      <c r="M33" s="8" t="inlineStr"/>
      <c r="N33" s="8" t="inlineStr">
        <is>
          <t>Judge completes (mandatory findings).</t>
        </is>
      </c>
      <c r="O33" s="8" t="inlineStr"/>
    </row>
    <row r="34">
      <c r="A34" s="8" t="n">
        <v>33</v>
      </c>
      <c r="B34" s="8" t="n">
        <v>3</v>
      </c>
      <c r="C34" s="8" t="inlineStr">
        <is>
          <t>5 (court)</t>
        </is>
      </c>
      <c r="D34" s="8" t="inlineStr">
        <is>
          <t>No</t>
        </is>
      </c>
      <c r="E34" s="8" t="inlineStr">
        <is>
          <t>DV-150[0].Page3[0].List5Cont[0].Li2[0].item5d2[1]</t>
        </is>
      </c>
      <c r="F34" s="8" t="inlineStr">
        <is>
          <t>checkbox</t>
        </is>
      </c>
      <c r="G34" s="8" t="inlineStr">
        <is>
          <t>11</t>
        </is>
      </c>
      <c r="H34" s="8" t="inlineStr"/>
      <c r="I34" s="8" t="inlineStr">
        <is>
          <t>149, 254, 158, 263</t>
        </is>
      </c>
      <c r="J34" s="8" t="inlineStr">
        <is>
          <t>court/clerk</t>
        </is>
      </c>
      <c r="K34" s="8" t="inlineStr"/>
      <c r="L34" s="8" t="inlineStr"/>
      <c r="M34" s="8" t="inlineStr"/>
      <c r="N34" s="8" t="inlineStr">
        <is>
          <t>Judge completes (mandatory findings).</t>
        </is>
      </c>
      <c r="O34" s="8" t="inlineStr"/>
    </row>
    <row r="35">
      <c r="A35" s="8" t="n">
        <v>34</v>
      </c>
      <c r="B35" s="8" t="n">
        <v>3</v>
      </c>
      <c r="C35" s="8" t="inlineStr">
        <is>
          <t>5 (court)</t>
        </is>
      </c>
      <c r="D35" s="8" t="inlineStr">
        <is>
          <t>Does not apply. The court decided counseling was not appropriate.</t>
        </is>
      </c>
      <c r="E35" s="8" t="inlineStr">
        <is>
          <t>DV-150[0].Page3[0].List5Cont[0].Li2[0].item5d2[2]</t>
        </is>
      </c>
      <c r="F35" s="8" t="inlineStr">
        <is>
          <t>checkbox</t>
        </is>
      </c>
      <c r="G35" s="8" t="inlineStr">
        <is>
          <t>22</t>
        </is>
      </c>
      <c r="H35" s="8" t="inlineStr"/>
      <c r="I35" s="8" t="inlineStr">
        <is>
          <t>200, 254, 209, 263</t>
        </is>
      </c>
      <c r="J35" s="8" t="inlineStr">
        <is>
          <t>court/clerk</t>
        </is>
      </c>
      <c r="K35" s="8" t="inlineStr"/>
      <c r="L35" s="8" t="inlineStr"/>
      <c r="M35" s="8" t="inlineStr"/>
      <c r="N35" s="8" t="inlineStr">
        <is>
          <t>Judge completes (mandatory findings).</t>
        </is>
      </c>
      <c r="O35" s="8" t="inlineStr"/>
    </row>
    <row r="36">
      <c r="A36" s="8" t="n">
        <v>35</v>
      </c>
      <c r="B36" s="8" t="n">
        <v>3</v>
      </c>
      <c r="C36" s="8" t="inlineStr">
        <is>
          <t>5 (court)</t>
        </is>
      </c>
      <c r="D36" s="8" t="inlineStr">
        <is>
          <t>(Explain, as needed):</t>
        </is>
      </c>
      <c r="E36" s="8" t="inlineStr">
        <is>
          <t>DV-150[0].Page3[0].List5Cont[0].Li2[0].tf1[0]</t>
        </is>
      </c>
      <c r="F36" s="8" t="inlineStr">
        <is>
          <t>text</t>
        </is>
      </c>
      <c r="G36" s="8" t="inlineStr"/>
      <c r="H36" s="8" t="inlineStr"/>
      <c r="I36" s="8" t="inlineStr">
        <is>
          <t>98, 280, 563, 337</t>
        </is>
      </c>
      <c r="J36" s="8" t="inlineStr">
        <is>
          <t>court/clerk</t>
        </is>
      </c>
      <c r="K36" s="8" t="inlineStr"/>
      <c r="L36" s="8" t="inlineStr"/>
      <c r="M36" s="8" t="inlineStr"/>
      <c r="N36" s="8" t="inlineStr">
        <is>
          <t>Judge completes (mandatory findings).</t>
        </is>
      </c>
      <c r="O36" s="8" t="inlineStr"/>
    </row>
    <row r="37">
      <c r="A37" s="8" t="n">
        <v>36</v>
      </c>
      <c r="B37" s="8" t="n">
        <v>3</v>
      </c>
      <c r="C37" s="8" t="inlineStr">
        <is>
          <t>5 (court)</t>
        </is>
      </c>
      <c r="D37" s="8" t="inlineStr">
        <is>
          <t>Yes</t>
        </is>
      </c>
      <c r="E37" s="8" t="inlineStr">
        <is>
          <t>DV-150[0].Page3[0].List5Cont[0].Li3[0].item5d3[0]</t>
        </is>
      </c>
      <c r="F37" s="8" t="inlineStr">
        <is>
          <t>checkbox</t>
        </is>
      </c>
      <c r="G37" s="8" t="inlineStr">
        <is>
          <t>1</t>
        </is>
      </c>
      <c r="H37" s="8" t="inlineStr"/>
      <c r="I37" s="8" t="inlineStr">
        <is>
          <t>96, 372, 105, 381</t>
        </is>
      </c>
      <c r="J37" s="8" t="inlineStr">
        <is>
          <t>court/clerk</t>
        </is>
      </c>
      <c r="K37" s="8" t="inlineStr"/>
      <c r="L37" s="8" t="inlineStr"/>
      <c r="M37" s="8" t="inlineStr"/>
      <c r="N37" s="8" t="inlineStr">
        <is>
          <t>Judge completes (mandatory findings).</t>
        </is>
      </c>
      <c r="O37" s="8" t="inlineStr"/>
    </row>
    <row r="38">
      <c r="A38" s="8" t="n">
        <v>37</v>
      </c>
      <c r="B38" s="8" t="n">
        <v>3</v>
      </c>
      <c r="C38" s="8" t="inlineStr">
        <is>
          <t>5 (court)</t>
        </is>
      </c>
      <c r="D38" s="8" t="inlineStr">
        <is>
          <t>No</t>
        </is>
      </c>
      <c r="E38" s="8" t="inlineStr">
        <is>
          <t>DV-150[0].Page3[0].List5Cont[0].Li3[0].item5d3[1]</t>
        </is>
      </c>
      <c r="F38" s="8" t="inlineStr">
        <is>
          <t>checkbox</t>
        </is>
      </c>
      <c r="G38" s="8" t="inlineStr">
        <is>
          <t>11</t>
        </is>
      </c>
      <c r="H38" s="8" t="inlineStr"/>
      <c r="I38" s="8" t="inlineStr">
        <is>
          <t>149, 372, 158, 381</t>
        </is>
      </c>
      <c r="J38" s="8" t="inlineStr">
        <is>
          <t>court/clerk</t>
        </is>
      </c>
      <c r="K38" s="8" t="inlineStr"/>
      <c r="L38" s="8" t="inlineStr"/>
      <c r="M38" s="8" t="inlineStr"/>
      <c r="N38" s="8" t="inlineStr">
        <is>
          <t>Judge completes (mandatory findings).</t>
        </is>
      </c>
      <c r="O38" s="8" t="inlineStr"/>
    </row>
    <row r="39">
      <c r="A39" s="8" t="n">
        <v>38</v>
      </c>
      <c r="B39" s="8" t="n">
        <v>3</v>
      </c>
      <c r="C39" s="8" t="inlineStr">
        <is>
          <t>5 (court)</t>
        </is>
      </c>
      <c r="D39" s="8" t="inlineStr">
        <is>
          <t>Does not apply. The court decided a parenting class was not appropriate.</t>
        </is>
      </c>
      <c r="E39" s="8" t="inlineStr">
        <is>
          <t>DV-150[0].Page3[0].List5Cont[0].Li3[0].item5d3[2]</t>
        </is>
      </c>
      <c r="F39" s="8" t="inlineStr">
        <is>
          <t>checkbox</t>
        </is>
      </c>
      <c r="G39" s="8" t="inlineStr">
        <is>
          <t>21</t>
        </is>
      </c>
      <c r="H39" s="8" t="inlineStr"/>
      <c r="I39" s="8" t="inlineStr">
        <is>
          <t>198, 372, 207, 381</t>
        </is>
      </c>
      <c r="J39" s="8" t="inlineStr">
        <is>
          <t>court/clerk</t>
        </is>
      </c>
      <c r="K39" s="8" t="inlineStr"/>
      <c r="L39" s="8" t="inlineStr"/>
      <c r="M39" s="8" t="inlineStr"/>
      <c r="N39" s="8" t="inlineStr">
        <is>
          <t>Judge completes (mandatory findings).</t>
        </is>
      </c>
      <c r="O39" s="8" t="inlineStr"/>
    </row>
    <row r="40">
      <c r="A40" s="8" t="n">
        <v>39</v>
      </c>
      <c r="B40" s="8" t="n">
        <v>3</v>
      </c>
      <c r="C40" s="8" t="inlineStr">
        <is>
          <t>5 (court)</t>
        </is>
      </c>
      <c r="D40" s="8" t="inlineStr">
        <is>
          <t>(Explain, as needed):</t>
        </is>
      </c>
      <c r="E40" s="8" t="inlineStr">
        <is>
          <t>DV-150[0].Page3[0].List5Cont[0].Li3[0].tf1[0]</t>
        </is>
      </c>
      <c r="F40" s="8" t="inlineStr">
        <is>
          <t>text</t>
        </is>
      </c>
      <c r="G40" s="8" t="inlineStr"/>
      <c r="H40" s="8" t="inlineStr"/>
      <c r="I40" s="8" t="inlineStr">
        <is>
          <t>98, 398, 563, 455</t>
        </is>
      </c>
      <c r="J40" s="8" t="inlineStr">
        <is>
          <t>court/clerk</t>
        </is>
      </c>
      <c r="K40" s="8" t="inlineStr"/>
      <c r="L40" s="8" t="inlineStr"/>
      <c r="M40" s="8" t="inlineStr"/>
      <c r="N40" s="8" t="inlineStr">
        <is>
          <t>Judge completes (mandatory findings).</t>
        </is>
      </c>
      <c r="O40" s="8" t="inlineStr"/>
    </row>
    <row r="41">
      <c r="A41" s="8" t="n">
        <v>40</v>
      </c>
      <c r="B41" s="8" t="n">
        <v>3</v>
      </c>
      <c r="C41" s="8" t="inlineStr">
        <is>
          <t>5 (court)</t>
        </is>
      </c>
      <c r="D41" s="8" t="inlineStr">
        <is>
          <t>Yes</t>
        </is>
      </c>
      <c r="E41" s="8" t="inlineStr">
        <is>
          <t>DV-150[0].Page3[0].List5Cont[0].Li4[0].item5d4[0]</t>
        </is>
      </c>
      <c r="F41" s="8" t="inlineStr">
        <is>
          <t>checkbox</t>
        </is>
      </c>
      <c r="G41" s="8" t="inlineStr">
        <is>
          <t>1</t>
        </is>
      </c>
      <c r="H41" s="8" t="inlineStr"/>
      <c r="I41" s="8" t="inlineStr">
        <is>
          <t>97, 491, 106, 500</t>
        </is>
      </c>
      <c r="J41" s="8" t="inlineStr">
        <is>
          <t>court/clerk</t>
        </is>
      </c>
      <c r="K41" s="8" t="inlineStr"/>
      <c r="L41" s="8" t="inlineStr"/>
      <c r="M41" s="8" t="inlineStr"/>
      <c r="N41" s="8" t="inlineStr">
        <is>
          <t>Judge completes (mandatory findings).</t>
        </is>
      </c>
      <c r="O41" s="8" t="inlineStr"/>
    </row>
    <row r="42">
      <c r="A42" s="8" t="n">
        <v>41</v>
      </c>
      <c r="B42" s="8" t="n">
        <v>3</v>
      </c>
      <c r="C42" s="8" t="inlineStr">
        <is>
          <t>5 (court)</t>
        </is>
      </c>
      <c r="D42" s="8" t="inlineStr">
        <is>
          <t>No</t>
        </is>
      </c>
      <c r="E42" s="8" t="inlineStr">
        <is>
          <t>DV-150[0].Page3[0].List5Cont[0].Li4[0].item5d4[1]</t>
        </is>
      </c>
      <c r="F42" s="8" t="inlineStr">
        <is>
          <t>checkbox</t>
        </is>
      </c>
      <c r="G42" s="8" t="inlineStr">
        <is>
          <t>12</t>
        </is>
      </c>
      <c r="H42" s="8" t="inlineStr"/>
      <c r="I42" s="8" t="inlineStr">
        <is>
          <t>149, 491, 158, 500</t>
        </is>
      </c>
      <c r="J42" s="8" t="inlineStr">
        <is>
          <t>court/clerk</t>
        </is>
      </c>
      <c r="K42" s="8" t="inlineStr"/>
      <c r="L42" s="8" t="inlineStr"/>
      <c r="M42" s="8" t="inlineStr"/>
      <c r="N42" s="8" t="inlineStr">
        <is>
          <t>Judge completes (mandatory findings).</t>
        </is>
      </c>
      <c r="O42" s="8" t="inlineStr"/>
    </row>
    <row r="43">
      <c r="A43" s="8" t="n">
        <v>42</v>
      </c>
      <c r="B43" s="8" t="n">
        <v>3</v>
      </c>
      <c r="C43" s="8" t="inlineStr">
        <is>
          <t>5 (court)</t>
        </is>
      </c>
      <c r="D43" s="8" t="inlineStr">
        <is>
          <t>Does not apply. The restrained person is not on probation or parole.</t>
        </is>
      </c>
      <c r="E43" s="8" t="inlineStr">
        <is>
          <t>DV-150[0].Page3[0].List5Cont[0].Li4[0].item5d4[2]</t>
        </is>
      </c>
      <c r="F43" s="8" t="inlineStr">
        <is>
          <t>checkbox</t>
        </is>
      </c>
      <c r="G43" s="8" t="inlineStr">
        <is>
          <t>21</t>
        </is>
      </c>
      <c r="H43" s="8" t="inlineStr"/>
      <c r="I43" s="8" t="inlineStr">
        <is>
          <t>200, 491, 209, 500</t>
        </is>
      </c>
      <c r="J43" s="8" t="inlineStr">
        <is>
          <t>court/clerk</t>
        </is>
      </c>
      <c r="K43" s="8" t="inlineStr"/>
      <c r="L43" s="8" t="inlineStr"/>
      <c r="M43" s="8" t="inlineStr"/>
      <c r="N43" s="8" t="inlineStr">
        <is>
          <t>Judge completes (mandatory findings).</t>
        </is>
      </c>
      <c r="O43" s="8" t="inlineStr"/>
    </row>
    <row r="44">
      <c r="A44" s="8" t="n">
        <v>43</v>
      </c>
      <c r="B44" s="8" t="n">
        <v>3</v>
      </c>
      <c r="C44" s="8" t="inlineStr">
        <is>
          <t>5 (court)</t>
        </is>
      </c>
      <c r="D44" s="8" t="inlineStr">
        <is>
          <t>(Explain, as needed):</t>
        </is>
      </c>
      <c r="E44" s="8" t="inlineStr">
        <is>
          <t>DV-150[0].Page3[0].List5Cont[0].Li4[0].tf1[0]</t>
        </is>
      </c>
      <c r="F44" s="8" t="inlineStr">
        <is>
          <t>text</t>
        </is>
      </c>
      <c r="G44" s="8" t="inlineStr"/>
      <c r="H44" s="8" t="inlineStr"/>
      <c r="I44" s="8" t="inlineStr">
        <is>
          <t>98, 519, 563, 576</t>
        </is>
      </c>
      <c r="J44" s="8" t="inlineStr">
        <is>
          <t>court/clerk</t>
        </is>
      </c>
      <c r="K44" s="8" t="inlineStr"/>
      <c r="L44" s="8" t="inlineStr"/>
      <c r="M44" s="8" t="inlineStr"/>
      <c r="N44" s="8" t="inlineStr">
        <is>
          <t>Judge completes (mandatory findings).</t>
        </is>
      </c>
      <c r="O44" s="8" t="inlineStr"/>
    </row>
    <row r="45">
      <c r="A45" s="8" t="n">
        <v>44</v>
      </c>
      <c r="B45" s="8" t="n">
        <v>3</v>
      </c>
      <c r="C45" s="8" t="inlineStr">
        <is>
          <t>5 (court)</t>
        </is>
      </c>
      <c r="D45" s="8" t="inlineStr">
        <is>
          <t>Yes</t>
        </is>
      </c>
      <c r="E45" s="8" t="inlineStr">
        <is>
          <t>DV-150[0].Page3[0].List5Cont[0].Li5[0].item5d5[0]</t>
        </is>
      </c>
      <c r="F45" s="8" t="inlineStr">
        <is>
          <t>checkbox</t>
        </is>
      </c>
      <c r="G45" s="8" t="inlineStr">
        <is>
          <t>1</t>
        </is>
      </c>
      <c r="H45" s="8" t="inlineStr"/>
      <c r="I45" s="8" t="inlineStr">
        <is>
          <t>97, 614, 106, 623</t>
        </is>
      </c>
      <c r="J45" s="8" t="inlineStr">
        <is>
          <t>court/clerk</t>
        </is>
      </c>
      <c r="K45" s="8" t="inlineStr"/>
      <c r="L45" s="8" t="inlineStr"/>
      <c r="M45" s="8" t="inlineStr"/>
      <c r="N45" s="8" t="inlineStr">
        <is>
          <t>Judge completes (mandatory findings).</t>
        </is>
      </c>
      <c r="O45" s="8" t="inlineStr"/>
    </row>
    <row r="46">
      <c r="A46" s="8" t="n">
        <v>45</v>
      </c>
      <c r="B46" s="8" t="n">
        <v>3</v>
      </c>
      <c r="C46" s="8" t="inlineStr">
        <is>
          <t>5 (court)</t>
        </is>
      </c>
      <c r="D46" s="8" t="inlineStr">
        <is>
          <t>No</t>
        </is>
      </c>
      <c r="E46" s="8" t="inlineStr">
        <is>
          <t>DV-150[0].Page3[0].List5Cont[0].Li5[0].item5d5[1]</t>
        </is>
      </c>
      <c r="F46" s="8" t="inlineStr">
        <is>
          <t>checkbox</t>
        </is>
      </c>
      <c r="G46" s="8" t="inlineStr">
        <is>
          <t>11</t>
        </is>
      </c>
      <c r="H46" s="8" t="inlineStr"/>
      <c r="I46" s="8" t="inlineStr">
        <is>
          <t>149, 614, 158, 623</t>
        </is>
      </c>
      <c r="J46" s="8" t="inlineStr">
        <is>
          <t>court/clerk</t>
        </is>
      </c>
      <c r="K46" s="8" t="inlineStr"/>
      <c r="L46" s="8" t="inlineStr"/>
      <c r="M46" s="8" t="inlineStr"/>
      <c r="N46" s="8" t="inlineStr">
        <is>
          <t>Judge completes (mandatory findings).</t>
        </is>
      </c>
      <c r="O46" s="8" t="inlineStr"/>
    </row>
    <row r="47">
      <c r="A47" s="8" t="n">
        <v>46</v>
      </c>
      <c r="B47" s="8" t="n">
        <v>3</v>
      </c>
      <c r="C47" s="8" t="inlineStr">
        <is>
          <t>5 (court)</t>
        </is>
      </c>
      <c r="D47" s="8" t="inlineStr">
        <is>
          <t>(Explain, as needed):</t>
        </is>
      </c>
      <c r="E47" s="8" t="inlineStr">
        <is>
          <t>DV-150[0].Page3[0].List5Cont[0].Li5[0].tf1[0]</t>
        </is>
      </c>
      <c r="F47" s="8" t="inlineStr">
        <is>
          <t>text</t>
        </is>
      </c>
      <c r="G47" s="8" t="inlineStr"/>
      <c r="H47" s="8" t="inlineStr"/>
      <c r="I47" s="8" t="inlineStr">
        <is>
          <t>98, 642, 563, 699</t>
        </is>
      </c>
      <c r="J47" s="8" t="inlineStr">
        <is>
          <t>court/clerk</t>
        </is>
      </c>
      <c r="K47" s="8" t="inlineStr"/>
      <c r="L47" s="8" t="inlineStr"/>
      <c r="M47" s="8" t="inlineStr"/>
      <c r="N47" s="8" t="inlineStr">
        <is>
          <t>Judge completes (mandatory findings).</t>
        </is>
      </c>
      <c r="O47" s="8" t="inlineStr"/>
    </row>
    <row r="48">
      <c r="A48" s="5" t="n">
        <v>47</v>
      </c>
      <c r="B48" s="5" t="n">
        <v>4</v>
      </c>
      <c r="C48" s="5" t="inlineStr">
        <is>
          <t>Caption</t>
        </is>
      </c>
      <c r="D48" s="5" t="inlineStr">
        <is>
          <t>Case Number:</t>
        </is>
      </c>
      <c r="E48" s="5" t="inlineStr">
        <is>
          <t>DV-150[0].Page4[0].CaseNumber[0]</t>
        </is>
      </c>
      <c r="F48" s="5" t="inlineStr">
        <is>
          <t>text</t>
        </is>
      </c>
      <c r="G48" s="5" t="inlineStr"/>
      <c r="H48" s="5" t="inlineStr"/>
      <c r="I48" s="5" t="inlineStr">
        <is>
          <t>406, 47, 576, 64</t>
        </is>
      </c>
      <c r="J48" s="5" t="inlineStr">
        <is>
          <t>question</t>
        </is>
      </c>
      <c r="K48" s="5" t="inlineStr">
        <is>
          <t>X0</t>
        </is>
      </c>
      <c r="L48" s="5">
        <f> X0</f>
        <v/>
      </c>
      <c r="M48" s="5" t="inlineStr">
        <is>
          <t>stage 3</t>
        </is>
      </c>
      <c r="N48" s="5" t="inlineStr"/>
      <c r="O48" s="5" t="inlineStr"/>
    </row>
    <row r="49">
      <c r="A49" s="8" t="n">
        <v>48</v>
      </c>
      <c r="B49" s="8" t="n">
        <v>4</v>
      </c>
      <c r="C49" s="8" t="inlineStr">
        <is>
          <t>5 (court)</t>
        </is>
      </c>
      <c r="D49" s="8" t="inlineStr">
        <is>
          <t>Yes</t>
        </is>
      </c>
      <c r="E49" s="8" t="inlineStr">
        <is>
          <t>DV-150[0].Page4[0].List5Cont[0].Li1[0].item5d6[0]</t>
        </is>
      </c>
      <c r="F49" s="8" t="inlineStr">
        <is>
          <t>checkbox</t>
        </is>
      </c>
      <c r="G49" s="8" t="inlineStr">
        <is>
          <t>1</t>
        </is>
      </c>
      <c r="H49" s="8" t="inlineStr"/>
      <c r="I49" s="8" t="inlineStr">
        <is>
          <t>95, 97, 104, 106</t>
        </is>
      </c>
      <c r="J49" s="8" t="inlineStr">
        <is>
          <t>court/clerk</t>
        </is>
      </c>
      <c r="K49" s="8" t="inlineStr"/>
      <c r="L49" s="8" t="inlineStr"/>
      <c r="M49" s="8" t="inlineStr"/>
      <c r="N49" s="8" t="inlineStr">
        <is>
          <t>Judge completes (mandatory findings).</t>
        </is>
      </c>
      <c r="O49" s="8" t="inlineStr"/>
    </row>
    <row r="50">
      <c r="A50" s="8" t="n">
        <v>49</v>
      </c>
      <c r="B50" s="8" t="n">
        <v>4</v>
      </c>
      <c r="C50" s="8" t="inlineStr">
        <is>
          <t>5 (court)</t>
        </is>
      </c>
      <c r="D50" s="8" t="inlineStr">
        <is>
          <t>No</t>
        </is>
      </c>
      <c r="E50" s="8" t="inlineStr">
        <is>
          <t>DV-150[0].Page4[0].List5Cont[0].Li1[0].item5d6[1]</t>
        </is>
      </c>
      <c r="F50" s="8" t="inlineStr">
        <is>
          <t>checkbox</t>
        </is>
      </c>
      <c r="G50" s="8" t="inlineStr">
        <is>
          <t>11</t>
        </is>
      </c>
      <c r="H50" s="8" t="inlineStr"/>
      <c r="I50" s="8" t="inlineStr">
        <is>
          <t>152, 97, 161, 106</t>
        </is>
      </c>
      <c r="J50" s="8" t="inlineStr">
        <is>
          <t>court/clerk</t>
        </is>
      </c>
      <c r="K50" s="8" t="inlineStr"/>
      <c r="L50" s="8" t="inlineStr"/>
      <c r="M50" s="8" t="inlineStr"/>
      <c r="N50" s="8" t="inlineStr">
        <is>
          <t>Judge completes (mandatory findings).</t>
        </is>
      </c>
      <c r="O50" s="8" t="inlineStr"/>
    </row>
    <row r="51">
      <c r="A51" s="8" t="n">
        <v>50</v>
      </c>
      <c r="B51" s="8" t="n">
        <v>4</v>
      </c>
      <c r="C51" s="8" t="inlineStr">
        <is>
          <t>5 (court)</t>
        </is>
      </c>
      <c r="D51" s="8" t="inlineStr">
        <is>
          <t>(Explain, as needed):</t>
        </is>
      </c>
      <c r="E51" s="8" t="inlineStr">
        <is>
          <t>DV-150[0].Page4[0].List5Cont[0].Li1[0].tf1[0]</t>
        </is>
      </c>
      <c r="F51" s="8" t="inlineStr">
        <is>
          <t>text</t>
        </is>
      </c>
      <c r="G51" s="8" t="inlineStr"/>
      <c r="H51" s="8" t="inlineStr"/>
      <c r="I51" s="8" t="inlineStr">
        <is>
          <t>97, 124, 574, 180</t>
        </is>
      </c>
      <c r="J51" s="8" t="inlineStr">
        <is>
          <t>court/clerk</t>
        </is>
      </c>
      <c r="K51" s="8" t="inlineStr"/>
      <c r="L51" s="8" t="inlineStr"/>
      <c r="M51" s="8" t="inlineStr"/>
      <c r="N51" s="8" t="inlineStr">
        <is>
          <t>Judge completes (mandatory findings).</t>
        </is>
      </c>
      <c r="O51" s="8" t="inlineStr"/>
    </row>
    <row r="52">
      <c r="A52" s="8" t="n">
        <v>51</v>
      </c>
      <c r="B52" s="8" t="n">
        <v>4</v>
      </c>
      <c r="C52" s="8" t="inlineStr">
        <is>
          <t>5 (court)</t>
        </is>
      </c>
      <c r="D52" s="8" t="inlineStr">
        <is>
          <t>Yes</t>
        </is>
      </c>
      <c r="E52" s="8" t="inlineStr">
        <is>
          <t>DV-150[0].Page4[0].List5Cont[0].Li2[0].item5d7[0]</t>
        </is>
      </c>
      <c r="F52" s="8" t="inlineStr">
        <is>
          <t>checkbox</t>
        </is>
      </c>
      <c r="G52" s="8" t="inlineStr">
        <is>
          <t>1</t>
        </is>
      </c>
      <c r="H52" s="8" t="inlineStr"/>
      <c r="I52" s="8" t="inlineStr">
        <is>
          <t>95, 236, 104, 245</t>
        </is>
      </c>
      <c r="J52" s="8" t="inlineStr">
        <is>
          <t>court/clerk</t>
        </is>
      </c>
      <c r="K52" s="8" t="inlineStr"/>
      <c r="L52" s="8" t="inlineStr"/>
      <c r="M52" s="8" t="inlineStr"/>
      <c r="N52" s="8" t="inlineStr">
        <is>
          <t>Judge completes (mandatory findings).</t>
        </is>
      </c>
      <c r="O52" s="8" t="inlineStr"/>
    </row>
    <row r="53">
      <c r="A53" s="8" t="n">
        <v>52</v>
      </c>
      <c r="B53" s="8" t="n">
        <v>4</v>
      </c>
      <c r="C53" s="8" t="inlineStr">
        <is>
          <t>5 (court)</t>
        </is>
      </c>
      <c r="D53" s="8" t="inlineStr">
        <is>
          <t>No</t>
        </is>
      </c>
      <c r="E53" s="8" t="inlineStr">
        <is>
          <t>DV-150[0].Page4[0].List5Cont[0].Li2[0].item5d7[1]</t>
        </is>
      </c>
      <c r="F53" s="8" t="inlineStr">
        <is>
          <t>checkbox</t>
        </is>
      </c>
      <c r="G53" s="8" t="inlineStr">
        <is>
          <t>11</t>
        </is>
      </c>
      <c r="H53" s="8" t="inlineStr"/>
      <c r="I53" s="8" t="inlineStr">
        <is>
          <t>148, 235, 157, 244</t>
        </is>
      </c>
      <c r="J53" s="8" t="inlineStr">
        <is>
          <t>court/clerk</t>
        </is>
      </c>
      <c r="K53" s="8" t="inlineStr"/>
      <c r="L53" s="8" t="inlineStr"/>
      <c r="M53" s="8" t="inlineStr"/>
      <c r="N53" s="8" t="inlineStr">
        <is>
          <t>Judge completes (mandatory findings).</t>
        </is>
      </c>
      <c r="O53" s="8" t="inlineStr"/>
    </row>
    <row r="54">
      <c r="A54" s="8" t="n">
        <v>53</v>
      </c>
      <c r="B54" s="8" t="n">
        <v>4</v>
      </c>
      <c r="C54" s="8" t="inlineStr">
        <is>
          <t>5 (court)</t>
        </is>
      </c>
      <c r="D54" s="8" t="inlineStr">
        <is>
          <t>Does not apply</t>
        </is>
      </c>
      <c r="E54" s="8" t="inlineStr">
        <is>
          <t>DV-150[0].Page4[0].List5Cont[0].Li2[0].item5d7[2]</t>
        </is>
      </c>
      <c r="F54" s="8" t="inlineStr">
        <is>
          <t>checkbox</t>
        </is>
      </c>
      <c r="G54" s="8" t="inlineStr">
        <is>
          <t>22</t>
        </is>
      </c>
      <c r="H54" s="8" t="inlineStr"/>
      <c r="I54" s="8" t="inlineStr">
        <is>
          <t>199, 235, 208, 244</t>
        </is>
      </c>
      <c r="J54" s="8" t="inlineStr">
        <is>
          <t>court/clerk</t>
        </is>
      </c>
      <c r="K54" s="8" t="inlineStr"/>
      <c r="L54" s="8" t="inlineStr"/>
      <c r="M54" s="8" t="inlineStr"/>
      <c r="N54" s="8" t="inlineStr">
        <is>
          <t>Judge completes (mandatory findings).</t>
        </is>
      </c>
      <c r="O54" s="8" t="inlineStr"/>
    </row>
    <row r="55">
      <c r="A55" s="8" t="n">
        <v>54</v>
      </c>
      <c r="B55" s="8" t="n">
        <v>4</v>
      </c>
      <c r="C55" s="8" t="inlineStr">
        <is>
          <t>5 (court)</t>
        </is>
      </c>
      <c r="D55" s="8" t="inlineStr">
        <is>
          <t>(Explain, as needed):</t>
        </is>
      </c>
      <c r="E55" s="8" t="inlineStr">
        <is>
          <t>DV-150[0].Page4[0].List5Cont[0].Li2[0].tf1[0]</t>
        </is>
      </c>
      <c r="F55" s="8" t="inlineStr">
        <is>
          <t>text</t>
        </is>
      </c>
      <c r="G55" s="8" t="inlineStr"/>
      <c r="H55" s="8" t="inlineStr"/>
      <c r="I55" s="8" t="inlineStr">
        <is>
          <t>97, 264, 573, 320</t>
        </is>
      </c>
      <c r="J55" s="8" t="inlineStr">
        <is>
          <t>court/clerk</t>
        </is>
      </c>
      <c r="K55" s="8" t="inlineStr"/>
      <c r="L55" s="8" t="inlineStr"/>
      <c r="M55" s="8" t="inlineStr"/>
      <c r="N55" s="8" t="inlineStr">
        <is>
          <t>Judge completes (mandatory findings).</t>
        </is>
      </c>
      <c r="O55" s="8" t="inlineStr"/>
    </row>
    <row r="56">
      <c r="A56" s="8" t="n">
        <v>55</v>
      </c>
      <c r="B56" s="8" t="n">
        <v>4</v>
      </c>
      <c r="C56" s="8" t="inlineStr">
        <is>
          <t>5 (court)</t>
        </is>
      </c>
      <c r="D56" s="8" t="inlineStr">
        <is>
          <t>Additional reasons, if any:</t>
        </is>
      </c>
      <c r="E56" s="8" t="inlineStr">
        <is>
          <t>DV-150[0].Page4[0].List5Cont[0].Li3[0].tf1[0]</t>
        </is>
      </c>
      <c r="F56" s="8" t="inlineStr">
        <is>
          <t>text</t>
        </is>
      </c>
      <c r="G56" s="8" t="inlineStr"/>
      <c r="H56" s="8" t="inlineStr"/>
      <c r="I56" s="8" t="inlineStr">
        <is>
          <t>97, 354, 571, 410</t>
        </is>
      </c>
      <c r="J56" s="8" t="inlineStr">
        <is>
          <t>court/clerk</t>
        </is>
      </c>
      <c r="K56" s="8" t="inlineStr"/>
      <c r="L56" s="8" t="inlineStr"/>
      <c r="M56" s="8" t="inlineStr"/>
      <c r="N56" s="8" t="inlineStr">
        <is>
          <t>Judge completes (mandatory findings).</t>
        </is>
      </c>
      <c r="O56" s="8" t="inlineStr"/>
    </row>
    <row r="57">
      <c r="A57" s="8" t="n">
        <v>56</v>
      </c>
      <c r="B57" s="8" t="n">
        <v>4</v>
      </c>
      <c r="C57" s="8" t="inlineStr">
        <is>
          <t>6 (court)</t>
        </is>
      </c>
      <c r="D57" s="8" t="inlineStr">
        <is>
          <t>Court Has Granted In-Person Visits for Restrained Person</t>
        </is>
      </c>
      <c r="E57" s="8" t="inlineStr">
        <is>
          <t>DV-150[0].Page4[0].List6[0].CheckBoxRightCaption[0]</t>
        </is>
      </c>
      <c r="F57" s="8" t="inlineStr">
        <is>
          <t>checkbox</t>
        </is>
      </c>
      <c r="G57" s="8" t="inlineStr">
        <is>
          <t>1</t>
        </is>
      </c>
      <c r="H57" s="8" t="inlineStr"/>
      <c r="I57" s="8" t="inlineStr">
        <is>
          <t>59, 449, 68, 458</t>
        </is>
      </c>
      <c r="J57" s="8" t="inlineStr">
        <is>
          <t>court/clerk</t>
        </is>
      </c>
      <c r="K57" s="8" t="inlineStr"/>
      <c r="L57" s="8" t="inlineStr"/>
      <c r="M57" s="8" t="inlineStr"/>
      <c r="N57" s="8" t="inlineStr">
        <is>
          <t>Judge completes (mandatory findings).</t>
        </is>
      </c>
      <c r="O57" s="8" t="inlineStr"/>
    </row>
    <row r="58">
      <c r="A58" s="8" t="n">
        <v>57</v>
      </c>
      <c r="B58" s="8" t="n">
        <v>4</v>
      </c>
      <c r="C58" s="8" t="inlineStr">
        <is>
          <t>6 (court)</t>
        </is>
      </c>
      <c r="D58" s="8" t="inlineStr">
        <is>
          <t>The children listed on form DV-140, item 3</t>
        </is>
      </c>
      <c r="E58" s="8" t="inlineStr">
        <is>
          <t>DV-150[0].Page4[0].List6[0].Li2[0].item6b_cb[0]</t>
        </is>
      </c>
      <c r="F58" s="8" t="inlineStr">
        <is>
          <t>checkbox</t>
        </is>
      </c>
      <c r="G58" s="8" t="inlineStr">
        <is>
          <t>1</t>
        </is>
      </c>
      <c r="H58" s="8" t="inlineStr"/>
      <c r="I58" s="8" t="inlineStr">
        <is>
          <t>75, 589, 84, 598</t>
        </is>
      </c>
      <c r="J58" s="8" t="inlineStr">
        <is>
          <t>court/clerk</t>
        </is>
      </c>
      <c r="K58" s="8" t="inlineStr"/>
      <c r="L58" s="8" t="inlineStr"/>
      <c r="M58" s="8" t="inlineStr"/>
      <c r="N58" s="8" t="inlineStr">
        <is>
          <t>Judge completes (mandatory findings).</t>
        </is>
      </c>
      <c r="O58" s="8" t="inlineStr"/>
    </row>
    <row r="59">
      <c r="A59" s="8" t="n">
        <v>58</v>
      </c>
      <c r="B59" s="8" t="n">
        <v>4</v>
      </c>
      <c r="C59" s="8" t="inlineStr">
        <is>
          <t>6 (court)</t>
        </is>
      </c>
      <c r="D59" s="8" t="inlineStr">
        <is>
          <t>Only the children listed here (names of children):</t>
        </is>
      </c>
      <c r="E59" s="8" t="inlineStr">
        <is>
          <t>DV-150[0].Page4[0].List6[0].Li2[0].item6b_cb[1]</t>
        </is>
      </c>
      <c r="F59" s="8" t="inlineStr">
        <is>
          <t>checkbox</t>
        </is>
      </c>
      <c r="G59" s="8" t="inlineStr">
        <is>
          <t>11</t>
        </is>
      </c>
      <c r="H59" s="8" t="inlineStr"/>
      <c r="I59" s="8" t="inlineStr">
        <is>
          <t>74, 604, 83, 613</t>
        </is>
      </c>
      <c r="J59" s="8" t="inlineStr">
        <is>
          <t>court/clerk</t>
        </is>
      </c>
      <c r="K59" s="8" t="inlineStr"/>
      <c r="L59" s="8" t="inlineStr"/>
      <c r="M59" s="8" t="inlineStr"/>
      <c r="N59" s="8" t="inlineStr">
        <is>
          <t>Judge completes (mandatory findings).</t>
        </is>
      </c>
      <c r="O59" s="8" t="inlineStr"/>
    </row>
    <row r="60">
      <c r="A60" s="8" t="n">
        <v>59</v>
      </c>
      <c r="B60" s="8" t="n">
        <v>4</v>
      </c>
      <c r="C60" s="8" t="inlineStr">
        <is>
          <t>6 (court)</t>
        </is>
      </c>
      <c r="D60" s="8" t="inlineStr">
        <is>
          <t>Only the children listed here (names of children):</t>
        </is>
      </c>
      <c r="E60" s="8" t="inlineStr">
        <is>
          <t>DV-150[0].Page4[0].List6[0].Li2[0].item6b[0]</t>
        </is>
      </c>
      <c r="F60" s="8" t="inlineStr">
        <is>
          <t>text</t>
        </is>
      </c>
      <c r="G60" s="8" t="inlineStr"/>
      <c r="H60" s="8" t="inlineStr"/>
      <c r="I60" s="8" t="inlineStr">
        <is>
          <t>311, 604, 560, 615</t>
        </is>
      </c>
      <c r="J60" s="8" t="inlineStr">
        <is>
          <t>court/clerk</t>
        </is>
      </c>
      <c r="K60" s="8" t="inlineStr"/>
      <c r="L60" s="8" t="inlineStr"/>
      <c r="M60" s="8" t="inlineStr"/>
      <c r="N60" s="8" t="inlineStr">
        <is>
          <t>Judge completes (mandatory findings).</t>
        </is>
      </c>
      <c r="O60" s="8" t="inlineStr"/>
    </row>
    <row r="61">
      <c r="A61" s="8" t="n">
        <v>60</v>
      </c>
      <c r="B61" s="8" t="n">
        <v>4</v>
      </c>
      <c r="C61" s="8" t="inlineStr">
        <is>
          <t>6 (court)</t>
        </is>
      </c>
      <c r="D61" s="8" t="inlineStr">
        <is>
          <t>Only the children listed here (names of children):</t>
        </is>
      </c>
      <c r="E61" s="8" t="inlineStr">
        <is>
          <t>DV-150[0].Page4[0].List6[0].Li2[0].item6bCont[0]</t>
        </is>
      </c>
      <c r="F61" s="8" t="inlineStr">
        <is>
          <t>text</t>
        </is>
      </c>
      <c r="G61" s="8" t="inlineStr"/>
      <c r="H61" s="8" t="inlineStr"/>
      <c r="I61" s="8" t="inlineStr">
        <is>
          <t>92, 619, 561, 630</t>
        </is>
      </c>
      <c r="J61" s="8" t="inlineStr">
        <is>
          <t>court/clerk</t>
        </is>
      </c>
      <c r="K61" s="8" t="inlineStr"/>
      <c r="L61" s="8" t="inlineStr"/>
      <c r="M61" s="8" t="inlineStr"/>
      <c r="N61" s="8" t="inlineStr">
        <is>
          <t>Judge completes (mandatory findings).</t>
        </is>
      </c>
      <c r="O61" s="8" t="inlineStr"/>
    </row>
    <row r="62">
      <c r="A62" s="7" t="n">
        <v>61</v>
      </c>
      <c r="B62" s="7" t="n">
        <v>5</v>
      </c>
      <c r="C62" s="7" t="inlineStr">
        <is>
          <t>—</t>
        </is>
      </c>
      <c r="D62" s="7" t="inlineStr">
        <is>
          <t>Print</t>
        </is>
      </c>
      <c r="E62" s="7" t="inlineStr">
        <is>
          <t>DV-150[0].#pageSet[0].LastPage[0].#area[0].Print[0]</t>
        </is>
      </c>
      <c r="F62" s="7" t="inlineStr">
        <is>
          <t>button</t>
        </is>
      </c>
      <c r="G62" s="7" t="inlineStr"/>
      <c r="H62" s="7" t="inlineStr"/>
      <c r="I62" s="7" t="inlineStr">
        <is>
          <t>259, 746, 340, 763</t>
        </is>
      </c>
      <c r="J62" s="7" t="inlineStr">
        <is>
          <t>ignore (UI button)</t>
        </is>
      </c>
      <c r="K62" s="7" t="inlineStr"/>
      <c r="L62" s="7" t="inlineStr"/>
      <c r="M62" s="7" t="inlineStr"/>
      <c r="N62" s="7" t="inlineStr">
        <is>
          <t>Print/Save/Clear button. Do not fill.</t>
        </is>
      </c>
      <c r="O62" s="7" t="inlineStr"/>
    </row>
    <row r="63">
      <c r="A63" s="7" t="n">
        <v>62</v>
      </c>
      <c r="B63" s="7" t="n">
        <v>5</v>
      </c>
      <c r="C63" s="7" t="inlineStr">
        <is>
          <t>—</t>
        </is>
      </c>
      <c r="D63" s="7" t="inlineStr">
        <is>
          <t>Save</t>
        </is>
      </c>
      <c r="E63" s="7" t="inlineStr">
        <is>
          <t>DV-150[0].#pageSet[0].LastPage[0].#area[0].Save[0]</t>
        </is>
      </c>
      <c r="F63" s="7" t="inlineStr">
        <is>
          <t>button</t>
        </is>
      </c>
      <c r="G63" s="7" t="inlineStr"/>
      <c r="H63" s="7" t="inlineStr"/>
      <c r="I63" s="7" t="inlineStr">
        <is>
          <t>345, 746, 426, 763</t>
        </is>
      </c>
      <c r="J63" s="7" t="inlineStr">
        <is>
          <t>ignore (UI button)</t>
        </is>
      </c>
      <c r="K63" s="7" t="inlineStr"/>
      <c r="L63" s="7" t="inlineStr"/>
      <c r="M63" s="7" t="inlineStr"/>
      <c r="N63" s="7" t="inlineStr">
        <is>
          <t>Print/Save/Clear button. Do not fill.</t>
        </is>
      </c>
      <c r="O63" s="7" t="inlineStr"/>
    </row>
    <row r="64">
      <c r="A64" s="7" t="n">
        <v>63</v>
      </c>
      <c r="B64" s="7" t="n">
        <v>5</v>
      </c>
      <c r="C64" s="7" t="inlineStr">
        <is>
          <t>—</t>
        </is>
      </c>
      <c r="D64" s="7" t="inlineStr">
        <is>
          <t>Clear</t>
        </is>
      </c>
      <c r="E64" s="7" t="inlineStr">
        <is>
          <t>DV-150[0].#pageSet[0].LastPage[0].#area[0].Reset[0]</t>
        </is>
      </c>
      <c r="F64" s="7" t="inlineStr">
        <is>
          <t>button</t>
        </is>
      </c>
      <c r="G64" s="7" t="inlineStr"/>
      <c r="H64" s="7" t="inlineStr"/>
      <c r="I64" s="7" t="inlineStr">
        <is>
          <t>495, 746, 576, 763</t>
        </is>
      </c>
      <c r="J64" s="7" t="inlineStr">
        <is>
          <t>ignore (UI button)</t>
        </is>
      </c>
      <c r="K64" s="7" t="inlineStr"/>
      <c r="L64" s="7" t="inlineStr"/>
      <c r="M64" s="7" t="inlineStr"/>
      <c r="N64" s="7" t="inlineStr">
        <is>
          <t>Print/Save/Clear button. Do not fill.</t>
        </is>
      </c>
      <c r="O64" s="7" t="inlineStr"/>
    </row>
    <row r="65">
      <c r="A65" s="5" t="n">
        <v>64</v>
      </c>
      <c r="B65" s="5" t="n">
        <v>5</v>
      </c>
      <c r="C65" s="5" t="inlineStr">
        <is>
          <t>Caption</t>
        </is>
      </c>
      <c r="D65" s="5" t="inlineStr">
        <is>
          <t>Case Number:</t>
        </is>
      </c>
      <c r="E65" s="5" t="inlineStr">
        <is>
          <t>DV-150[0].Page5[0].CaseNumber[0]</t>
        </is>
      </c>
      <c r="F65" s="5" t="inlineStr">
        <is>
          <t>text</t>
        </is>
      </c>
      <c r="G65" s="5" t="inlineStr"/>
      <c r="H65" s="5" t="inlineStr"/>
      <c r="I65" s="5" t="inlineStr">
        <is>
          <t>406, 47, 576, 64</t>
        </is>
      </c>
      <c r="J65" s="5" t="inlineStr">
        <is>
          <t>question</t>
        </is>
      </c>
      <c r="K65" s="5" t="inlineStr">
        <is>
          <t>X0</t>
        </is>
      </c>
      <c r="L65" s="5">
        <f> X0</f>
        <v/>
      </c>
      <c r="M65" s="5" t="inlineStr">
        <is>
          <t>stage 3</t>
        </is>
      </c>
      <c r="N65" s="5" t="inlineStr"/>
      <c r="O65" s="5" t="inlineStr"/>
    </row>
    <row r="66">
      <c r="A66" s="8" t="n">
        <v>65</v>
      </c>
      <c r="B66" s="8" t="n">
        <v>5</v>
      </c>
      <c r="C66" s="8" t="inlineStr">
        <is>
          <t>6 (court)</t>
        </is>
      </c>
      <c r="D66" s="8" t="inlineStr">
        <is>
          <t>Does not have access to firearms or ammunition</t>
        </is>
      </c>
      <c r="E66" s="8" t="inlineStr">
        <is>
          <t>DV-150[0].Page5[0].List6Cont[0].Li1[0].List[0].Li1[0].item6c1_cb[0]</t>
        </is>
      </c>
      <c r="F66" s="8" t="inlineStr">
        <is>
          <t>checkbox</t>
        </is>
      </c>
      <c r="G66" s="8" t="inlineStr">
        <is>
          <t>1</t>
        </is>
      </c>
      <c r="H66" s="8" t="inlineStr"/>
      <c r="I66" s="8" t="inlineStr">
        <is>
          <t>93, 143, 102, 152</t>
        </is>
      </c>
      <c r="J66" s="8" t="inlineStr">
        <is>
          <t>court/clerk</t>
        </is>
      </c>
      <c r="K66" s="8" t="inlineStr"/>
      <c r="L66" s="8" t="inlineStr"/>
      <c r="M66" s="8" t="inlineStr"/>
      <c r="N66" s="8" t="inlineStr">
        <is>
          <t>Judge completes (mandatory findings).</t>
        </is>
      </c>
      <c r="O66" s="8" t="inlineStr"/>
    </row>
    <row r="67">
      <c r="A67" s="8" t="n">
        <v>66</v>
      </c>
      <c r="B67" s="8" t="n">
        <v>5</v>
      </c>
      <c r="C67" s="8" t="inlineStr">
        <is>
          <t>6 (court)</t>
        </is>
      </c>
      <c r="D67" s="8" t="inlineStr">
        <is>
          <t>Does have access to firearms or ammunition</t>
        </is>
      </c>
      <c r="E67" s="8" t="inlineStr">
        <is>
          <t>DV-150[0].Page5[0].List6Cont[0].Li1[0].List[0].Li1[0].item6c1_cb[1]</t>
        </is>
      </c>
      <c r="F67" s="8" t="inlineStr">
        <is>
          <t>checkbox</t>
        </is>
      </c>
      <c r="G67" s="8" t="inlineStr">
        <is>
          <t>11</t>
        </is>
      </c>
      <c r="H67" s="8" t="inlineStr"/>
      <c r="I67" s="8" t="inlineStr">
        <is>
          <t>93, 157, 102, 166</t>
        </is>
      </c>
      <c r="J67" s="8" t="inlineStr">
        <is>
          <t>court/clerk</t>
        </is>
      </c>
      <c r="K67" s="8" t="inlineStr"/>
      <c r="L67" s="8" t="inlineStr"/>
      <c r="M67" s="8" t="inlineStr"/>
      <c r="N67" s="8" t="inlineStr">
        <is>
          <t>Judge completes (mandatory findings).</t>
        </is>
      </c>
      <c r="O67" s="8" t="inlineStr"/>
    </row>
    <row r="68">
      <c r="A68" s="8" t="n">
        <v>67</v>
      </c>
      <c r="B68" s="8" t="n">
        <v>5</v>
      </c>
      <c r="C68" s="8" t="inlineStr">
        <is>
          <t>6 (court)</t>
        </is>
      </c>
      <c r="D68" s="8" t="inlineStr">
        <is>
          <t>Other:</t>
        </is>
      </c>
      <c r="E68" s="8" t="inlineStr">
        <is>
          <t>DV-150[0].Page5[0].List6Cont[0].Li1[0].List[0].Li1[0].item6c1_cb[2]</t>
        </is>
      </c>
      <c r="F68" s="8" t="inlineStr">
        <is>
          <t>checkbox</t>
        </is>
      </c>
      <c r="G68" s="8" t="inlineStr">
        <is>
          <t>22</t>
        </is>
      </c>
      <c r="H68" s="8" t="inlineStr"/>
      <c r="I68" s="8" t="inlineStr">
        <is>
          <t>93, 171, 102, 180</t>
        </is>
      </c>
      <c r="J68" s="8" t="inlineStr">
        <is>
          <t>court/clerk</t>
        </is>
      </c>
      <c r="K68" s="8" t="inlineStr"/>
      <c r="L68" s="8" t="inlineStr"/>
      <c r="M68" s="8" t="inlineStr"/>
      <c r="N68" s="8" t="inlineStr">
        <is>
          <t>Judge completes (mandatory findings).</t>
        </is>
      </c>
      <c r="O68" s="8" t="inlineStr"/>
    </row>
    <row r="69">
      <c r="A69" s="8" t="n">
        <v>68</v>
      </c>
      <c r="B69" s="8" t="n">
        <v>5</v>
      </c>
      <c r="C69" s="8" t="inlineStr">
        <is>
          <t>6 (court)</t>
        </is>
      </c>
      <c r="D69" s="8" t="inlineStr">
        <is>
          <t>Other:</t>
        </is>
      </c>
      <c r="E69" s="8" t="inlineStr">
        <is>
          <t>DV-150[0].Page5[0].List6Cont[0].Li1[0].List[0].Li1[0].item6c1[0]</t>
        </is>
      </c>
      <c r="F69" s="8" t="inlineStr">
        <is>
          <t>text</t>
        </is>
      </c>
      <c r="G69" s="8" t="inlineStr"/>
      <c r="H69" s="8" t="inlineStr"/>
      <c r="I69" s="8" t="inlineStr">
        <is>
          <t>144, 171, 521, 182</t>
        </is>
      </c>
      <c r="J69" s="8" t="inlineStr">
        <is>
          <t>court/clerk</t>
        </is>
      </c>
      <c r="K69" s="8" t="inlineStr"/>
      <c r="L69" s="8" t="inlineStr"/>
      <c r="M69" s="8" t="inlineStr"/>
      <c r="N69" s="8" t="inlineStr">
        <is>
          <t>Judge completes (mandatory findings).</t>
        </is>
      </c>
      <c r="O69" s="8" t="inlineStr"/>
    </row>
    <row r="70">
      <c r="A70" s="8" t="n">
        <v>69</v>
      </c>
      <c r="B70" s="8" t="n">
        <v>5</v>
      </c>
      <c r="C70" s="8" t="inlineStr">
        <is>
          <t>6 (court)</t>
        </is>
      </c>
      <c r="D70" s="8" t="inlineStr">
        <is>
          <t>Has complied with all restraining and protective orders</t>
        </is>
      </c>
      <c r="E70" s="8" t="inlineStr">
        <is>
          <t>DV-150[0].Page5[0].List6Cont[0].Li1[0].List[0].Li2[0].item6c2_cb[0]</t>
        </is>
      </c>
      <c r="F70" s="8" t="inlineStr">
        <is>
          <t>checkbox</t>
        </is>
      </c>
      <c r="G70" s="8" t="inlineStr">
        <is>
          <t>1</t>
        </is>
      </c>
      <c r="H70" s="8" t="inlineStr"/>
      <c r="I70" s="8" t="inlineStr">
        <is>
          <t>95, 245, 104, 254</t>
        </is>
      </c>
      <c r="J70" s="8" t="inlineStr">
        <is>
          <t>court/clerk</t>
        </is>
      </c>
      <c r="K70" s="8" t="inlineStr"/>
      <c r="L70" s="8" t="inlineStr"/>
      <c r="M70" s="8" t="inlineStr"/>
      <c r="N70" s="8" t="inlineStr">
        <is>
          <t>Judge completes (mandatory findings).</t>
        </is>
      </c>
      <c r="O70" s="8" t="inlineStr"/>
    </row>
    <row r="71">
      <c r="A71" s="8" t="n">
        <v>70</v>
      </c>
      <c r="B71" s="8" t="n">
        <v>5</v>
      </c>
      <c r="C71" s="8" t="inlineStr">
        <is>
          <t>6 (court)</t>
        </is>
      </c>
      <c r="D71" s="8" t="inlineStr">
        <is>
          <t>Has not complied with all restraining and protective orders</t>
        </is>
      </c>
      <c r="E71" s="8" t="inlineStr">
        <is>
          <t>DV-150[0].Page5[0].List6Cont[0].Li1[0].List[0].Li2[0].item6c2_cb[1]</t>
        </is>
      </c>
      <c r="F71" s="8" t="inlineStr">
        <is>
          <t>checkbox</t>
        </is>
      </c>
      <c r="G71" s="8" t="inlineStr">
        <is>
          <t>11</t>
        </is>
      </c>
      <c r="H71" s="8" t="inlineStr"/>
      <c r="I71" s="8" t="inlineStr">
        <is>
          <t>95, 259, 104, 268</t>
        </is>
      </c>
      <c r="J71" s="8" t="inlineStr">
        <is>
          <t>court/clerk</t>
        </is>
      </c>
      <c r="K71" s="8" t="inlineStr"/>
      <c r="L71" s="8" t="inlineStr"/>
      <c r="M71" s="8" t="inlineStr"/>
      <c r="N71" s="8" t="inlineStr">
        <is>
          <t>Judge completes (mandatory findings).</t>
        </is>
      </c>
      <c r="O71" s="8" t="inlineStr"/>
    </row>
    <row r="72">
      <c r="A72" s="8" t="n">
        <v>71</v>
      </c>
      <c r="B72" s="8" t="n">
        <v>5</v>
      </c>
      <c r="C72" s="8" t="inlineStr">
        <is>
          <t>6 (court)</t>
        </is>
      </c>
      <c r="D72" s="8" t="inlineStr">
        <is>
          <t>Other:</t>
        </is>
      </c>
      <c r="E72" s="8" t="inlineStr">
        <is>
          <t>DV-150[0].Page5[0].List6Cont[0].Li1[0].List[0].Li2[0].item6c2_cb[2]</t>
        </is>
      </c>
      <c r="F72" s="8" t="inlineStr">
        <is>
          <t>checkbox</t>
        </is>
      </c>
      <c r="G72" s="8" t="inlineStr">
        <is>
          <t>22</t>
        </is>
      </c>
      <c r="H72" s="8" t="inlineStr"/>
      <c r="I72" s="8" t="inlineStr">
        <is>
          <t>95, 274, 104, 283</t>
        </is>
      </c>
      <c r="J72" s="8" t="inlineStr">
        <is>
          <t>court/clerk</t>
        </is>
      </c>
      <c r="K72" s="8" t="inlineStr"/>
      <c r="L72" s="8" t="inlineStr"/>
      <c r="M72" s="8" t="inlineStr"/>
      <c r="N72" s="8" t="inlineStr">
        <is>
          <t>Judge completes (mandatory findings).</t>
        </is>
      </c>
      <c r="O72" s="8" t="inlineStr"/>
    </row>
    <row r="73">
      <c r="A73" s="8" t="n">
        <v>72</v>
      </c>
      <c r="B73" s="8" t="n">
        <v>5</v>
      </c>
      <c r="C73" s="8" t="inlineStr">
        <is>
          <t>6 (court)</t>
        </is>
      </c>
      <c r="D73" s="8" t="inlineStr">
        <is>
          <t>Other:</t>
        </is>
      </c>
      <c r="E73" s="8" t="inlineStr">
        <is>
          <t>DV-150[0].Page5[0].List6Cont[0].Li1[0].List[0].Li2[0].item6c2[0]</t>
        </is>
      </c>
      <c r="F73" s="8" t="inlineStr">
        <is>
          <t>text</t>
        </is>
      </c>
      <c r="G73" s="8" t="inlineStr"/>
      <c r="H73" s="8" t="inlineStr"/>
      <c r="I73" s="8" t="inlineStr">
        <is>
          <t>142, 274, 520, 285</t>
        </is>
      </c>
      <c r="J73" s="8" t="inlineStr">
        <is>
          <t>court/clerk</t>
        </is>
      </c>
      <c r="K73" s="8" t="inlineStr"/>
      <c r="L73" s="8" t="inlineStr"/>
      <c r="M73" s="8" t="inlineStr"/>
      <c r="N73" s="8" t="inlineStr">
        <is>
          <t>Judge completes (mandatory findings).</t>
        </is>
      </c>
      <c r="O73" s="8" t="inlineStr"/>
    </row>
    <row r="74">
      <c r="A74" s="8" t="n">
        <v>73</v>
      </c>
      <c r="B74" s="8" t="n">
        <v>5</v>
      </c>
      <c r="C74" s="8" t="inlineStr">
        <is>
          <t>6 (court)</t>
        </is>
      </c>
      <c r="D74" s="8" t="inlineStr">
        <is>
          <t>Additional information or reasons for court’s decision, if any:</t>
        </is>
      </c>
      <c r="E74" s="8" t="inlineStr">
        <is>
          <t>DV-150[0].Page5[0].List6Cont[0].Li1[0].List[0].Li6[0].tf1[0]</t>
        </is>
      </c>
      <c r="F74" s="8" t="inlineStr">
        <is>
          <t>text</t>
        </is>
      </c>
      <c r="G74" s="8" t="inlineStr"/>
      <c r="H74" s="8" t="inlineStr"/>
      <c r="I74" s="8" t="inlineStr">
        <is>
          <t>94, 445, 546, 495</t>
        </is>
      </c>
      <c r="J74" s="8" t="inlineStr">
        <is>
          <t>court/clerk</t>
        </is>
      </c>
      <c r="K74" s="8" t="inlineStr"/>
      <c r="L74" s="8" t="inlineStr"/>
      <c r="M74" s="8" t="inlineStr"/>
      <c r="N74" s="8" t="inlineStr">
        <is>
          <t>Judge completes (mandatory findings).</t>
        </is>
      </c>
      <c r="O74" s="8" t="inlineStr"/>
    </row>
    <row r="75">
      <c r="A75" s="8" t="n">
        <v>74</v>
      </c>
      <c r="B75" s="8" t="n">
        <v>5</v>
      </c>
      <c r="C75" s="8" t="inlineStr">
        <is>
          <t>7 (court)</t>
        </is>
      </c>
      <c r="D75" s="8" t="inlineStr">
        <is>
          <t>Other Findings (if any):</t>
        </is>
      </c>
      <c r="E75" s="8" t="inlineStr">
        <is>
          <t>DV-150[0].Page5[0].List7[0].Li1[0].CheckBoxRightCaption[0]</t>
        </is>
      </c>
      <c r="F75" s="8" t="inlineStr">
        <is>
          <t>checkbox</t>
        </is>
      </c>
      <c r="G75" s="8" t="inlineStr">
        <is>
          <t>1</t>
        </is>
      </c>
      <c r="H75" s="8" t="inlineStr"/>
      <c r="I75" s="8" t="inlineStr">
        <is>
          <t>62, 523, 71, 532</t>
        </is>
      </c>
      <c r="J75" s="8" t="inlineStr">
        <is>
          <t>court/clerk</t>
        </is>
      </c>
      <c r="K75" s="8" t="inlineStr"/>
      <c r="L75" s="8" t="inlineStr"/>
      <c r="M75" s="8" t="inlineStr"/>
      <c r="N75" s="8" t="inlineStr">
        <is>
          <t>Judge completes (mandatory findings).</t>
        </is>
      </c>
      <c r="O75" s="8" t="inlineStr"/>
    </row>
    <row r="76">
      <c r="A76" s="8" t="n">
        <v>75</v>
      </c>
      <c r="B76" s="8" t="n">
        <v>5</v>
      </c>
      <c r="C76" s="8" t="inlineStr">
        <is>
          <t>7 (court)</t>
        </is>
      </c>
      <c r="D76" s="8" t="inlineStr">
        <is>
          <t>Other Findings (if any):</t>
        </is>
      </c>
      <c r="E76" s="8" t="inlineStr">
        <is>
          <t>DV-150[0].Page5[0].List7[0].Li1[0].TextFielditem[0]</t>
        </is>
      </c>
      <c r="F76" s="8" t="inlineStr">
        <is>
          <t>text</t>
        </is>
      </c>
      <c r="G76" s="8" t="inlineStr"/>
      <c r="H76" s="8" t="inlineStr"/>
      <c r="I76" s="8" t="inlineStr">
        <is>
          <t>61, 537, 576, 578</t>
        </is>
      </c>
      <c r="J76" s="8" t="inlineStr">
        <is>
          <t>court/clerk</t>
        </is>
      </c>
      <c r="K76" s="8" t="inlineStr"/>
      <c r="L76" s="8" t="inlineStr"/>
      <c r="M76" s="8" t="inlineStr"/>
      <c r="N76" s="8" t="inlineStr">
        <is>
          <t>Judge completes (mandatory findings).</t>
        </is>
      </c>
      <c r="O76" s="8" t="inlineStr"/>
    </row>
    <row r="77">
      <c r="A77" s="8" t="n">
        <v>76</v>
      </c>
      <c r="B77" s="8" t="n">
        <v>5</v>
      </c>
      <c r="C77" s="8" t="inlineStr">
        <is>
          <t>(court)</t>
        </is>
      </c>
      <c r="D77" s="8" t="inlineStr">
        <is>
          <t>Date:</t>
        </is>
      </c>
      <c r="E77" s="8" t="inlineStr">
        <is>
          <t>DV-150[0].Page5[0].SigDate[0]</t>
        </is>
      </c>
      <c r="F77" s="8" t="inlineStr">
        <is>
          <t>text</t>
        </is>
      </c>
      <c r="G77" s="8" t="inlineStr"/>
      <c r="H77" s="8" t="inlineStr"/>
      <c r="I77" s="8" t="inlineStr">
        <is>
          <t>65, 632, 223, 643</t>
        </is>
      </c>
      <c r="J77" s="8" t="inlineStr">
        <is>
          <t>court/clerk</t>
        </is>
      </c>
      <c r="K77" s="8" t="inlineStr"/>
      <c r="L77" s="8" t="inlineStr"/>
      <c r="M77" s="8" t="inlineStr"/>
      <c r="N77" s="8" t="inlineStr">
        <is>
          <t>Judge completes (mandatory findings).</t>
        </is>
      </c>
      <c r="O77" s="8" t="inlineStr"/>
    </row>
  </sheetData>
  <autoFilter ref="A1:O77"/>
  <dataValidations count="1">
    <dataValidation sqref="J2:J77" showDropDown="0" showInputMessage="0" showErrorMessage="0" allowBlank="1" type="list">
      <formula1>"question,derived,court/clerk,server,ignore (UI button)"</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6" t="n">
        <v>1</v>
      </c>
      <c r="B2" s="6" t="n">
        <v>1</v>
      </c>
      <c r="C2" s="6" t="inlineStr">
        <is>
          <t>Caption</t>
        </is>
      </c>
      <c r="D2" s="6" t="inlineStr">
        <is>
          <t>Superior Court of California, County of</t>
        </is>
      </c>
      <c r="E2" s="6" t="inlineStr">
        <is>
          <t>DV-175[0].Page1[0].RightCaption[0].CourtInfo_ft[0]</t>
        </is>
      </c>
      <c r="F2" s="6" t="inlineStr">
        <is>
          <t>text</t>
        </is>
      </c>
      <c r="G2" s="6" t="inlineStr"/>
      <c r="H2" s="6" t="inlineStr"/>
      <c r="I2" s="6" t="inlineStr">
        <is>
          <t>398, 245, 573, 311</t>
        </is>
      </c>
      <c r="J2" s="6" t="inlineStr">
        <is>
          <t>derived</t>
        </is>
      </c>
      <c r="K2" s="6" t="inlineStr">
        <is>
          <t>S1,S2</t>
        </is>
      </c>
      <c r="L2" s="6">
        <f> S1.countyName + "\n" + courthouse(S1,S2).streetAddress + ", " + courthouse(S1,S2).cityZip</f>
        <v/>
      </c>
      <c r="M2" s="6" t="inlineStr"/>
      <c r="N2" s="6" t="inlineStr"/>
      <c r="O2" s="6" t="inlineStr"/>
    </row>
    <row r="3">
      <c r="A3" s="5" t="n">
        <v>2</v>
      </c>
      <c r="B3" s="5" t="n">
        <v>1</v>
      </c>
      <c r="C3" s="5" t="inlineStr">
        <is>
          <t>Caption</t>
        </is>
      </c>
      <c r="D3" s="5" t="inlineStr">
        <is>
          <t>Case Number:</t>
        </is>
      </c>
      <c r="E3" s="5" t="inlineStr">
        <is>
          <t>DV-175[0].Page1[0].RightCaption[0].CaseNumber_ft[0]</t>
        </is>
      </c>
      <c r="F3" s="5" t="inlineStr">
        <is>
          <t>text</t>
        </is>
      </c>
      <c r="G3" s="5" t="inlineStr"/>
      <c r="H3" s="5" t="inlineStr"/>
      <c r="I3" s="5" t="inlineStr">
        <is>
          <t>398, 349, 573, 366</t>
        </is>
      </c>
      <c r="J3" s="5" t="inlineStr">
        <is>
          <t>question</t>
        </is>
      </c>
      <c r="K3" s="5" t="inlineStr">
        <is>
          <t>X0</t>
        </is>
      </c>
      <c r="L3" s="5">
        <f> X0</f>
        <v/>
      </c>
      <c r="M3" s="5" t="inlineStr"/>
      <c r="N3" s="5" t="inlineStr"/>
      <c r="O3" s="5" t="inlineStr"/>
    </row>
    <row r="4">
      <c r="A4" s="5" t="n">
        <v>3</v>
      </c>
      <c r="B4" s="5" t="n">
        <v>1</v>
      </c>
      <c r="C4" s="5" t="inlineStr">
        <is>
          <t>1a</t>
        </is>
      </c>
      <c r="D4" s="5" t="inlineStr">
        <is>
          <t>(Name):</t>
        </is>
      </c>
      <c r="E4" s="5" t="inlineStr">
        <is>
          <t>DV-175[0].Page1[0].Item1[0].List1[0].LI1[0].T186[0]</t>
        </is>
      </c>
      <c r="F4" s="5" t="inlineStr">
        <is>
          <t>text</t>
        </is>
      </c>
      <c r="G4" s="5" t="inlineStr"/>
      <c r="H4" s="5" t="inlineStr"/>
      <c r="I4" s="5" t="inlineStr">
        <is>
          <t>115, 299, 383, 310</t>
        </is>
      </c>
      <c r="J4" s="5" t="inlineStr">
        <is>
          <t>question</t>
        </is>
      </c>
      <c r="K4" s="5" t="inlineStr">
        <is>
          <t>P1</t>
        </is>
      </c>
      <c r="L4" s="5">
        <f> P1</f>
        <v/>
      </c>
      <c r="M4" s="5" t="inlineStr"/>
      <c r="N4" s="5" t="inlineStr"/>
      <c r="O4" s="5" t="inlineStr"/>
    </row>
    <row r="5">
      <c r="A5" s="5" t="n">
        <v>4</v>
      </c>
      <c r="B5" s="5" t="n">
        <v>1</v>
      </c>
      <c r="C5" s="5" t="inlineStr">
        <is>
          <t>1b</t>
        </is>
      </c>
      <c r="D5" s="5" t="inlineStr">
        <is>
          <t>(Name):</t>
        </is>
      </c>
      <c r="E5" s="5" t="inlineStr">
        <is>
          <t>DV-175[0].Page1[0].Item1[0].List1[0].LI2[0].T186[0]</t>
        </is>
      </c>
      <c r="F5" s="5" t="inlineStr">
        <is>
          <t>text</t>
        </is>
      </c>
      <c r="G5" s="5" t="inlineStr"/>
      <c r="H5" s="5" t="inlineStr"/>
      <c r="I5" s="5" t="inlineStr">
        <is>
          <t>115, 329, 383, 341</t>
        </is>
      </c>
      <c r="J5" s="5" t="inlineStr">
        <is>
          <t>question</t>
        </is>
      </c>
      <c r="K5" s="5" t="inlineStr">
        <is>
          <t>R1</t>
        </is>
      </c>
      <c r="L5" s="5">
        <f> R1</f>
        <v/>
      </c>
      <c r="M5" s="5" t="inlineStr"/>
      <c r="N5" s="5" t="inlineStr"/>
      <c r="O5" s="5" t="inlineStr"/>
    </row>
    <row r="6">
      <c r="A6" s="5" t="n">
        <v>5</v>
      </c>
      <c r="B6" s="5" t="n">
        <v>1</v>
      </c>
      <c r="C6" s="5" t="inlineStr">
        <is>
          <t>2a(1)</t>
        </is>
      </c>
      <c r="D6" s="5" t="inlineStr">
        <is>
          <t>This case.</t>
        </is>
      </c>
      <c r="E6" s="5" t="inlineStr">
        <is>
          <t>DV-175[0].Page1[0].Item2[0].List2[0].LI1[0].LI1List1[0].LI1[0].income_cb[0]</t>
        </is>
      </c>
      <c r="F6" s="5" t="inlineStr">
        <is>
          <t>checkbox</t>
        </is>
      </c>
      <c r="G6" s="5" t="inlineStr">
        <is>
          <t>1</t>
        </is>
      </c>
      <c r="H6" s="5" t="inlineStr"/>
      <c r="I6" s="5" t="inlineStr">
        <is>
          <t>94, 386, 103, 395</t>
        </is>
      </c>
      <c r="J6" s="5" t="inlineStr">
        <is>
          <t>question</t>
        </is>
      </c>
      <c r="K6" s="5" t="inlineStr">
        <is>
          <t>X5</t>
        </is>
      </c>
      <c r="L6" s="5" t="inlineStr">
        <is>
          <t>check if X5.where == "this case"</t>
        </is>
      </c>
      <c r="M6" s="5" t="inlineStr"/>
      <c r="N6" s="5" t="inlineStr">
        <is>
          <t>Defaults to "this case": DV-165 was made in this case.</t>
        </is>
      </c>
      <c r="O6" s="5" t="inlineStr"/>
    </row>
    <row r="7">
      <c r="A7" s="5" t="n">
        <v>6</v>
      </c>
      <c r="B7" s="5" t="n">
        <v>1</v>
      </c>
      <c r="C7" s="5" t="inlineStr">
        <is>
          <t>2a(2)</t>
        </is>
      </c>
      <c r="D7" s="5" t="inlineStr">
        <is>
          <t>Another civil or family law case:</t>
        </is>
      </c>
      <c r="E7" s="5" t="inlineStr">
        <is>
          <t>DV-175[0].Page1[0].Item2[0].List2[0].LI1[0].LI1List1[0].LI2[0].income_cb[0]</t>
        </is>
      </c>
      <c r="F7" s="5" t="inlineStr">
        <is>
          <t>checkbox</t>
        </is>
      </c>
      <c r="G7" s="5" t="inlineStr">
        <is>
          <t>2</t>
        </is>
      </c>
      <c r="H7" s="5" t="inlineStr"/>
      <c r="I7" s="5" t="inlineStr">
        <is>
          <t>94, 400, 103, 409</t>
        </is>
      </c>
      <c r="J7" s="5" t="inlineStr">
        <is>
          <t>question</t>
        </is>
      </c>
      <c r="K7" s="5" t="inlineStr">
        <is>
          <t>X5</t>
        </is>
      </c>
      <c r="L7" s="5" t="inlineStr">
        <is>
          <t>check if X5.where == "other case"</t>
        </is>
      </c>
      <c r="M7" s="5" t="inlineStr"/>
      <c r="N7" s="5" t="inlineStr">
        <is>
          <t>Export value 2.</t>
        </is>
      </c>
      <c r="O7" s="5" t="inlineStr"/>
    </row>
    <row r="8">
      <c r="A8" s="5" t="n">
        <v>7</v>
      </c>
      <c r="B8" s="5" t="n">
        <v>1</v>
      </c>
      <c r="C8" s="5" t="inlineStr">
        <is>
          <t>2a(2)(a)</t>
        </is>
      </c>
      <c r="D8" s="5" t="inlineStr">
        <is>
          <t>Case number:</t>
        </is>
      </c>
      <c r="E8" s="5" t="inlineStr">
        <is>
          <t>DV-175[0].Page1[0].Item2[0].List2[0].LI1[0].LI1List1[0].LI2[0].LI2List1[0].LI1[0].T13[0]</t>
        </is>
      </c>
      <c r="F8" s="5" t="inlineStr">
        <is>
          <t>text</t>
        </is>
      </c>
      <c r="G8" s="5" t="inlineStr"/>
      <c r="H8" s="5" t="inlineStr"/>
      <c r="I8" s="5" t="inlineStr">
        <is>
          <t>176, 414, 354, 425</t>
        </is>
      </c>
      <c r="J8" s="5" t="inlineStr">
        <is>
          <t>question</t>
        </is>
      </c>
      <c r="K8" s="5" t="inlineStr">
        <is>
          <t>X5</t>
        </is>
      </c>
      <c r="L8" s="5">
        <f> X5.caseNumber</f>
        <v/>
      </c>
      <c r="M8" s="5" t="inlineStr">
        <is>
          <t>X5.where == "other case"</t>
        </is>
      </c>
      <c r="N8" s="5" t="inlineStr"/>
      <c r="O8" s="5" t="inlineStr"/>
    </row>
    <row r="9">
      <c r="A9" s="5" t="n">
        <v>8</v>
      </c>
      <c r="B9" s="5" t="n">
        <v>1</v>
      </c>
      <c r="C9" s="5" t="inlineStr">
        <is>
          <t>2a(2)(b)</t>
        </is>
      </c>
      <c r="D9" s="5" t="inlineStr">
        <is>
          <t>County it was filed in:</t>
        </is>
      </c>
      <c r="E9" s="5" t="inlineStr">
        <is>
          <t>DV-175[0].Page1[0].Item2[0].List2[0].LI1[0].LI1List1[0].LI2[0].LI2List1[0].LI2[0].T13[0]</t>
        </is>
      </c>
      <c r="F9" s="5" t="inlineStr">
        <is>
          <t>text</t>
        </is>
      </c>
      <c r="G9" s="5" t="inlineStr"/>
      <c r="H9" s="5" t="inlineStr"/>
      <c r="I9" s="5" t="inlineStr">
        <is>
          <t>212, 429, 354, 440</t>
        </is>
      </c>
      <c r="J9" s="5" t="inlineStr">
        <is>
          <t>question</t>
        </is>
      </c>
      <c r="K9" s="5" t="inlineStr">
        <is>
          <t>X5</t>
        </is>
      </c>
      <c r="L9" s="5">
        <f> X5.county</f>
        <v/>
      </c>
      <c r="M9" s="5" t="inlineStr">
        <is>
          <t>X5.where == "other case"</t>
        </is>
      </c>
      <c r="N9" s="5" t="inlineStr"/>
      <c r="O9" s="5" t="inlineStr"/>
    </row>
    <row r="10">
      <c r="A10" s="5" t="n">
        <v>9</v>
      </c>
      <c r="B10" s="5" t="n">
        <v>1</v>
      </c>
      <c r="C10" s="5" t="inlineStr">
        <is>
          <t>2b(1)</t>
        </is>
      </c>
      <c r="D10" s="5" t="inlineStr">
        <is>
          <t>Name:</t>
        </is>
      </c>
      <c r="E10" s="5" t="inlineStr">
        <is>
          <t>DV-175[0].Page1[0].Item2[0].List2[0].LI2[0].LI2List1[0].LI1[0].T186[0]</t>
        </is>
      </c>
      <c r="F10" s="5" t="inlineStr">
        <is>
          <t>text</t>
        </is>
      </c>
      <c r="G10" s="5" t="inlineStr"/>
      <c r="H10" s="5" t="inlineStr"/>
      <c r="I10" s="5" t="inlineStr">
        <is>
          <t>127, 477, 385, 488</t>
        </is>
      </c>
      <c r="J10" s="5" t="inlineStr">
        <is>
          <t>question</t>
        </is>
      </c>
      <c r="K10" s="5" t="inlineStr">
        <is>
          <t>M2</t>
        </is>
      </c>
      <c r="L10" s="5">
        <f> M2[0].PR1</f>
        <v/>
      </c>
      <c r="M10" s="5" t="inlineStr"/>
      <c r="N10" s="5" t="inlineStr">
        <is>
          <t>Minors covered by the DV-165 order (M2, narrowed by X2 if only partly granted).</t>
        </is>
      </c>
      <c r="O10" s="5" t="inlineStr"/>
    </row>
    <row r="11">
      <c r="A11" s="5" t="n">
        <v>10</v>
      </c>
      <c r="B11" s="5" t="n">
        <v>1</v>
      </c>
      <c r="C11" s="5" t="inlineStr">
        <is>
          <t>2b(2)</t>
        </is>
      </c>
      <c r="D11" s="5" t="inlineStr">
        <is>
          <t>Name:</t>
        </is>
      </c>
      <c r="E11" s="5" t="inlineStr">
        <is>
          <t>DV-175[0].Page1[0].Item2[0].List2[0].LI2[0].LI2List1[0].LI2[0].T186[0]</t>
        </is>
      </c>
      <c r="F11" s="5" t="inlineStr">
        <is>
          <t>text</t>
        </is>
      </c>
      <c r="G11" s="5" t="inlineStr"/>
      <c r="H11" s="5" t="inlineStr"/>
      <c r="I11" s="5" t="inlineStr">
        <is>
          <t>127, 492, 385, 503</t>
        </is>
      </c>
      <c r="J11" s="5" t="inlineStr">
        <is>
          <t>question</t>
        </is>
      </c>
      <c r="K11" s="5" t="inlineStr">
        <is>
          <t>M2</t>
        </is>
      </c>
      <c r="L11" s="5">
        <f> M2[1].PR1</f>
        <v/>
      </c>
      <c r="M11" s="5" t="inlineStr">
        <is>
          <t>M2.length &gt; 1</t>
        </is>
      </c>
      <c r="N11" s="5" t="inlineStr"/>
      <c r="O11" s="5" t="inlineStr"/>
    </row>
    <row r="12">
      <c r="A12" s="6" t="n">
        <v>11</v>
      </c>
      <c r="B12" s="6" t="n">
        <v>1</v>
      </c>
      <c r="C12" s="6" t="inlineStr">
        <is>
          <t>2b more</t>
        </is>
      </c>
      <c r="D12" s="6" t="inlineStr">
        <is>
          <t>Check here if you need more space. Include the information on a separate piece of paper, write “Attachment 2” on the top, and attach it to this form.</t>
        </is>
      </c>
      <c r="E12" s="6" t="inlineStr">
        <is>
          <t>DV-175[0].Page1[0].Item2[0].income_cb2[0]</t>
        </is>
      </c>
      <c r="F12" s="6" t="inlineStr">
        <is>
          <t>checkbox</t>
        </is>
      </c>
      <c r="G12" s="6" t="inlineStr">
        <is>
          <t>1</t>
        </is>
      </c>
      <c r="H12" s="6" t="inlineStr"/>
      <c r="I12" s="6" t="inlineStr">
        <is>
          <t>76, 509, 85, 518</t>
        </is>
      </c>
      <c r="J12" s="6" t="inlineStr">
        <is>
          <t>derived</t>
        </is>
      </c>
      <c r="K12" s="6" t="inlineStr">
        <is>
          <t>M2</t>
        </is>
      </c>
      <c r="L12" s="6" t="inlineStr">
        <is>
          <t>check if M2.length &gt; 2</t>
        </is>
      </c>
      <c r="M12" s="6" t="inlineStr"/>
      <c r="N12" s="6" t="inlineStr">
        <is>
          <t>Attach "Attachment 2".</t>
        </is>
      </c>
      <c r="O12" s="6" t="inlineStr"/>
    </row>
    <row r="13">
      <c r="A13" s="5" t="n">
        <v>12</v>
      </c>
      <c r="B13" s="5" t="n">
        <v>1</v>
      </c>
      <c r="C13" s="5" t="inlineStr">
        <is>
          <t>3</t>
        </is>
      </c>
      <c r="D13" s="5" t="inlineStr">
        <is>
          <t>Form</t>
        </is>
      </c>
      <c r="E13" s="5" t="inlineStr">
        <is>
          <t>DV-175[0].Page1[0].Item3[0].income_cb1[0]</t>
        </is>
      </c>
      <c r="F13" s="5" t="inlineStr">
        <is>
          <t>checkbox</t>
        </is>
      </c>
      <c r="G13" s="5" t="inlineStr">
        <is>
          <t>1</t>
        </is>
      </c>
      <c r="H13" s="5" t="inlineStr"/>
      <c r="I13" s="5" t="inlineStr">
        <is>
          <t>61, 576, 70, 585</t>
        </is>
      </c>
      <c r="J13" s="5" t="inlineStr">
        <is>
          <t>question</t>
        </is>
      </c>
      <c r="K13" s="5" t="inlineStr">
        <is>
          <t>X4</t>
        </is>
      </c>
      <c r="L13" s="5" t="inlineStr">
        <is>
          <t>check if X4.documents has any DV- form</t>
        </is>
      </c>
      <c r="M13" s="5" t="inlineStr"/>
      <c r="N13" s="5" t="inlineStr"/>
      <c r="O13" s="5" t="inlineStr"/>
    </row>
    <row r="14">
      <c r="A14" s="5" t="n">
        <v>13</v>
      </c>
      <c r="B14" s="5" t="n">
        <v>1</v>
      </c>
      <c r="C14" s="5" t="inlineStr">
        <is>
          <t>3</t>
        </is>
      </c>
      <c r="D14" s="5" t="inlineStr">
        <is>
          <t>DV-</t>
        </is>
      </c>
      <c r="E14" s="5" t="inlineStr">
        <is>
          <t>DV-175[0].Page1[0].Item3[0].TextField1[0]</t>
        </is>
      </c>
      <c r="F14" s="5" t="inlineStr">
        <is>
          <t>text</t>
        </is>
      </c>
      <c r="G14" s="5" t="inlineStr"/>
      <c r="H14" s="5" t="inlineStr"/>
      <c r="I14" s="5" t="inlineStr">
        <is>
          <t>122, 575, 248, 586</t>
        </is>
      </c>
      <c r="J14" s="5" t="inlineStr">
        <is>
          <t>question</t>
        </is>
      </c>
      <c r="K14" s="5" t="inlineStr">
        <is>
          <t>X4</t>
        </is>
      </c>
      <c r="L14" s="5">
        <f> join(X4.documents.where(isDV).number without "DV-", ", ")</f>
        <v/>
      </c>
      <c r="M14" s="5" t="inlineStr"/>
      <c r="N14" s="5" t="inlineStr">
        <is>
          <t>"DV-" is pre-printed.</t>
        </is>
      </c>
      <c r="O14" s="5" t="inlineStr"/>
    </row>
    <row r="15">
      <c r="A15" s="5" t="n">
        <v>14</v>
      </c>
      <c r="B15" s="5" t="n">
        <v>1</v>
      </c>
      <c r="C15" s="5" t="inlineStr">
        <is>
          <t>3</t>
        </is>
      </c>
      <c r="D15" s="5" t="inlineStr">
        <is>
          <t>Other form or document</t>
        </is>
      </c>
      <c r="E15" s="5" t="inlineStr">
        <is>
          <t>DV-175[0].Page1[0].Item3[0].income_cb3[0]</t>
        </is>
      </c>
      <c r="F15" s="5" t="inlineStr">
        <is>
          <t>checkbox</t>
        </is>
      </c>
      <c r="G15" s="5" t="inlineStr">
        <is>
          <t>2</t>
        </is>
      </c>
      <c r="H15" s="5" t="inlineStr"/>
      <c r="I15" s="5" t="inlineStr">
        <is>
          <t>61, 593, 70, 602</t>
        </is>
      </c>
      <c r="J15" s="5" t="inlineStr">
        <is>
          <t>question</t>
        </is>
      </c>
      <c r="K15" s="5" t="inlineStr">
        <is>
          <t>X4</t>
        </is>
      </c>
      <c r="L15" s="5" t="inlineStr">
        <is>
          <t>check if X4.documents has a non-DV document</t>
        </is>
      </c>
      <c r="M15" s="5" t="inlineStr"/>
      <c r="N15" s="5" t="inlineStr">
        <is>
          <t>Export value 2.</t>
        </is>
      </c>
      <c r="O15" s="5" t="inlineStr"/>
    </row>
    <row r="16">
      <c r="A16" s="5" t="n">
        <v>15</v>
      </c>
      <c r="B16" s="5" t="n">
        <v>1</v>
      </c>
      <c r="C16" s="5" t="inlineStr">
        <is>
          <t>3</t>
        </is>
      </c>
      <c r="D16" s="5" t="inlineStr">
        <is>
          <t>(describe):</t>
        </is>
      </c>
      <c r="E16" s="5" t="inlineStr">
        <is>
          <t>DV-175[0].Page1[0].Item3[0].TextField2[0]</t>
        </is>
      </c>
      <c r="F16" s="5" t="inlineStr">
        <is>
          <t>text</t>
        </is>
      </c>
      <c r="G16" s="5" t="inlineStr"/>
      <c r="H16" s="5" t="inlineStr"/>
      <c r="I16" s="5" t="inlineStr">
        <is>
          <t>236, 592, 570, 603</t>
        </is>
      </c>
      <c r="J16" s="5" t="inlineStr">
        <is>
          <t>question</t>
        </is>
      </c>
      <c r="K16" s="5" t="inlineStr">
        <is>
          <t>X4</t>
        </is>
      </c>
      <c r="L16" s="5">
        <f> join(X4.documents.where(!isDV).name, ", ")</f>
        <v/>
      </c>
      <c r="M16" s="5" t="inlineStr"/>
      <c r="N16" s="5" t="inlineStr"/>
      <c r="O16" s="5" t="inlineStr"/>
    </row>
    <row r="17">
      <c r="A17" s="5" t="n">
        <v>16</v>
      </c>
      <c r="B17" s="5" t="n">
        <v>1</v>
      </c>
      <c r="C17" s="5" t="inlineStr">
        <is>
          <t>4</t>
        </is>
      </c>
      <c r="D17" s="5" t="inlineStr">
        <is>
          <t>Date:</t>
        </is>
      </c>
      <c r="E17" s="5" t="inlineStr">
        <is>
          <t>DV-175[0].Page1[0].Item4[0].SigDate[0]</t>
        </is>
      </c>
      <c r="F17" s="5" t="inlineStr">
        <is>
          <t>text</t>
        </is>
      </c>
      <c r="G17" s="5" t="inlineStr"/>
      <c r="H17" s="5" t="inlineStr"/>
      <c r="I17" s="5" t="inlineStr">
        <is>
          <t>86, 647, 219, 658</t>
        </is>
      </c>
      <c r="J17" s="5" t="inlineStr">
        <is>
          <t>question</t>
        </is>
      </c>
      <c r="K17" s="5" t="inlineStr">
        <is>
          <t>G2</t>
        </is>
      </c>
      <c r="L17" s="5">
        <f> fmtDate(G2)</f>
        <v/>
      </c>
      <c r="M17" s="5" t="inlineStr"/>
      <c r="N17" s="5" t="inlineStr"/>
      <c r="O17" s="5" t="inlineStr"/>
    </row>
    <row r="18">
      <c r="A18" s="5" t="n">
        <v>17</v>
      </c>
      <c r="B18" s="5" t="n">
        <v>1</v>
      </c>
      <c r="C18" s="5" t="inlineStr">
        <is>
          <t>4</t>
        </is>
      </c>
      <c r="D18" s="5" t="inlineStr">
        <is>
          <t>Type or print your name</t>
        </is>
      </c>
      <c r="E18" s="5" t="inlineStr">
        <is>
          <t>DV-175[0].Page1[0].Item4[0].T14[0]</t>
        </is>
      </c>
      <c r="F18" s="5" t="inlineStr">
        <is>
          <t>text</t>
        </is>
      </c>
      <c r="G18" s="5" t="inlineStr"/>
      <c r="H18" s="5" t="inlineStr"/>
      <c r="I18" s="5" t="inlineStr">
        <is>
          <t>60, 665, 308, 680</t>
        </is>
      </c>
      <c r="J18" s="5" t="inlineStr">
        <is>
          <t>question</t>
        </is>
      </c>
      <c r="K18" s="5" t="inlineStr">
        <is>
          <t>S5,L1,P1</t>
        </is>
      </c>
      <c r="L18" s="5">
        <f> S5=="Y" ? L1 : P1</f>
        <v/>
      </c>
      <c r="M18" s="5" t="inlineStr"/>
      <c r="N18" s="5" t="inlineStr"/>
      <c r="O18" s="5" t="inlineStr"/>
    </row>
    <row r="19">
      <c r="A19" s="5" t="n">
        <v>18</v>
      </c>
      <c r="B19" s="5" t="n">
        <v>1</v>
      </c>
      <c r="C19" s="5" t="inlineStr">
        <is>
          <t>4</t>
        </is>
      </c>
      <c r="D19" s="5" t="inlineStr">
        <is>
          <t>Check here if you are a lawyer.</t>
        </is>
      </c>
      <c r="E19" s="5" t="inlineStr">
        <is>
          <t>DV-175[0].Page1[0].Item4[0].income_cb4[0]</t>
        </is>
      </c>
      <c r="F19" s="5" t="inlineStr">
        <is>
          <t>checkbox</t>
        </is>
      </c>
      <c r="G19" s="5" t="inlineStr">
        <is>
          <t>1</t>
        </is>
      </c>
      <c r="H19" s="5" t="inlineStr"/>
      <c r="I19" s="5" t="inlineStr">
        <is>
          <t>60, 701, 69, 710</t>
        </is>
      </c>
      <c r="J19" s="5" t="inlineStr">
        <is>
          <t>question</t>
        </is>
      </c>
      <c r="K19" s="5" t="inlineStr">
        <is>
          <t>S5</t>
        </is>
      </c>
      <c r="L19" s="5" t="inlineStr">
        <is>
          <t>check if S5 == "Y"</t>
        </is>
      </c>
      <c r="M19" s="5" t="inlineStr"/>
      <c r="N19" s="5" t="inlineStr"/>
      <c r="O19" s="5" t="inlineStr"/>
    </row>
    <row r="20">
      <c r="A20" s="7" t="n">
        <v>19</v>
      </c>
      <c r="B20" s="7" t="n">
        <v>1</v>
      </c>
      <c r="C20" s="7" t="inlineStr">
        <is>
          <t>—</t>
        </is>
      </c>
      <c r="D20" s="7" t="inlineStr">
        <is>
          <t>For your protection and privacy, please press the Clear This Form button after you have printed the form.</t>
        </is>
      </c>
      <c r="E20" s="7" t="inlineStr">
        <is>
          <t>DV-175[0].Page1[0].#area[0].T23[0]</t>
        </is>
      </c>
      <c r="F20" s="7" t="inlineStr">
        <is>
          <t>button</t>
        </is>
      </c>
      <c r="G20" s="7" t="inlineStr"/>
      <c r="H20" s="7" t="inlineStr"/>
      <c r="I20" s="7" t="inlineStr">
        <is>
          <t>36, 758, 247, 782</t>
        </is>
      </c>
      <c r="J20" s="7" t="inlineStr">
        <is>
          <t>ignore (UI button)</t>
        </is>
      </c>
      <c r="K20" s="7" t="inlineStr"/>
      <c r="L20" s="7" t="inlineStr"/>
      <c r="M20" s="7" t="inlineStr"/>
      <c r="N20" s="7" t="inlineStr">
        <is>
          <t>Print/Save/Clear button. Do not fill.</t>
        </is>
      </c>
      <c r="O20" s="7" t="inlineStr"/>
    </row>
    <row r="21">
      <c r="A21" s="7" t="n">
        <v>20</v>
      </c>
      <c r="B21" s="7" t="n">
        <v>1</v>
      </c>
      <c r="C21" s="7" t="inlineStr">
        <is>
          <t>—</t>
        </is>
      </c>
      <c r="D21" s="7" t="inlineStr">
        <is>
          <t>Print this form</t>
        </is>
      </c>
      <c r="E21" s="7" t="inlineStr">
        <is>
          <t>DV-175[0].Page1[0].#area[0].Print_bt[0]</t>
        </is>
      </c>
      <c r="F21" s="7" t="inlineStr">
        <is>
          <t>button</t>
        </is>
      </c>
      <c r="G21" s="7" t="inlineStr"/>
      <c r="H21" s="7" t="inlineStr"/>
      <c r="I21" s="7" t="inlineStr">
        <is>
          <t>258, 765, 339, 782</t>
        </is>
      </c>
      <c r="J21" s="7" t="inlineStr">
        <is>
          <t>ignore (UI button)</t>
        </is>
      </c>
      <c r="K21" s="7" t="inlineStr"/>
      <c r="L21" s="7" t="inlineStr"/>
      <c r="M21" s="7" t="inlineStr"/>
      <c r="N21" s="7" t="inlineStr">
        <is>
          <t>Print/Save/Clear button. Do not fill.</t>
        </is>
      </c>
      <c r="O21" s="7" t="inlineStr"/>
    </row>
    <row r="22">
      <c r="A22" s="7" t="n">
        <v>21</v>
      </c>
      <c r="B22" s="7" t="n">
        <v>1</v>
      </c>
      <c r="C22" s="7" t="inlineStr">
        <is>
          <t>—</t>
        </is>
      </c>
      <c r="D22" s="7" t="inlineStr">
        <is>
          <t>Save this form</t>
        </is>
      </c>
      <c r="E22" s="7" t="inlineStr">
        <is>
          <t>DV-175[0].Page1[0].#area[0].Save_bt[0]</t>
        </is>
      </c>
      <c r="F22" s="7" t="inlineStr">
        <is>
          <t>button</t>
        </is>
      </c>
      <c r="G22" s="7" t="inlineStr"/>
      <c r="H22" s="7" t="inlineStr"/>
      <c r="I22" s="7" t="inlineStr">
        <is>
          <t>345, 765, 426, 782</t>
        </is>
      </c>
      <c r="J22" s="7" t="inlineStr">
        <is>
          <t>ignore (UI button)</t>
        </is>
      </c>
      <c r="K22" s="7" t="inlineStr"/>
      <c r="L22" s="7" t="inlineStr"/>
      <c r="M22" s="7" t="inlineStr"/>
      <c r="N22" s="7" t="inlineStr">
        <is>
          <t>Print/Save/Clear button. Do not fill.</t>
        </is>
      </c>
      <c r="O22" s="7" t="inlineStr"/>
    </row>
    <row r="23">
      <c r="A23" s="7" t="n">
        <v>22</v>
      </c>
      <c r="B23" s="7" t="n">
        <v>1</v>
      </c>
      <c r="C23" s="7" t="inlineStr">
        <is>
          <t>—</t>
        </is>
      </c>
      <c r="D23" s="7" t="inlineStr">
        <is>
          <t>Clear this form</t>
        </is>
      </c>
      <c r="E23" s="7" t="inlineStr">
        <is>
          <t>DV-175[0].Page1[0].#area[0].Reset_bt[0]</t>
        </is>
      </c>
      <c r="F23" s="7" t="inlineStr">
        <is>
          <t>button</t>
        </is>
      </c>
      <c r="G23" s="7" t="inlineStr"/>
      <c r="H23" s="7" t="inlineStr"/>
      <c r="I23" s="7" t="inlineStr">
        <is>
          <t>495, 765, 576, 782</t>
        </is>
      </c>
      <c r="J23" s="7" t="inlineStr">
        <is>
          <t>ignore (UI button)</t>
        </is>
      </c>
      <c r="K23" s="7" t="inlineStr"/>
      <c r="L23" s="7" t="inlineStr"/>
      <c r="M23" s="7" t="inlineStr"/>
      <c r="N23" s="7" t="inlineStr">
        <is>
          <t>Print/Save/Clear button. Do not fill.</t>
        </is>
      </c>
      <c r="O23" s="7" t="inlineStr"/>
    </row>
  </sheetData>
  <autoFilter ref="A1:O23"/>
  <dataValidations count="1">
    <dataValidation sqref="J2:J23" showDropDown="0" showInputMessage="0" showErrorMessage="0" allowBlank="1" type="list">
      <formula1>"question,derived,court/clerk,server,ignore (UI button)"</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124"/>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40" customWidth="1" min="4" max="4"/>
    <col width="62" customWidth="1" min="5" max="5"/>
    <col width="10" customWidth="1" min="6" max="6"/>
    <col width="9" customWidth="1" min="7" max="7"/>
    <col width="8" customWidth="1" min="8" max="8"/>
    <col width="16" customWidth="1" min="9" max="9"/>
    <col width="14" customWidth="1" min="10" max="10"/>
    <col width="18" customWidth="1" min="11" max="11"/>
    <col width="48" customWidth="1" min="12" max="12"/>
    <col width="30" customWidth="1" min="13" max="13"/>
    <col width="48" customWidth="1" min="14" max="14"/>
    <col width="24" customWidth="1" min="15" max="15"/>
  </cols>
  <sheetData>
    <row r="1">
      <c r="A1" s="4" t="inlineStr">
        <is>
          <t>#</t>
        </is>
      </c>
      <c r="B1" s="4" t="inlineStr">
        <is>
          <t>Page</t>
        </is>
      </c>
      <c r="C1" s="4" t="inlineStr">
        <is>
          <t>Item</t>
        </is>
      </c>
      <c r="D1" s="4" t="inlineStr">
        <is>
          <t>Printed label</t>
        </is>
      </c>
      <c r="E1" s="4" t="inlineStr">
        <is>
          <t>Field name (full)</t>
        </is>
      </c>
      <c r="F1" s="4" t="inlineStr">
        <is>
          <t>Type</t>
        </is>
      </c>
      <c r="G1" s="4" t="inlineStr">
        <is>
          <t>Export value</t>
        </is>
      </c>
      <c r="H1" s="4" t="inlineStr">
        <is>
          <t>Max length</t>
        </is>
      </c>
      <c r="I1" s="4" t="inlineStr">
        <is>
          <t>Position (pt)</t>
        </is>
      </c>
      <c r="J1" s="4" t="inlineStr">
        <is>
          <t>Kind</t>
        </is>
      </c>
      <c r="K1" s="4" t="inlineStr">
        <is>
          <t>Question ID(s)</t>
        </is>
      </c>
      <c r="L1" s="4" t="inlineStr">
        <is>
          <t>Rule / transform</t>
        </is>
      </c>
      <c r="M1" s="4" t="inlineStr">
        <is>
          <t>Fill when</t>
        </is>
      </c>
      <c r="N1" s="4" t="inlineStr">
        <is>
          <t>Notes</t>
        </is>
      </c>
      <c r="O1" s="4" t="inlineStr">
        <is>
          <t>Review</t>
        </is>
      </c>
    </row>
    <row r="2">
      <c r="A2" s="5" t="n">
        <v>1</v>
      </c>
      <c r="B2" s="5" t="n">
        <v>1</v>
      </c>
      <c r="C2" s="5" t="inlineStr">
        <is>
          <t>Caption</t>
        </is>
      </c>
      <c r="D2" s="5" t="inlineStr">
        <is>
          <t>CASE NUMBER</t>
        </is>
      </c>
      <c r="E2" s="5" t="inlineStr">
        <is>
          <t>FL-351[0].Page1[0].P1Caption[0].captionSub[0].CaseNumber[0].CaseNumber_ft[0]</t>
        </is>
      </c>
      <c r="F2" s="5" t="inlineStr">
        <is>
          <t>text</t>
        </is>
      </c>
      <c r="G2" s="5" t="inlineStr"/>
      <c r="H2" s="5" t="inlineStr"/>
      <c r="I2" s="5" t="inlineStr">
        <is>
          <t>400, 258, 572, 270</t>
        </is>
      </c>
      <c r="J2" s="5" t="inlineStr">
        <is>
          <t>question</t>
        </is>
      </c>
      <c r="K2" s="5" t="inlineStr">
        <is>
          <t>X0</t>
        </is>
      </c>
      <c r="L2" s="5">
        <f> X0</f>
        <v/>
      </c>
      <c r="M2" s="5" t="inlineStr">
        <is>
          <t>stage 3</t>
        </is>
      </c>
      <c r="N2" s="5" t="inlineStr"/>
      <c r="O2" s="5" t="inlineStr"/>
    </row>
    <row r="3">
      <c r="A3" s="5" t="n">
        <v>2</v>
      </c>
      <c r="B3" s="5" t="n">
        <v>1</v>
      </c>
      <c r="C3" s="5" t="inlineStr">
        <is>
          <t>Caption</t>
        </is>
      </c>
      <c r="D3" s="5" t="inlineStr">
        <is>
          <t>STATE BAR NUMBER</t>
        </is>
      </c>
      <c r="E3" s="5" t="inlineStr">
        <is>
          <t>FL-351[0].Page1[0].P1Caption[0].AttyPartyInfo[0].AttyBarNo[0]</t>
        </is>
      </c>
      <c r="F3" s="5" t="inlineStr">
        <is>
          <t>text</t>
        </is>
      </c>
      <c r="G3" s="5" t="inlineStr"/>
      <c r="H3" s="5" t="inlineStr"/>
      <c r="I3" s="5" t="inlineStr">
        <is>
          <t>308, 48, 394, 57</t>
        </is>
      </c>
      <c r="J3" s="5" t="inlineStr">
        <is>
          <t>question</t>
        </is>
      </c>
      <c r="K3" s="5" t="inlineStr">
        <is>
          <t>L2</t>
        </is>
      </c>
      <c r="L3" s="5">
        <f> L2</f>
        <v/>
      </c>
      <c r="M3" s="5" t="inlineStr">
        <is>
          <t>S5 == "Y"</t>
        </is>
      </c>
      <c r="N3" s="5" t="inlineStr"/>
      <c r="O3" s="5" t="inlineStr"/>
    </row>
    <row r="4">
      <c r="A4" s="5" t="n">
        <v>3</v>
      </c>
      <c r="B4" s="5" t="n">
        <v>1</v>
      </c>
      <c r="C4" s="5" t="inlineStr">
        <is>
          <t>Caption</t>
        </is>
      </c>
      <c r="D4" s="5" t="inlineStr">
        <is>
          <t>NAME</t>
        </is>
      </c>
      <c r="E4" s="5" t="inlineStr">
        <is>
          <t>FL-351[0].Page1[0].P1Caption[0].AttyPartyInfo[0].Name[0]</t>
        </is>
      </c>
      <c r="F4" s="5" t="inlineStr">
        <is>
          <t>text</t>
        </is>
      </c>
      <c r="G4" s="5" t="inlineStr"/>
      <c r="H4" s="5" t="inlineStr"/>
      <c r="I4" s="5" t="inlineStr">
        <is>
          <t>57, 60, 394, 69</t>
        </is>
      </c>
      <c r="J4" s="5" t="inlineStr">
        <is>
          <t>question</t>
        </is>
      </c>
      <c r="K4" s="5" t="inlineStr">
        <is>
          <t>S5,L1,P1</t>
        </is>
      </c>
      <c r="L4" s="5">
        <f> S5=="Y" ? L1 : P1</f>
        <v/>
      </c>
      <c r="M4" s="5" t="inlineStr"/>
      <c r="N4" s="5" t="inlineStr"/>
      <c r="O4" s="5" t="inlineStr"/>
    </row>
    <row r="5">
      <c r="A5" s="5" t="n">
        <v>4</v>
      </c>
      <c r="B5" s="5" t="n">
        <v>1</v>
      </c>
      <c r="C5" s="5" t="inlineStr">
        <is>
          <t>Caption</t>
        </is>
      </c>
      <c r="D5" s="5" t="inlineStr">
        <is>
          <t>FIRM NAME</t>
        </is>
      </c>
      <c r="E5" s="5" t="inlineStr">
        <is>
          <t>FL-351[0].Page1[0].P1Caption[0].AttyPartyInfo[0].AttyFirm[0]</t>
        </is>
      </c>
      <c r="F5" s="5" t="inlineStr">
        <is>
          <t>text</t>
        </is>
      </c>
      <c r="G5" s="5" t="inlineStr"/>
      <c r="H5" s="5" t="inlineStr"/>
      <c r="I5" s="5" t="inlineStr">
        <is>
          <t>73, 71, 394, 80</t>
        </is>
      </c>
      <c r="J5" s="5" t="inlineStr">
        <is>
          <t>question</t>
        </is>
      </c>
      <c r="K5" s="5" t="inlineStr">
        <is>
          <t>L3</t>
        </is>
      </c>
      <c r="L5" s="5">
        <f> L3</f>
        <v/>
      </c>
      <c r="M5" s="5" t="inlineStr">
        <is>
          <t>S5 == "Y"</t>
        </is>
      </c>
      <c r="N5" s="5" t="inlineStr"/>
      <c r="O5" s="5" t="inlineStr"/>
    </row>
    <row r="6">
      <c r="A6" s="5" t="n">
        <v>5</v>
      </c>
      <c r="B6" s="5" t="n">
        <v>1</v>
      </c>
      <c r="C6" s="5" t="inlineStr">
        <is>
          <t>Caption</t>
        </is>
      </c>
      <c r="D6" s="5" t="inlineStr">
        <is>
          <t>STREET ADDRESS</t>
        </is>
      </c>
      <c r="E6" s="5" t="inlineStr">
        <is>
          <t>FL-351[0].Page1[0].P1Caption[0].AttyPartyInfo[0].Street[0]</t>
        </is>
      </c>
      <c r="F6" s="5" t="inlineStr">
        <is>
          <t>text</t>
        </is>
      </c>
      <c r="G6" s="5" t="inlineStr"/>
      <c r="H6" s="5" t="inlineStr"/>
      <c r="I6" s="5" t="inlineStr">
        <is>
          <t>95, 83, 394, 92</t>
        </is>
      </c>
      <c r="J6" s="5" t="inlineStr">
        <is>
          <t>question</t>
        </is>
      </c>
      <c r="K6" s="5" t="inlineStr">
        <is>
          <t>S5,L4,L5,P6,P7,P8</t>
        </is>
      </c>
      <c r="L6" s="5">
        <f> S5=="Y" ? L4.street : P6.street</f>
        <v/>
      </c>
      <c r="M6" s="5" t="inlineStr"/>
      <c r="N6" s="5" t="inlineStr"/>
      <c r="O6" s="5" t="inlineStr"/>
    </row>
    <row r="7">
      <c r="A7" s="5" t="n">
        <v>6</v>
      </c>
      <c r="B7" s="5" t="n">
        <v>1</v>
      </c>
      <c r="C7" s="5" t="inlineStr">
        <is>
          <t>Caption</t>
        </is>
      </c>
      <c r="D7" s="5" t="inlineStr">
        <is>
          <t>CITY</t>
        </is>
      </c>
      <c r="E7" s="5" t="inlineStr">
        <is>
          <t>FL-351[0].Page1[0].P1Caption[0].AttyPartyInfo[0].City[0]</t>
        </is>
      </c>
      <c r="F7" s="5" t="inlineStr">
        <is>
          <t>text</t>
        </is>
      </c>
      <c r="G7" s="5" t="inlineStr"/>
      <c r="H7" s="5" t="inlineStr"/>
      <c r="I7" s="5" t="inlineStr">
        <is>
          <t>54, 94, 240, 103</t>
        </is>
      </c>
      <c r="J7" s="5" t="inlineStr">
        <is>
          <t>question</t>
        </is>
      </c>
      <c r="K7" s="5" t="inlineStr">
        <is>
          <t>S5,L4,L5,P6,P7,P8</t>
        </is>
      </c>
      <c r="L7" s="5">
        <f> S5=="Y" ? L4.city : P6.city</f>
        <v/>
      </c>
      <c r="M7" s="5" t="inlineStr"/>
      <c r="N7" s="5" t="inlineStr"/>
      <c r="O7" s="5" t="inlineStr"/>
    </row>
    <row r="8">
      <c r="A8" s="5" t="n">
        <v>7</v>
      </c>
      <c r="B8" s="5" t="n">
        <v>1</v>
      </c>
      <c r="C8" s="5" t="inlineStr">
        <is>
          <t>Caption</t>
        </is>
      </c>
      <c r="D8" s="5" t="inlineStr">
        <is>
          <t>STATE</t>
        </is>
      </c>
      <c r="E8" s="5" t="inlineStr">
        <is>
          <t>FL-351[0].Page1[0].P1Caption[0].AttyPartyInfo[0].State[0]</t>
        </is>
      </c>
      <c r="F8" s="5" t="inlineStr">
        <is>
          <t>text</t>
        </is>
      </c>
      <c r="G8" s="5" t="inlineStr"/>
      <c r="H8" s="5" t="n">
        <v>2</v>
      </c>
      <c r="I8" s="5" t="inlineStr">
        <is>
          <t>263, 94, 293, 103</t>
        </is>
      </c>
      <c r="J8" s="5" t="inlineStr">
        <is>
          <t>question</t>
        </is>
      </c>
      <c r="K8" s="5" t="inlineStr">
        <is>
          <t>S5,L4,L5,P6,P7,P8</t>
        </is>
      </c>
      <c r="L8" s="5">
        <f> S5=="Y" ? L4.state : P6.state</f>
        <v/>
      </c>
      <c r="M8" s="5" t="inlineStr"/>
      <c r="N8" s="5" t="inlineStr">
        <is>
          <t>State field MaxLen 2.</t>
        </is>
      </c>
      <c r="O8" s="5" t="inlineStr"/>
    </row>
    <row r="9">
      <c r="A9" s="5" t="n">
        <v>8</v>
      </c>
      <c r="B9" s="5" t="n">
        <v>1</v>
      </c>
      <c r="C9" s="5" t="inlineStr">
        <is>
          <t>Caption</t>
        </is>
      </c>
      <c r="D9" s="5" t="inlineStr">
        <is>
          <t>ZIP CODE</t>
        </is>
      </c>
      <c r="E9" s="5" t="inlineStr">
        <is>
          <t>FL-351[0].Page1[0].P1Caption[0].AttyPartyInfo[0].Zip[0]</t>
        </is>
      </c>
      <c r="F9" s="5" t="inlineStr">
        <is>
          <t>text</t>
        </is>
      </c>
      <c r="G9" s="5" t="inlineStr"/>
      <c r="H9" s="5" t="inlineStr"/>
      <c r="I9" s="5" t="inlineStr">
        <is>
          <t>326, 94, 394, 103</t>
        </is>
      </c>
      <c r="J9" s="5" t="inlineStr">
        <is>
          <t>question</t>
        </is>
      </c>
      <c r="K9" s="5" t="inlineStr">
        <is>
          <t>S5,L4,L5,P6,P7,P8</t>
        </is>
      </c>
      <c r="L9" s="5">
        <f> S5=="Y" ? L4.zip : P6.zip</f>
        <v/>
      </c>
      <c r="M9" s="5" t="inlineStr"/>
      <c r="N9" s="5" t="inlineStr"/>
      <c r="O9" s="5" t="inlineStr"/>
    </row>
    <row r="10">
      <c r="A10" s="5" t="n">
        <v>9</v>
      </c>
      <c r="B10" s="5" t="n">
        <v>1</v>
      </c>
      <c r="C10" s="5" t="inlineStr">
        <is>
          <t>Caption</t>
        </is>
      </c>
      <c r="D10" s="5" t="inlineStr">
        <is>
          <t>TELEPHONE NO.</t>
        </is>
      </c>
      <c r="E10" s="5" t="inlineStr">
        <is>
          <t>FL-351[0].Page1[0].P1Caption[0].AttyPartyInfo[0].Phone[0]</t>
        </is>
      </c>
      <c r="F10" s="5" t="inlineStr">
        <is>
          <t>text</t>
        </is>
      </c>
      <c r="G10" s="5" t="inlineStr"/>
      <c r="H10" s="5" t="inlineStr"/>
      <c r="I10" s="5" t="inlineStr">
        <is>
          <t>89, 106, 216, 115</t>
        </is>
      </c>
      <c r="J10" s="5" t="inlineStr">
        <is>
          <t>question</t>
        </is>
      </c>
      <c r="K10" s="5" t="inlineStr">
        <is>
          <t>S5,L4,L5,P6,P7,P8</t>
        </is>
      </c>
      <c r="L10" s="5">
        <f> S5=="Y" ? L5.phone : P7</f>
        <v/>
      </c>
      <c r="M10" s="5" t="inlineStr"/>
      <c r="N10" s="5" t="inlineStr"/>
      <c r="O10" s="5" t="inlineStr"/>
    </row>
    <row r="11">
      <c r="A11" s="5" t="n">
        <v>10</v>
      </c>
      <c r="B11" s="5" t="n">
        <v>1</v>
      </c>
      <c r="C11" s="5" t="inlineStr">
        <is>
          <t>Caption</t>
        </is>
      </c>
      <c r="D11" s="5" t="inlineStr">
        <is>
          <t>Fax number</t>
        </is>
      </c>
      <c r="E11" s="5" t="inlineStr">
        <is>
          <t>FL-351[0].Page1[0].P1Caption[0].AttyPartyInfo[0].Fax[0]</t>
        </is>
      </c>
      <c r="F11" s="5" t="inlineStr">
        <is>
          <t>text</t>
        </is>
      </c>
      <c r="G11" s="5" t="inlineStr"/>
      <c r="H11" s="5" t="inlineStr"/>
      <c r="I11" s="5" t="inlineStr">
        <is>
          <t>265, 106, 394, 115</t>
        </is>
      </c>
      <c r="J11" s="5" t="inlineStr">
        <is>
          <t>question</t>
        </is>
      </c>
      <c r="K11" s="5" t="inlineStr">
        <is>
          <t>S5,L4,L5,P6,P7,P8</t>
        </is>
      </c>
      <c r="L11" s="5">
        <f> S5=="Y" ? L5.fax : P8.fax</f>
        <v/>
      </c>
      <c r="M11" s="5" t="inlineStr"/>
      <c r="N11" s="5" t="inlineStr"/>
      <c r="O11" s="5" t="inlineStr"/>
    </row>
    <row r="12">
      <c r="A12" s="5" t="n">
        <v>11</v>
      </c>
      <c r="B12" s="5" t="n">
        <v>1</v>
      </c>
      <c r="C12" s="5" t="inlineStr">
        <is>
          <t>Caption</t>
        </is>
      </c>
      <c r="D12" s="5" t="inlineStr">
        <is>
          <t>E-MAIL ADDRESS</t>
        </is>
      </c>
      <c r="E12" s="5" t="inlineStr">
        <is>
          <t>FL-351[0].Page1[0].P1Caption[0].AttyPartyInfo[0].Email[0]</t>
        </is>
      </c>
      <c r="F12" s="5" t="inlineStr">
        <is>
          <t>text</t>
        </is>
      </c>
      <c r="G12" s="5" t="inlineStr"/>
      <c r="H12" s="5" t="inlineStr"/>
      <c r="I12" s="5" t="inlineStr">
        <is>
          <t>91, 118, 394, 127</t>
        </is>
      </c>
      <c r="J12" s="5" t="inlineStr">
        <is>
          <t>question</t>
        </is>
      </c>
      <c r="K12" s="5" t="inlineStr">
        <is>
          <t>S5,L4,L5,P6,P7,P8</t>
        </is>
      </c>
      <c r="L12" s="5">
        <f> S5=="Y" ? L5.email : P8.email</f>
        <v/>
      </c>
      <c r="M12" s="5" t="inlineStr"/>
      <c r="N12" s="5" t="inlineStr"/>
      <c r="O12" s="5" t="inlineStr"/>
    </row>
    <row r="13">
      <c r="A13" s="5" t="n">
        <v>12</v>
      </c>
      <c r="B13" s="5" t="n">
        <v>1</v>
      </c>
      <c r="C13" s="5" t="inlineStr">
        <is>
          <t>Caption</t>
        </is>
      </c>
      <c r="D13" s="5" t="inlineStr">
        <is>
          <t>ATTORNEY FOR (name)</t>
        </is>
      </c>
      <c r="E13" s="5" t="inlineStr">
        <is>
          <t>FL-351[0].Page1[0].P1Caption[0].AttyPartyInfo[0].AttyFor[0]</t>
        </is>
      </c>
      <c r="F13" s="5" t="inlineStr">
        <is>
          <t>text</t>
        </is>
      </c>
      <c r="G13" s="5" t="inlineStr"/>
      <c r="H13" s="5" t="inlineStr"/>
      <c r="I13" s="5" t="inlineStr">
        <is>
          <t>107, 129, 394, 138</t>
        </is>
      </c>
      <c r="J13" s="5" t="inlineStr">
        <is>
          <t>question</t>
        </is>
      </c>
      <c r="K13" s="5" t="inlineStr">
        <is>
          <t>P1</t>
        </is>
      </c>
      <c r="L13" s="5">
        <f> S5=="Y" ? P1 : "Self-represented"</f>
        <v/>
      </c>
      <c r="M13" s="5" t="inlineStr"/>
      <c r="N13" s="5" t="inlineStr"/>
      <c r="O13" s="5" t="inlineStr"/>
    </row>
    <row r="14">
      <c r="A14" s="6" t="n">
        <v>13</v>
      </c>
      <c r="B14" s="6" t="n">
        <v>1</v>
      </c>
      <c r="C14" s="6" t="inlineStr">
        <is>
          <t>Caption</t>
        </is>
      </c>
      <c r="D14" s="6" t="inlineStr">
        <is>
          <t>SUPERIOR COURT OF CALIFORNIA, COUNTY OF</t>
        </is>
      </c>
      <c r="E14" s="6" t="inlineStr">
        <is>
          <t>FL-351[0].Page1[0].P1Caption[0].CourtInfo[0].CrtCounty[0]</t>
        </is>
      </c>
      <c r="F14" s="6" t="inlineStr">
        <is>
          <t>text</t>
        </is>
      </c>
      <c r="G14" s="6" t="inlineStr"/>
      <c r="H14" s="6" t="inlineStr"/>
      <c r="I14" s="6" t="inlineStr">
        <is>
          <t>227, 144, 394, 153</t>
        </is>
      </c>
      <c r="J14" s="6" t="inlineStr">
        <is>
          <t>derived</t>
        </is>
      </c>
      <c r="K14" s="6" t="inlineStr">
        <is>
          <t>S1</t>
        </is>
      </c>
      <c r="L14" s="6">
        <f> S1.countyName</f>
        <v/>
      </c>
      <c r="M14" s="6" t="inlineStr"/>
      <c r="N14" s="6" t="inlineStr"/>
      <c r="O14" s="6" t="inlineStr"/>
    </row>
    <row r="15">
      <c r="A15" s="6" t="n">
        <v>14</v>
      </c>
      <c r="B15" s="6" t="n">
        <v>1</v>
      </c>
      <c r="C15" s="6" t="inlineStr">
        <is>
          <t>Caption</t>
        </is>
      </c>
      <c r="D15" s="6" t="inlineStr">
        <is>
          <t>STREET ADDRESS</t>
        </is>
      </c>
      <c r="E15" s="6" t="inlineStr">
        <is>
          <t>FL-351[0].Page1[0].P1Caption[0].CourtInfo[0].CrtStreet[0]</t>
        </is>
      </c>
      <c r="F15" s="6" t="inlineStr">
        <is>
          <t>text</t>
        </is>
      </c>
      <c r="G15" s="6" t="inlineStr"/>
      <c r="H15" s="6" t="inlineStr"/>
      <c r="I15" s="6" t="inlineStr">
        <is>
          <t>97, 155, 394, 164</t>
        </is>
      </c>
      <c r="J15" s="6" t="inlineStr">
        <is>
          <t>derived</t>
        </is>
      </c>
      <c r="K15" s="6" t="inlineStr">
        <is>
          <t>S1,S2</t>
        </is>
      </c>
      <c r="L15" s="6">
        <f> courthouse(S1,S2).streetAddress</f>
        <v/>
      </c>
      <c r="M15" s="6" t="inlineStr"/>
      <c r="N15" s="6" t="inlineStr"/>
      <c r="O15" s="6" t="inlineStr"/>
    </row>
    <row r="16">
      <c r="A16" s="6" t="n">
        <v>15</v>
      </c>
      <c r="B16" s="6" t="n">
        <v>1</v>
      </c>
      <c r="C16" s="6" t="inlineStr">
        <is>
          <t>Caption</t>
        </is>
      </c>
      <c r="D16" s="6" t="inlineStr">
        <is>
          <t>MAILING ADDRESS</t>
        </is>
      </c>
      <c r="E16" s="6" t="inlineStr">
        <is>
          <t>FL-351[0].Page1[0].P1Caption[0].CourtInfo[0].CrtMailingAdd[0]</t>
        </is>
      </c>
      <c r="F16" s="6" t="inlineStr">
        <is>
          <t>text</t>
        </is>
      </c>
      <c r="G16" s="6" t="inlineStr"/>
      <c r="H16" s="6" t="inlineStr"/>
      <c r="I16" s="6" t="inlineStr">
        <is>
          <t>97, 166, 394, 175</t>
        </is>
      </c>
      <c r="J16" s="6" t="inlineStr">
        <is>
          <t>derived</t>
        </is>
      </c>
      <c r="K16" s="6" t="inlineStr">
        <is>
          <t>S1,S2</t>
        </is>
      </c>
      <c r="L16" s="6">
        <f> courthouse(S1,S2).mailingAddress</f>
        <v/>
      </c>
      <c r="M16" s="6" t="inlineStr"/>
      <c r="N16" s="6" t="inlineStr"/>
      <c r="O16" s="6" t="inlineStr"/>
    </row>
    <row r="17">
      <c r="A17" s="6" t="n">
        <v>16</v>
      </c>
      <c r="B17" s="6" t="n">
        <v>1</v>
      </c>
      <c r="C17" s="6" t="inlineStr">
        <is>
          <t>Caption</t>
        </is>
      </c>
      <c r="D17" s="6" t="inlineStr">
        <is>
          <t>CITY AND ZIP CODE</t>
        </is>
      </c>
      <c r="E17" s="6" t="inlineStr">
        <is>
          <t>FL-351[0].Page1[0].P1Caption[0].CourtInfo[0].CrtCityZip[0]</t>
        </is>
      </c>
      <c r="F17" s="6" t="inlineStr">
        <is>
          <t>text</t>
        </is>
      </c>
      <c r="G17" s="6" t="inlineStr"/>
      <c r="H17" s="6" t="inlineStr"/>
      <c r="I17" s="6" t="inlineStr">
        <is>
          <t>97, 177, 394, 186</t>
        </is>
      </c>
      <c r="J17" s="6" t="inlineStr">
        <is>
          <t>derived</t>
        </is>
      </c>
      <c r="K17" s="6" t="inlineStr">
        <is>
          <t>S1,S2</t>
        </is>
      </c>
      <c r="L17" s="6">
        <f> courthouse(S1,S2).cityZip</f>
        <v/>
      </c>
      <c r="M17" s="6" t="inlineStr"/>
      <c r="N17" s="6" t="inlineStr"/>
      <c r="O17" s="6" t="inlineStr"/>
    </row>
    <row r="18">
      <c r="A18" s="6" t="n">
        <v>17</v>
      </c>
      <c r="B18" s="6" t="n">
        <v>1</v>
      </c>
      <c r="C18" s="6" t="inlineStr">
        <is>
          <t>Caption</t>
        </is>
      </c>
      <c r="D18" s="6" t="inlineStr">
        <is>
          <t>BRANCH NAME</t>
        </is>
      </c>
      <c r="E18" s="6" t="inlineStr">
        <is>
          <t>FL-351[0].Page1[0].P1Caption[0].CourtInfo[0].CrtBranch[0]</t>
        </is>
      </c>
      <c r="F18" s="6" t="inlineStr">
        <is>
          <t>text</t>
        </is>
      </c>
      <c r="G18" s="6" t="inlineStr"/>
      <c r="H18" s="6" t="inlineStr"/>
      <c r="I18" s="6" t="inlineStr">
        <is>
          <t>97, 189, 394, 198</t>
        </is>
      </c>
      <c r="J18" s="6" t="inlineStr">
        <is>
          <t>derived</t>
        </is>
      </c>
      <c r="K18" s="6" t="inlineStr">
        <is>
          <t>S1,S2</t>
        </is>
      </c>
      <c r="L18" s="6">
        <f> courthouse(S1,S2).branchName</f>
        <v/>
      </c>
      <c r="M18" s="6" t="inlineStr"/>
      <c r="N18" s="6" t="inlineStr"/>
      <c r="O18" s="6" t="inlineStr"/>
    </row>
    <row r="19">
      <c r="A19" s="5" t="n">
        <v>18</v>
      </c>
      <c r="B19" s="5" t="n">
        <v>1</v>
      </c>
      <c r="C19" s="5" t="inlineStr">
        <is>
          <t>Caption</t>
        </is>
      </c>
      <c r="D19" s="5" t="inlineStr">
        <is>
          <t>PETITIONER</t>
        </is>
      </c>
      <c r="E19" s="5" t="inlineStr">
        <is>
          <t>FL-351[0].Page1[0].P1Caption[0].TitlePartyName[0].Petitioner_ft[0]</t>
        </is>
      </c>
      <c r="F19" s="5" t="inlineStr">
        <is>
          <t>text</t>
        </is>
      </c>
      <c r="G19" s="5" t="inlineStr"/>
      <c r="H19" s="5" t="inlineStr"/>
      <c r="I19" s="5" t="inlineStr">
        <is>
          <t>132, 204, 391, 214</t>
        </is>
      </c>
      <c r="J19" s="5" t="inlineStr">
        <is>
          <t>question</t>
        </is>
      </c>
      <c r="K19" s="5" t="inlineStr">
        <is>
          <t>P1</t>
        </is>
      </c>
      <c r="L19" s="5">
        <f> P1</f>
        <v/>
      </c>
      <c r="M19" s="5" t="inlineStr"/>
      <c r="N19" s="5" t="inlineStr"/>
      <c r="O19" s="5" t="inlineStr"/>
    </row>
    <row r="20">
      <c r="A20" s="5" t="n">
        <v>19</v>
      </c>
      <c r="B20" s="5" t="n">
        <v>1</v>
      </c>
      <c r="C20" s="5" t="inlineStr">
        <is>
          <t>Caption</t>
        </is>
      </c>
      <c r="D20" s="5" t="inlineStr">
        <is>
          <t>RESPONDENT</t>
        </is>
      </c>
      <c r="E20" s="5" t="inlineStr">
        <is>
          <t>FL-351[0].Page1[0].P1Caption[0].TitlePartyName[0].Respondent_ft[0]</t>
        </is>
      </c>
      <c r="F20" s="5" t="inlineStr">
        <is>
          <t>text</t>
        </is>
      </c>
      <c r="G20" s="5" t="inlineStr"/>
      <c r="H20" s="5" t="inlineStr"/>
      <c r="I20" s="5" t="inlineStr">
        <is>
          <t>132, 217, 391, 227</t>
        </is>
      </c>
      <c r="J20" s="5" t="inlineStr">
        <is>
          <t>question</t>
        </is>
      </c>
      <c r="K20" s="5" t="inlineStr">
        <is>
          <t>R1</t>
        </is>
      </c>
      <c r="L20" s="5">
        <f> R1</f>
        <v/>
      </c>
      <c r="M20" s="5" t="inlineStr"/>
      <c r="N20" s="5" t="inlineStr"/>
      <c r="O20" s="5" t="inlineStr"/>
    </row>
    <row r="21">
      <c r="A21" s="5" t="n">
        <v>20</v>
      </c>
      <c r="B21" s="5" t="n">
        <v>1</v>
      </c>
      <c r="C21" s="5" t="inlineStr">
        <is>
          <t>Caption</t>
        </is>
      </c>
      <c r="D21" s="5" t="inlineStr">
        <is>
          <t>OTHER PARENT/PARTY</t>
        </is>
      </c>
      <c r="E21" s="5" t="inlineStr">
        <is>
          <t>FL-351[0].Page1[0].P1Caption[0].TitlePartyName[0].OtherParentParty_ft[0]</t>
        </is>
      </c>
      <c r="F21" s="5" t="inlineStr">
        <is>
          <t>text</t>
        </is>
      </c>
      <c r="G21" s="5" t="inlineStr"/>
      <c r="H21" s="5" t="inlineStr"/>
      <c r="I21" s="5" t="inlineStr">
        <is>
          <t>132, 231, 391, 241</t>
        </is>
      </c>
      <c r="J21" s="5" t="inlineStr">
        <is>
          <t>question</t>
        </is>
      </c>
      <c r="K21" s="5" t="inlineStr">
        <is>
          <t>PR13</t>
        </is>
      </c>
      <c r="L21" s="5">
        <f> PR13.name</f>
        <v/>
      </c>
      <c r="M21" s="5" t="inlineStr">
        <is>
          <t>PR13 given</t>
        </is>
      </c>
      <c r="N21" s="5" t="inlineStr"/>
      <c r="O21" s="5" t="inlineStr"/>
    </row>
    <row r="22">
      <c r="A22" s="8" t="n">
        <v>21</v>
      </c>
      <c r="B22" s="8" t="n">
        <v>1</v>
      </c>
      <c r="C22" s="8" t="inlineStr">
        <is>
          <t>1 (court)</t>
        </is>
      </c>
      <c r="D22" s="8" t="inlineStr">
        <is>
          <t>Judicial officer (name):</t>
        </is>
      </c>
      <c r="E22" s="8" t="inlineStr">
        <is>
          <t>FL-351[0].Page1[0].P1Caption[0].List1[0].Li1[0].JudicialOfficerName_ft[0]</t>
        </is>
      </c>
      <c r="F22" s="8" t="inlineStr">
        <is>
          <t>text</t>
        </is>
      </c>
      <c r="G22" s="8" t="inlineStr"/>
      <c r="H22" s="8" t="inlineStr"/>
      <c r="I22" s="8" t="inlineStr">
        <is>
          <t>147, 319, 350, 328</t>
        </is>
      </c>
      <c r="J22" s="8" t="inlineStr">
        <is>
          <t>court/clerk</t>
        </is>
      </c>
      <c r="K22" s="8" t="inlineStr"/>
      <c r="L22" s="8" t="inlineStr"/>
      <c r="M22" s="8" t="inlineStr"/>
      <c r="N22" s="8" t="inlineStr">
        <is>
          <t>Judge completes (mandatory findings).</t>
        </is>
      </c>
      <c r="O22" s="8" t="inlineStr"/>
    </row>
    <row r="23">
      <c r="A23" s="8" t="n">
        <v>22</v>
      </c>
      <c r="B23" s="8" t="n">
        <v>1</v>
      </c>
      <c r="C23" s="8" t="inlineStr">
        <is>
          <t>1 (court)</t>
        </is>
      </c>
      <c r="D23" s="8" t="inlineStr">
        <is>
          <t>Date:</t>
        </is>
      </c>
      <c r="E23" s="8" t="inlineStr">
        <is>
          <t>FL-351[0].Page1[0].P1Caption[0].List1[0].Li1[0].Proceeding_Date_dt[0]</t>
        </is>
      </c>
      <c r="F23" s="8" t="inlineStr">
        <is>
          <t>text</t>
        </is>
      </c>
      <c r="G23" s="8" t="inlineStr"/>
      <c r="H23" s="8" t="inlineStr"/>
      <c r="I23" s="8" t="inlineStr">
        <is>
          <t>100, 305, 199, 314</t>
        </is>
      </c>
      <c r="J23" s="8" t="inlineStr">
        <is>
          <t>court/clerk</t>
        </is>
      </c>
      <c r="K23" s="8" t="inlineStr"/>
      <c r="L23" s="8" t="inlineStr"/>
      <c r="M23" s="8" t="inlineStr"/>
      <c r="N23" s="8" t="inlineStr">
        <is>
          <t>Judge completes (mandatory findings).</t>
        </is>
      </c>
      <c r="O23" s="8" t="inlineStr"/>
    </row>
    <row r="24">
      <c r="A24" s="8" t="n">
        <v>23</v>
      </c>
      <c r="B24" s="8" t="n">
        <v>1</v>
      </c>
      <c r="C24" s="8" t="inlineStr">
        <is>
          <t>1 (court)</t>
        </is>
      </c>
      <c r="D24" s="8" t="inlineStr">
        <is>
          <t>Department</t>
        </is>
      </c>
      <c r="E24" s="8" t="inlineStr">
        <is>
          <t>FL-351[0].Page1[0].P1Caption[0].List1[0].Li1[0].Department_ft[0]</t>
        </is>
      </c>
      <c r="F24" s="8" t="inlineStr">
        <is>
          <t>text</t>
        </is>
      </c>
      <c r="G24" s="8" t="inlineStr"/>
      <c r="H24" s="8" t="inlineStr"/>
      <c r="I24" s="8" t="inlineStr">
        <is>
          <t>327, 304, 436, 314</t>
        </is>
      </c>
      <c r="J24" s="8" t="inlineStr">
        <is>
          <t>court/clerk</t>
        </is>
      </c>
      <c r="K24" s="8" t="inlineStr"/>
      <c r="L24" s="8" t="inlineStr"/>
      <c r="M24" s="8" t="inlineStr"/>
      <c r="N24" s="8" t="inlineStr">
        <is>
          <t>Judge completes (mandatory findings).</t>
        </is>
      </c>
      <c r="O24" s="8" t="inlineStr"/>
    </row>
    <row r="25">
      <c r="A25" s="8" t="n">
        <v>24</v>
      </c>
      <c r="B25" s="8" t="n">
        <v>1</v>
      </c>
      <c r="C25" s="8" t="inlineStr">
        <is>
          <t>1 (court)</t>
        </is>
      </c>
      <c r="D25" s="8" t="inlineStr">
        <is>
          <t>Room:</t>
        </is>
      </c>
      <c r="E25" s="8" t="inlineStr">
        <is>
          <t>FL-351[0].Page1[0].P1Caption[0].List1[0].Li1[0].Room_ft[0]</t>
        </is>
      </c>
      <c r="F25" s="8" t="inlineStr">
        <is>
          <t>text</t>
        </is>
      </c>
      <c r="G25" s="8" t="inlineStr"/>
      <c r="H25" s="8" t="inlineStr"/>
      <c r="I25" s="8" t="inlineStr">
        <is>
          <t>489, 304, 570, 314</t>
        </is>
      </c>
      <c r="J25" s="8" t="inlineStr">
        <is>
          <t>court/clerk</t>
        </is>
      </c>
      <c r="K25" s="8" t="inlineStr"/>
      <c r="L25" s="8" t="inlineStr"/>
      <c r="M25" s="8" t="inlineStr"/>
      <c r="N25" s="8" t="inlineStr">
        <is>
          <t>Judge completes (mandatory findings).</t>
        </is>
      </c>
      <c r="O25" s="8" t="inlineStr"/>
    </row>
    <row r="26">
      <c r="A26" s="8" t="n">
        <v>25</v>
      </c>
      <c r="B26" s="8" t="n">
        <v>1</v>
      </c>
      <c r="C26" s="8" t="inlineStr">
        <is>
          <t>1 (court)</t>
        </is>
      </c>
      <c r="D26" s="8" t="inlineStr">
        <is>
          <t>Temporary judge</t>
        </is>
      </c>
      <c r="E26" s="8" t="inlineStr">
        <is>
          <t>FL-351[0].Page1[0].P1Caption[0].List1[0].Li1[0].Temporary_judge_cb[0]</t>
        </is>
      </c>
      <c r="F26" s="8" t="inlineStr">
        <is>
          <t>checkbox</t>
        </is>
      </c>
      <c r="G26" s="8" t="inlineStr">
        <is>
          <t>1</t>
        </is>
      </c>
      <c r="H26" s="8" t="inlineStr"/>
      <c r="I26" s="8" t="inlineStr">
        <is>
          <t>367, 319, 376, 328</t>
        </is>
      </c>
      <c r="J26" s="8" t="inlineStr">
        <is>
          <t>court/clerk</t>
        </is>
      </c>
      <c r="K26" s="8" t="inlineStr"/>
      <c r="L26" s="8" t="inlineStr"/>
      <c r="M26" s="8" t="inlineStr"/>
      <c r="N26" s="8" t="inlineStr">
        <is>
          <t>Judge completes (mandatory findings).</t>
        </is>
      </c>
      <c r="O26" s="8" t="inlineStr"/>
    </row>
    <row r="27">
      <c r="A27" s="8" t="n">
        <v>26</v>
      </c>
      <c r="B27" s="8" t="n">
        <v>1</v>
      </c>
      <c r="C27" s="8" t="inlineStr">
        <is>
          <t>1 (court)</t>
        </is>
      </c>
      <c r="D27" s="8" t="inlineStr">
        <is>
          <t>at (time):</t>
        </is>
      </c>
      <c r="E27" s="8" t="inlineStr">
        <is>
          <t>FL-351[0].Page1[0].P1Caption[0].List1[0].Li1[0].Proceeding_Date_dt[1]</t>
        </is>
      </c>
      <c r="F27" s="8" t="inlineStr">
        <is>
          <t>text</t>
        </is>
      </c>
      <c r="G27" s="8" t="inlineStr"/>
      <c r="H27" s="8" t="inlineStr"/>
      <c r="I27" s="8" t="inlineStr">
        <is>
          <t>245, 305, 290, 314</t>
        </is>
      </c>
      <c r="J27" s="8" t="inlineStr">
        <is>
          <t>court/clerk</t>
        </is>
      </c>
      <c r="K27" s="8" t="inlineStr"/>
      <c r="L27" s="8" t="inlineStr"/>
      <c r="M27" s="8" t="inlineStr"/>
      <c r="N27" s="8" t="inlineStr">
        <is>
          <t>Judge completes (mandatory findings).</t>
        </is>
      </c>
      <c r="O27" s="8" t="inlineStr"/>
    </row>
    <row r="28">
      <c r="A28" s="8" t="n">
        <v>27</v>
      </c>
      <c r="B28" s="8" t="n">
        <v>1</v>
      </c>
      <c r="C28" s="8" t="inlineStr">
        <is>
          <t>1 (court)</t>
        </is>
      </c>
      <c r="D28" s="8" t="inlineStr">
        <is>
          <t>Date:</t>
        </is>
      </c>
      <c r="E28" s="8" t="inlineStr">
        <is>
          <t>FL-351[0].Page1[0].P1Caption[0].List1[0].Li1[0].Proceeding_Date_dt[2]</t>
        </is>
      </c>
      <c r="F28" s="8" t="inlineStr">
        <is>
          <t>text</t>
        </is>
      </c>
      <c r="G28" s="8" t="inlineStr"/>
      <c r="H28" s="8" t="inlineStr"/>
      <c r="I28" s="8" t="inlineStr">
        <is>
          <t>197, 333, 293, 342</t>
        </is>
      </c>
      <c r="J28" s="8" t="inlineStr">
        <is>
          <t>court/clerk</t>
        </is>
      </c>
      <c r="K28" s="8" t="inlineStr"/>
      <c r="L28" s="8" t="inlineStr"/>
      <c r="M28" s="8" t="inlineStr"/>
      <c r="N28" s="8" t="inlineStr">
        <is>
          <t>Judge completes (mandatory findings).</t>
        </is>
      </c>
      <c r="O28" s="8" t="inlineStr"/>
    </row>
    <row r="29">
      <c r="A29" s="8" t="n">
        <v>28</v>
      </c>
      <c r="B29" s="8" t="n">
        <v>1</v>
      </c>
      <c r="C29" s="8" t="inlineStr">
        <is>
          <t>1 (court)</t>
        </is>
      </c>
      <c r="D29" s="8" t="inlineStr">
        <is>
          <t>by (name):</t>
        </is>
      </c>
      <c r="E29" s="8" t="inlineStr">
        <is>
          <t>FL-351[0].Page1[0].P1Caption[0].List1[0].Li1[0].JudicialOfficerName_ft[1]</t>
        </is>
      </c>
      <c r="F29" s="8" t="inlineStr">
        <is>
          <t>text</t>
        </is>
      </c>
      <c r="G29" s="8" t="inlineStr"/>
      <c r="H29" s="8" t="inlineStr"/>
      <c r="I29" s="8" t="inlineStr">
        <is>
          <t>352, 333, 570, 342</t>
        </is>
      </c>
      <c r="J29" s="8" t="inlineStr">
        <is>
          <t>court/clerk</t>
        </is>
      </c>
      <c r="K29" s="8" t="inlineStr"/>
      <c r="L29" s="8" t="inlineStr"/>
      <c r="M29" s="8" t="inlineStr"/>
      <c r="N29" s="8" t="inlineStr">
        <is>
          <t>Judge completes (mandatory findings).</t>
        </is>
      </c>
      <c r="O29" s="8" t="inlineStr"/>
    </row>
    <row r="30">
      <c r="A30" s="8" t="n">
        <v>29</v>
      </c>
      <c r="B30" s="8" t="n">
        <v>1</v>
      </c>
      <c r="C30" s="8" t="inlineStr">
        <is>
          <t>2 (court)</t>
        </is>
      </c>
      <c r="D30" s="8" t="inlineStr">
        <is>
          <t>Present at the proceeding, if applicable:</t>
        </is>
      </c>
      <c r="E30" s="8" t="inlineStr">
        <is>
          <t>FL-351[0].Page1[0].P1Caption[0].List2[0].PresentAtProceeding_cb[0]</t>
        </is>
      </c>
      <c r="F30" s="8" t="inlineStr">
        <is>
          <t>checkbox</t>
        </is>
      </c>
      <c r="G30" s="8" t="inlineStr">
        <is>
          <t>1</t>
        </is>
      </c>
      <c r="H30" s="8" t="inlineStr"/>
      <c r="I30" s="8" t="inlineStr">
        <is>
          <t>56, 356, 65, 365</t>
        </is>
      </c>
      <c r="J30" s="8" t="inlineStr">
        <is>
          <t>court/clerk</t>
        </is>
      </c>
      <c r="K30" s="8" t="inlineStr"/>
      <c r="L30" s="8" t="inlineStr"/>
      <c r="M30" s="8" t="inlineStr"/>
      <c r="N30" s="8" t="inlineStr">
        <is>
          <t>Judge completes (mandatory findings).</t>
        </is>
      </c>
      <c r="O30" s="8" t="inlineStr"/>
    </row>
    <row r="31">
      <c r="A31" s="8" t="n">
        <v>30</v>
      </c>
      <c r="B31" s="8" t="n">
        <v>1</v>
      </c>
      <c r="C31" s="8" t="inlineStr">
        <is>
          <t>2 (court)</t>
        </is>
      </c>
      <c r="D31" s="8" t="inlineStr">
        <is>
          <t>Petitioner</t>
        </is>
      </c>
      <c r="E31" s="8" t="inlineStr">
        <is>
          <t>FL-351[0].Page1[0].P1Caption[0].List2[0].Li1[0].Petitioner1_cb[0]</t>
        </is>
      </c>
      <c r="F31" s="8" t="inlineStr">
        <is>
          <t>checkbox</t>
        </is>
      </c>
      <c r="G31" s="8" t="inlineStr">
        <is>
          <t>1</t>
        </is>
      </c>
      <c r="H31" s="8" t="inlineStr"/>
      <c r="I31" s="8" t="inlineStr">
        <is>
          <t>69, 370, 78, 379</t>
        </is>
      </c>
      <c r="J31" s="8" t="inlineStr">
        <is>
          <t>court/clerk</t>
        </is>
      </c>
      <c r="K31" s="8" t="inlineStr"/>
      <c r="L31" s="8" t="inlineStr"/>
      <c r="M31" s="8" t="inlineStr"/>
      <c r="N31" s="8" t="inlineStr">
        <is>
          <t>Judge completes (mandatory findings).</t>
        </is>
      </c>
      <c r="O31" s="8" t="inlineStr"/>
    </row>
    <row r="32">
      <c r="A32" s="8" t="n">
        <v>31</v>
      </c>
      <c r="B32" s="8" t="n">
        <v>1</v>
      </c>
      <c r="C32" s="8" t="inlineStr">
        <is>
          <t>2 (court)</t>
        </is>
      </c>
      <c r="D32" s="8" t="inlineStr">
        <is>
          <t>(name):</t>
        </is>
      </c>
      <c r="E32" s="8" t="inlineStr">
        <is>
          <t>FL-351[0].Page1[0].P1Caption[0].List2[0].Li1[0].Petitioner1_name_ft[0]</t>
        </is>
      </c>
      <c r="F32" s="8" t="inlineStr">
        <is>
          <t>text</t>
        </is>
      </c>
      <c r="G32" s="8" t="inlineStr"/>
      <c r="H32" s="8" t="inlineStr"/>
      <c r="I32" s="8" t="inlineStr">
        <is>
          <t>161, 370, 317, 380</t>
        </is>
      </c>
      <c r="J32" s="8" t="inlineStr">
        <is>
          <t>court/clerk</t>
        </is>
      </c>
      <c r="K32" s="8" t="inlineStr"/>
      <c r="L32" s="8" t="inlineStr"/>
      <c r="M32" s="8" t="inlineStr"/>
      <c r="N32" s="8" t="inlineStr">
        <is>
          <t>Judge completes (mandatory findings).</t>
        </is>
      </c>
      <c r="O32" s="8" t="inlineStr"/>
    </row>
    <row r="33">
      <c r="A33" s="8" t="n">
        <v>32</v>
      </c>
      <c r="B33" s="8" t="n">
        <v>1</v>
      </c>
      <c r="C33" s="8" t="inlineStr">
        <is>
          <t>2 (court)</t>
        </is>
      </c>
      <c r="D33" s="8" t="inlineStr">
        <is>
          <t>Attorney</t>
        </is>
      </c>
      <c r="E33" s="8" t="inlineStr">
        <is>
          <t>FL-351[0].Page1[0].P1Caption[0].List2[0].Li1[0].Pet1Attorney_cb[0]</t>
        </is>
      </c>
      <c r="F33" s="8" t="inlineStr">
        <is>
          <t>checkbox</t>
        </is>
      </c>
      <c r="G33" s="8" t="inlineStr">
        <is>
          <t>1</t>
        </is>
      </c>
      <c r="H33" s="8" t="inlineStr"/>
      <c r="I33" s="8" t="inlineStr">
        <is>
          <t>330, 370, 339, 379</t>
        </is>
      </c>
      <c r="J33" s="8" t="inlineStr">
        <is>
          <t>court/clerk</t>
        </is>
      </c>
      <c r="K33" s="8" t="inlineStr"/>
      <c r="L33" s="8" t="inlineStr"/>
      <c r="M33" s="8" t="inlineStr"/>
      <c r="N33" s="8" t="inlineStr">
        <is>
          <t>Judge completes (mandatory findings).</t>
        </is>
      </c>
      <c r="O33" s="8" t="inlineStr"/>
    </row>
    <row r="34">
      <c r="A34" s="8" t="n">
        <v>33</v>
      </c>
      <c r="B34" s="8" t="n">
        <v>1</v>
      </c>
      <c r="C34" s="8" t="inlineStr">
        <is>
          <t>2 (court)</t>
        </is>
      </c>
      <c r="D34" s="8" t="inlineStr">
        <is>
          <t>name</t>
        </is>
      </c>
      <c r="E34" s="8" t="inlineStr">
        <is>
          <t>FL-351[0].Page1[0].P1Caption[0].List2[0].Li1[0].Pet1AttyName_ft[0]</t>
        </is>
      </c>
      <c r="F34" s="8" t="inlineStr">
        <is>
          <t>text</t>
        </is>
      </c>
      <c r="G34" s="8" t="inlineStr"/>
      <c r="H34" s="8" t="inlineStr"/>
      <c r="I34" s="8" t="inlineStr">
        <is>
          <t>417, 370, 575, 380</t>
        </is>
      </c>
      <c r="J34" s="8" t="inlineStr">
        <is>
          <t>court/clerk</t>
        </is>
      </c>
      <c r="K34" s="8" t="inlineStr"/>
      <c r="L34" s="8" t="inlineStr"/>
      <c r="M34" s="8" t="inlineStr"/>
      <c r="N34" s="8" t="inlineStr">
        <is>
          <t>Judge completes (mandatory findings).</t>
        </is>
      </c>
      <c r="O34" s="8" t="inlineStr"/>
    </row>
    <row r="35">
      <c r="A35" s="8" t="n">
        <v>34</v>
      </c>
      <c r="B35" s="8" t="n">
        <v>1</v>
      </c>
      <c r="C35" s="8" t="inlineStr">
        <is>
          <t>2 (court)</t>
        </is>
      </c>
      <c r="D35" s="8" t="inlineStr">
        <is>
          <t>Respondent</t>
        </is>
      </c>
      <c r="E35" s="8" t="inlineStr">
        <is>
          <t>FL-351[0].Page1[0].P1Caption[0].List2[0].Li2[0].Respondent1_cb[0]</t>
        </is>
      </c>
      <c r="F35" s="8" t="inlineStr">
        <is>
          <t>checkbox</t>
        </is>
      </c>
      <c r="G35" s="8" t="inlineStr">
        <is>
          <t>1</t>
        </is>
      </c>
      <c r="H35" s="8" t="inlineStr"/>
      <c r="I35" s="8" t="inlineStr">
        <is>
          <t>69, 383, 78, 392</t>
        </is>
      </c>
      <c r="J35" s="8" t="inlineStr">
        <is>
          <t>court/clerk</t>
        </is>
      </c>
      <c r="K35" s="8" t="inlineStr"/>
      <c r="L35" s="8" t="inlineStr"/>
      <c r="M35" s="8" t="inlineStr"/>
      <c r="N35" s="8" t="inlineStr">
        <is>
          <t>Judge completes (mandatory findings).</t>
        </is>
      </c>
      <c r="O35" s="8" t="inlineStr"/>
    </row>
    <row r="36">
      <c r="A36" s="8" t="n">
        <v>35</v>
      </c>
      <c r="B36" s="8" t="n">
        <v>1</v>
      </c>
      <c r="C36" s="8" t="inlineStr">
        <is>
          <t>2 (court)</t>
        </is>
      </c>
      <c r="D36" s="8" t="inlineStr">
        <is>
          <t>(name):</t>
        </is>
      </c>
      <c r="E36" s="8" t="inlineStr">
        <is>
          <t>FL-351[0].Page1[0].P1Caption[0].List2[0].Li2[0].Respondent1name_ft[0]</t>
        </is>
      </c>
      <c r="F36" s="8" t="inlineStr">
        <is>
          <t>text</t>
        </is>
      </c>
      <c r="G36" s="8" t="inlineStr"/>
      <c r="H36" s="8" t="inlineStr"/>
      <c r="I36" s="8" t="inlineStr">
        <is>
          <t>171, 383, 318, 394</t>
        </is>
      </c>
      <c r="J36" s="8" t="inlineStr">
        <is>
          <t>court/clerk</t>
        </is>
      </c>
      <c r="K36" s="8" t="inlineStr"/>
      <c r="L36" s="8" t="inlineStr"/>
      <c r="M36" s="8" t="inlineStr"/>
      <c r="N36" s="8" t="inlineStr">
        <is>
          <t>Judge completes (mandatory findings).</t>
        </is>
      </c>
      <c r="O36" s="8" t="inlineStr"/>
    </row>
    <row r="37">
      <c r="A37" s="8" t="n">
        <v>36</v>
      </c>
      <c r="B37" s="8" t="n">
        <v>1</v>
      </c>
      <c r="C37" s="8" t="inlineStr">
        <is>
          <t>2 (court)</t>
        </is>
      </c>
      <c r="D37" s="8" t="inlineStr">
        <is>
          <t>Attorney</t>
        </is>
      </c>
      <c r="E37" s="8" t="inlineStr">
        <is>
          <t>FL-351[0].Page1[0].P1Caption[0].List2[0].Li2[0].Resp1Attorney_cb[0]</t>
        </is>
      </c>
      <c r="F37" s="8" t="inlineStr">
        <is>
          <t>checkbox</t>
        </is>
      </c>
      <c r="G37" s="8" t="inlineStr">
        <is>
          <t>1</t>
        </is>
      </c>
      <c r="H37" s="8" t="inlineStr"/>
      <c r="I37" s="8" t="inlineStr">
        <is>
          <t>330, 383, 339, 392</t>
        </is>
      </c>
      <c r="J37" s="8" t="inlineStr">
        <is>
          <t>court/clerk</t>
        </is>
      </c>
      <c r="K37" s="8" t="inlineStr"/>
      <c r="L37" s="8" t="inlineStr"/>
      <c r="M37" s="8" t="inlineStr"/>
      <c r="N37" s="8" t="inlineStr">
        <is>
          <t>Judge completes (mandatory findings).</t>
        </is>
      </c>
      <c r="O37" s="8" t="inlineStr"/>
    </row>
    <row r="38">
      <c r="A38" s="8" t="n">
        <v>37</v>
      </c>
      <c r="B38" s="8" t="n">
        <v>1</v>
      </c>
      <c r="C38" s="8" t="inlineStr">
        <is>
          <t>2 (court)</t>
        </is>
      </c>
      <c r="D38" s="8" t="inlineStr">
        <is>
          <t>(name):</t>
        </is>
      </c>
      <c r="E38" s="8" t="inlineStr">
        <is>
          <t>FL-351[0].Page1[0].P1Caption[0].List2[0].Li2[0].Resp1AttyName_ft[0]</t>
        </is>
      </c>
      <c r="F38" s="8" t="inlineStr">
        <is>
          <t>text</t>
        </is>
      </c>
      <c r="G38" s="8" t="inlineStr"/>
      <c r="H38" s="8" t="inlineStr"/>
      <c r="I38" s="8" t="inlineStr">
        <is>
          <t>417, 383, 575, 394</t>
        </is>
      </c>
      <c r="J38" s="8" t="inlineStr">
        <is>
          <t>court/clerk</t>
        </is>
      </c>
      <c r="K38" s="8" t="inlineStr"/>
      <c r="L38" s="8" t="inlineStr"/>
      <c r="M38" s="8" t="inlineStr"/>
      <c r="N38" s="8" t="inlineStr">
        <is>
          <t>Judge completes (mandatory findings).</t>
        </is>
      </c>
      <c r="O38" s="8" t="inlineStr"/>
    </row>
    <row r="39">
      <c r="A39" s="8" t="n">
        <v>38</v>
      </c>
      <c r="B39" s="8" t="n">
        <v>1</v>
      </c>
      <c r="C39" s="8" t="inlineStr">
        <is>
          <t>2 (court)</t>
        </is>
      </c>
      <c r="D39" s="8" t="inlineStr">
        <is>
          <t>Other parties or attorneys present (specify):</t>
        </is>
      </c>
      <c r="E39" s="8" t="inlineStr">
        <is>
          <t>FL-351[0].Page1[0].P1Caption[0].List2[0].Li3[0].Other_parties_or_attorneys_present_cb[0]</t>
        </is>
      </c>
      <c r="F39" s="8" t="inlineStr">
        <is>
          <t>checkbox</t>
        </is>
      </c>
      <c r="G39" s="8" t="inlineStr">
        <is>
          <t>1</t>
        </is>
      </c>
      <c r="H39" s="8" t="inlineStr"/>
      <c r="I39" s="8" t="inlineStr">
        <is>
          <t>69, 396, 78, 405</t>
        </is>
      </c>
      <c r="J39" s="8" t="inlineStr">
        <is>
          <t>court/clerk</t>
        </is>
      </c>
      <c r="K39" s="8" t="inlineStr"/>
      <c r="L39" s="8" t="inlineStr"/>
      <c r="M39" s="8" t="inlineStr"/>
      <c r="N39" s="8" t="inlineStr">
        <is>
          <t>Judge completes (mandatory findings).</t>
        </is>
      </c>
      <c r="O39" s="8" t="inlineStr"/>
    </row>
    <row r="40">
      <c r="A40" s="8" t="n">
        <v>39</v>
      </c>
      <c r="B40" s="8" t="n">
        <v>1</v>
      </c>
      <c r="C40" s="8" t="inlineStr">
        <is>
          <t>2 (court)</t>
        </is>
      </c>
      <c r="D40" s="8" t="inlineStr">
        <is>
          <t>Other parties or attorneys present (specify):</t>
        </is>
      </c>
      <c r="E40" s="8" t="inlineStr">
        <is>
          <t>FL-351[0].Page1[0].P1Caption[0].List2[0].Li3[0].Other_parties_or_attorneys_present_specify_ft[0]</t>
        </is>
      </c>
      <c r="F40" s="8" t="inlineStr">
        <is>
          <t>text</t>
        </is>
      </c>
      <c r="G40" s="8" t="inlineStr"/>
      <c r="H40" s="8" t="inlineStr"/>
      <c r="I40" s="8" t="inlineStr">
        <is>
          <t>87, 406, 574, 432</t>
        </is>
      </c>
      <c r="J40" s="8" t="inlineStr">
        <is>
          <t>court/clerk</t>
        </is>
      </c>
      <c r="K40" s="8" t="inlineStr"/>
      <c r="L40" s="8" t="inlineStr"/>
      <c r="M40" s="8" t="inlineStr"/>
      <c r="N40" s="8" t="inlineStr">
        <is>
          <t>Judge completes (mandatory findings).</t>
        </is>
      </c>
      <c r="O40" s="8" t="inlineStr"/>
    </row>
    <row r="41">
      <c r="A41" s="8" t="n">
        <v>40</v>
      </c>
      <c r="B41" s="8" t="n">
        <v>1</v>
      </c>
      <c r="C41" s="8" t="inlineStr">
        <is>
          <t>3 (court)</t>
        </is>
      </c>
      <c r="D41" s="8" t="inlineStr">
        <is>
          <t>Sole or joint custody under Family Code section 3044 in item 5.</t>
        </is>
      </c>
      <c r="E41" s="8" t="inlineStr">
        <is>
          <t>FL-351[0].Page1[0].List3[0].Li2[0].Respondent1_cb[0]</t>
        </is>
      </c>
      <c r="F41" s="8" t="inlineStr">
        <is>
          <t>checkbox</t>
        </is>
      </c>
      <c r="G41" s="8" t="inlineStr">
        <is>
          <t>1</t>
        </is>
      </c>
      <c r="H41" s="8" t="inlineStr"/>
      <c r="I41" s="8" t="inlineStr">
        <is>
          <t>69, 469, 78, 478</t>
        </is>
      </c>
      <c r="J41" s="8" t="inlineStr">
        <is>
          <t>court/clerk</t>
        </is>
      </c>
      <c r="K41" s="8" t="inlineStr"/>
      <c r="L41" s="8" t="inlineStr"/>
      <c r="M41" s="8" t="inlineStr"/>
      <c r="N41" s="8" t="inlineStr">
        <is>
          <t>Judge completes (mandatory findings).</t>
        </is>
      </c>
      <c r="O41" s="8" t="inlineStr"/>
    </row>
    <row r="42">
      <c r="A42" s="8" t="n">
        <v>41</v>
      </c>
      <c r="B42" s="8" t="n">
        <v>1</v>
      </c>
      <c r="C42" s="8" t="inlineStr">
        <is>
          <t>3 (court)</t>
        </is>
      </c>
      <c r="D42" s="8" t="inlineStr">
        <is>
          <t>Sole or joint custody or unsupervised visitation under Family Code section 3011 in item 4.</t>
        </is>
      </c>
      <c r="E42" s="8" t="inlineStr">
        <is>
          <t>FL-351[0].Page1[0].List3[0].Li1[0].Petitioner1_cb[0]</t>
        </is>
      </c>
      <c r="F42" s="8" t="inlineStr">
        <is>
          <t>checkbox</t>
        </is>
      </c>
      <c r="G42" s="8" t="inlineStr">
        <is>
          <t>1</t>
        </is>
      </c>
      <c r="H42" s="8" t="inlineStr"/>
      <c r="I42" s="8" t="inlineStr">
        <is>
          <t>69, 454, 78, 463</t>
        </is>
      </c>
      <c r="J42" s="8" t="inlineStr">
        <is>
          <t>court/clerk</t>
        </is>
      </c>
      <c r="K42" s="8" t="inlineStr"/>
      <c r="L42" s="8" t="inlineStr"/>
      <c r="M42" s="8" t="inlineStr"/>
      <c r="N42" s="8" t="inlineStr">
        <is>
          <t>Judge completes (mandatory findings).</t>
        </is>
      </c>
      <c r="O42" s="8" t="inlineStr"/>
    </row>
    <row r="43">
      <c r="A43" s="8" t="n">
        <v>42</v>
      </c>
      <c r="B43" s="8" t="n">
        <v>1</v>
      </c>
      <c r="C43" s="8" t="inlineStr">
        <is>
          <t>3 (court)</t>
        </is>
      </c>
      <c r="D43" s="8" t="inlineStr">
        <is>
          <t>In-person visitation under Family Code section 3100(e) in item 6.</t>
        </is>
      </c>
      <c r="E43" s="8" t="inlineStr">
        <is>
          <t>FL-351[0].Page1[0].List3[0].Li3[0].Respondent1_cb[0]</t>
        </is>
      </c>
      <c r="F43" s="8" t="inlineStr">
        <is>
          <t>checkbox</t>
        </is>
      </c>
      <c r="G43" s="8" t="inlineStr">
        <is>
          <t>1</t>
        </is>
      </c>
      <c r="H43" s="8" t="inlineStr"/>
      <c r="I43" s="8" t="inlineStr">
        <is>
          <t>69, 485, 78, 494</t>
        </is>
      </c>
      <c r="J43" s="8" t="inlineStr">
        <is>
          <t>court/clerk</t>
        </is>
      </c>
      <c r="K43" s="8" t="inlineStr"/>
      <c r="L43" s="8" t="inlineStr"/>
      <c r="M43" s="8" t="inlineStr"/>
      <c r="N43" s="8" t="inlineStr">
        <is>
          <t>Judge completes (mandatory findings).</t>
        </is>
      </c>
      <c r="O43" s="8" t="inlineStr"/>
    </row>
    <row r="44">
      <c r="A44" s="8" t="n">
        <v>43</v>
      </c>
      <c r="B44" s="8" t="n">
        <v>1</v>
      </c>
      <c r="C44" s="8" t="inlineStr">
        <is>
          <t>4 (court)</t>
        </is>
      </c>
      <c r="D44" s="8" t="inlineStr">
        <is>
          <t>Child custody and visitation (parenting time) orders granted on allegations of abuse or substance abuse  (Fam. Code, § 3011)</t>
        </is>
      </c>
      <c r="E44" s="8" t="inlineStr">
        <is>
          <t>FL-351[0].Page1[0].List4[0].ChildCustodyOrdersWithAllegationsofAbuseorSubstanceAbuse_cb[0]</t>
        </is>
      </c>
      <c r="F44" s="8" t="inlineStr">
        <is>
          <t>checkbox</t>
        </is>
      </c>
      <c r="G44" s="8" t="inlineStr">
        <is>
          <t>1</t>
        </is>
      </c>
      <c r="H44" s="8" t="inlineStr"/>
      <c r="I44" s="8" t="inlineStr">
        <is>
          <t>56, 508, 65, 517</t>
        </is>
      </c>
      <c r="J44" s="8" t="inlineStr">
        <is>
          <t>court/clerk</t>
        </is>
      </c>
      <c r="K44" s="8" t="inlineStr"/>
      <c r="L44" s="8" t="inlineStr"/>
      <c r="M44" s="8" t="inlineStr"/>
      <c r="N44" s="8" t="inlineStr">
        <is>
          <t>Judge completes (mandatory findings).</t>
        </is>
      </c>
      <c r="O44" s="8" t="inlineStr"/>
    </row>
    <row r="45">
      <c r="A45" s="8" t="n">
        <v>44</v>
      </c>
      <c r="B45" s="8" t="n">
        <v>1</v>
      </c>
      <c r="C45" s="8" t="inlineStr">
        <is>
          <t>4 (court)</t>
        </is>
      </c>
      <c r="D45" s="8" t="inlineStr">
        <is>
          <t>In Attachment 4c.</t>
        </is>
      </c>
      <c r="E45" s="8" t="inlineStr">
        <is>
          <t>FL-351[0].Page1[0].List4[0].Li3[0].Choice2[0]</t>
        </is>
      </c>
      <c r="F45" s="8" t="inlineStr">
        <is>
          <t>checkbox</t>
        </is>
      </c>
      <c r="G45" s="8" t="inlineStr">
        <is>
          <t>3</t>
        </is>
      </c>
      <c r="H45" s="8" t="inlineStr"/>
      <c r="I45" s="8" t="inlineStr">
        <is>
          <t>92, 616, 101, 625</t>
        </is>
      </c>
      <c r="J45" s="8" t="inlineStr">
        <is>
          <t>court/clerk</t>
        </is>
      </c>
      <c r="K45" s="8" t="inlineStr"/>
      <c r="L45" s="8" t="inlineStr"/>
      <c r="M45" s="8" t="inlineStr"/>
      <c r="N45" s="8" t="inlineStr">
        <is>
          <t>Judge completes (mandatory findings).</t>
        </is>
      </c>
      <c r="O45" s="8" t="inlineStr"/>
    </row>
    <row r="46">
      <c r="A46" s="8" t="n">
        <v>45</v>
      </c>
      <c r="B46" s="8" t="n">
        <v>1</v>
      </c>
      <c r="C46" s="8" t="inlineStr">
        <is>
          <t>4 (court)</t>
        </is>
      </c>
      <c r="D46" s="8" t="inlineStr">
        <is>
          <t>Below</t>
        </is>
      </c>
      <c r="E46" s="8" t="inlineStr">
        <is>
          <t>FL-351[0].Page1[0].List4[0].Li3[0].Choice2[1]</t>
        </is>
      </c>
      <c r="F46" s="8" t="inlineStr">
        <is>
          <t>checkbox</t>
        </is>
      </c>
      <c r="G46" s="8" t="inlineStr">
        <is>
          <t>3</t>
        </is>
      </c>
      <c r="H46" s="8" t="inlineStr"/>
      <c r="I46" s="8" t="inlineStr">
        <is>
          <t>211, 615, 220, 624</t>
        </is>
      </c>
      <c r="J46" s="8" t="inlineStr">
        <is>
          <t>court/clerk</t>
        </is>
      </c>
      <c r="K46" s="8" t="inlineStr"/>
      <c r="L46" s="8" t="inlineStr"/>
      <c r="M46" s="8" t="inlineStr"/>
      <c r="N46" s="8" t="inlineStr">
        <is>
          <t>Judge completes (mandatory findings).</t>
        </is>
      </c>
      <c r="O46" s="8" t="inlineStr"/>
    </row>
    <row r="47">
      <c r="A47" s="5" t="n">
        <v>46</v>
      </c>
      <c r="B47" s="5" t="n">
        <v>2</v>
      </c>
      <c r="C47" s="5" t="inlineStr">
        <is>
          <t>Caption</t>
        </is>
      </c>
      <c r="D47" s="5" t="inlineStr">
        <is>
          <t>CASE NUMBER</t>
        </is>
      </c>
      <c r="E47" s="5" t="inlineStr">
        <is>
          <t>FL-351[0].Page2[0].PxCaption[0].CaseNumber[0].CaseNumber_ft[0]</t>
        </is>
      </c>
      <c r="F47" s="5" t="inlineStr">
        <is>
          <t>text</t>
        </is>
      </c>
      <c r="G47" s="5" t="inlineStr"/>
      <c r="H47" s="5" t="inlineStr"/>
      <c r="I47" s="5" t="inlineStr">
        <is>
          <t>399, 63, 571, 76</t>
        </is>
      </c>
      <c r="J47" s="5" t="inlineStr">
        <is>
          <t>question</t>
        </is>
      </c>
      <c r="K47" s="5" t="inlineStr">
        <is>
          <t>X0</t>
        </is>
      </c>
      <c r="L47" s="5">
        <f> X0</f>
        <v/>
      </c>
      <c r="M47" s="5" t="inlineStr">
        <is>
          <t>stage 3</t>
        </is>
      </c>
      <c r="N47" s="5" t="inlineStr"/>
      <c r="O47" s="5" t="inlineStr"/>
    </row>
    <row r="48">
      <c r="A48" s="5" t="n">
        <v>47</v>
      </c>
      <c r="B48" s="5" t="n">
        <v>2</v>
      </c>
      <c r="C48" s="5" t="inlineStr">
        <is>
          <t>Caption</t>
        </is>
      </c>
      <c r="D48" s="5" t="inlineStr">
        <is>
          <t>PETITIONER</t>
        </is>
      </c>
      <c r="E48" s="5" t="inlineStr">
        <is>
          <t>FL-351[0].Page2[0].PxCaption[0].TitlePartyName[0].Petitioner_ft[0]</t>
        </is>
      </c>
      <c r="F48" s="5" t="inlineStr">
        <is>
          <t>text</t>
        </is>
      </c>
      <c r="G48" s="5" t="inlineStr"/>
      <c r="H48" s="5" t="inlineStr"/>
      <c r="I48" s="5" t="inlineStr">
        <is>
          <t>132, 49, 391, 59</t>
        </is>
      </c>
      <c r="J48" s="5" t="inlineStr">
        <is>
          <t>question</t>
        </is>
      </c>
      <c r="K48" s="5" t="inlineStr">
        <is>
          <t>P1</t>
        </is>
      </c>
      <c r="L48" s="5">
        <f> P1</f>
        <v/>
      </c>
      <c r="M48" s="5" t="inlineStr"/>
      <c r="N48" s="5" t="inlineStr"/>
      <c r="O48" s="5" t="inlineStr"/>
    </row>
    <row r="49">
      <c r="A49" s="5" t="n">
        <v>48</v>
      </c>
      <c r="B49" s="5" t="n">
        <v>2</v>
      </c>
      <c r="C49" s="5" t="inlineStr">
        <is>
          <t>Caption</t>
        </is>
      </c>
      <c r="D49" s="5" t="inlineStr">
        <is>
          <t>RESPONDENT</t>
        </is>
      </c>
      <c r="E49" s="5" t="inlineStr">
        <is>
          <t>FL-351[0].Page2[0].PxCaption[0].TitlePartyName[0].Respondent_ft[0]</t>
        </is>
      </c>
      <c r="F49" s="5" t="inlineStr">
        <is>
          <t>text</t>
        </is>
      </c>
      <c r="G49" s="5" t="inlineStr"/>
      <c r="H49" s="5" t="inlineStr"/>
      <c r="I49" s="5" t="inlineStr">
        <is>
          <t>132, 60, 391, 70</t>
        </is>
      </c>
      <c r="J49" s="5" t="inlineStr">
        <is>
          <t>question</t>
        </is>
      </c>
      <c r="K49" s="5" t="inlineStr">
        <is>
          <t>R1</t>
        </is>
      </c>
      <c r="L49" s="5">
        <f> R1</f>
        <v/>
      </c>
      <c r="M49" s="5" t="inlineStr"/>
      <c r="N49" s="5" t="inlineStr"/>
      <c r="O49" s="5" t="inlineStr"/>
    </row>
    <row r="50">
      <c r="A50" s="5" t="n">
        <v>49</v>
      </c>
      <c r="B50" s="5" t="n">
        <v>2</v>
      </c>
      <c r="C50" s="5" t="inlineStr">
        <is>
          <t>Caption</t>
        </is>
      </c>
      <c r="D50" s="5" t="inlineStr">
        <is>
          <t>OTHER PARENT/PARTY</t>
        </is>
      </c>
      <c r="E50" s="5" t="inlineStr">
        <is>
          <t>FL-351[0].Page2[0].PxCaption[0].TitlePartyName[0].OtherParentParty_ft[0]</t>
        </is>
      </c>
      <c r="F50" s="5" t="inlineStr">
        <is>
          <t>text</t>
        </is>
      </c>
      <c r="G50" s="5" t="inlineStr"/>
      <c r="H50" s="5" t="inlineStr"/>
      <c r="I50" s="5" t="inlineStr">
        <is>
          <t>132, 72, 391, 82</t>
        </is>
      </c>
      <c r="J50" s="5" t="inlineStr">
        <is>
          <t>question</t>
        </is>
      </c>
      <c r="K50" s="5" t="inlineStr">
        <is>
          <t>PR13</t>
        </is>
      </c>
      <c r="L50" s="5">
        <f> PR13.name</f>
        <v/>
      </c>
      <c r="M50" s="5" t="inlineStr">
        <is>
          <t>PR13 given</t>
        </is>
      </c>
      <c r="N50" s="5" t="inlineStr"/>
      <c r="O50" s="5" t="inlineStr"/>
    </row>
    <row r="51">
      <c r="A51" s="8" t="n">
        <v>50</v>
      </c>
      <c r="B51" s="8" t="n">
        <v>2</v>
      </c>
      <c r="C51" s="8" t="inlineStr">
        <is>
          <t>4 (court)</t>
        </is>
      </c>
      <c r="D51" s="8" t="inlineStr">
        <is>
          <t>The court's reasons for granting sole or joint physical custody or legal custody, or unsupervised visits are stated below:</t>
        </is>
      </c>
      <c r="E51" s="8" t="inlineStr">
        <is>
          <t>FL-351[0].Page2[0].List4cont[0].Li1[0].T156[0]</t>
        </is>
      </c>
      <c r="F51" s="8" t="inlineStr">
        <is>
          <t>text</t>
        </is>
      </c>
      <c r="G51" s="8" t="inlineStr"/>
      <c r="H51" s="8" t="inlineStr"/>
      <c r="I51" s="8" t="inlineStr">
        <is>
          <t>84, 103, 574, 302</t>
        </is>
      </c>
      <c r="J51" s="8" t="inlineStr">
        <is>
          <t>court/clerk</t>
        </is>
      </c>
      <c r="K51" s="8" t="inlineStr"/>
      <c r="L51" s="8" t="inlineStr"/>
      <c r="M51" s="8" t="inlineStr"/>
      <c r="N51" s="8" t="inlineStr">
        <is>
          <t>Judge completes (mandatory findings).</t>
        </is>
      </c>
      <c r="O51" s="8" t="inlineStr"/>
    </row>
    <row r="52">
      <c r="A52" s="8" t="n">
        <v>51</v>
      </c>
      <c r="B52" s="8" t="n">
        <v>2</v>
      </c>
      <c r="C52" s="8" t="inlineStr">
        <is>
          <t>5 (court)</t>
        </is>
      </c>
      <c r="D52" s="8" t="inlineStr">
        <is>
          <t>Sole or joint physical custody of the children</t>
        </is>
      </c>
      <c r="E52" s="8" t="inlineStr">
        <is>
          <t>FL-351[0].Page2[0].List5[0].Li1[0].List[0].Li1[0].ChildAbductionPrevention_cb[0]</t>
        </is>
      </c>
      <c r="F52" s="8" t="inlineStr">
        <is>
          <t>checkbox</t>
        </is>
      </c>
      <c r="G52" s="8" t="inlineStr">
        <is>
          <t>1</t>
        </is>
      </c>
      <c r="H52" s="8" t="inlineStr"/>
      <c r="I52" s="8" t="inlineStr">
        <is>
          <t>111, 357, 120, 366</t>
        </is>
      </c>
      <c r="J52" s="8" t="inlineStr">
        <is>
          <t>court/clerk</t>
        </is>
      </c>
      <c r="K52" s="8" t="inlineStr"/>
      <c r="L52" s="8" t="inlineStr"/>
      <c r="M52" s="8" t="inlineStr"/>
      <c r="N52" s="8" t="inlineStr">
        <is>
          <t>Judge completes (mandatory findings).</t>
        </is>
      </c>
      <c r="O52" s="8" t="inlineStr"/>
    </row>
    <row r="53">
      <c r="A53" s="8" t="n">
        <v>52</v>
      </c>
      <c r="B53" s="8" t="n">
        <v>2</v>
      </c>
      <c r="C53" s="8" t="inlineStr">
        <is>
          <t>5 (court)</t>
        </is>
      </c>
      <c r="D53" s="8" t="inlineStr">
        <is>
          <t>Sole or joint legal custody of the children</t>
        </is>
      </c>
      <c r="E53" s="8" t="inlineStr">
        <is>
          <t>FL-351[0].Page2[0].List5[0].Li1[0].List[0].Li2[0].ChildAbductionPrevention_cb[0]</t>
        </is>
      </c>
      <c r="F53" s="8" t="inlineStr">
        <is>
          <t>checkbox</t>
        </is>
      </c>
      <c r="G53" s="8" t="inlineStr">
        <is>
          <t>1</t>
        </is>
      </c>
      <c r="H53" s="8" t="inlineStr"/>
      <c r="I53" s="8" t="inlineStr">
        <is>
          <t>111, 374, 120, 383</t>
        </is>
      </c>
      <c r="J53" s="8" t="inlineStr">
        <is>
          <t>court/clerk</t>
        </is>
      </c>
      <c r="K53" s="8" t="inlineStr"/>
      <c r="L53" s="8" t="inlineStr"/>
      <c r="M53" s="8" t="inlineStr"/>
      <c r="N53" s="8" t="inlineStr">
        <is>
          <t>Judge completes (mandatory findings).</t>
        </is>
      </c>
      <c r="O53" s="8" t="inlineStr"/>
    </row>
    <row r="54">
      <c r="A54" s="8" t="n">
        <v>53</v>
      </c>
      <c r="B54" s="8" t="n">
        <v>2</v>
      </c>
      <c r="C54" s="8" t="inlineStr">
        <is>
          <t>5 (court)</t>
        </is>
      </c>
      <c r="D54" s="8" t="inlineStr">
        <is>
          <t>The court's reasons for granting the custody orders are as stated:</t>
        </is>
      </c>
      <c r="E54" s="8" t="inlineStr">
        <is>
          <t>FL-351[0].Page2[0].List5[0].Li4[0].OtherSpecify_ft[0]</t>
        </is>
      </c>
      <c r="F54" s="8" t="inlineStr">
        <is>
          <t>text</t>
        </is>
      </c>
      <c r="G54" s="8" t="inlineStr"/>
      <c r="H54" s="8" t="inlineStr"/>
      <c r="I54" s="8" t="inlineStr">
        <is>
          <t>90, 488, 573, 713</t>
        </is>
      </c>
      <c r="J54" s="8" t="inlineStr">
        <is>
          <t>court/clerk</t>
        </is>
      </c>
      <c r="K54" s="8" t="inlineStr"/>
      <c r="L54" s="8" t="inlineStr"/>
      <c r="M54" s="8" t="inlineStr"/>
      <c r="N54" s="8" t="inlineStr">
        <is>
          <t>Judge completes (mandatory findings).</t>
        </is>
      </c>
      <c r="O54" s="8" t="inlineStr"/>
    </row>
    <row r="55">
      <c r="A55" s="8" t="n">
        <v>54</v>
      </c>
      <c r="B55" s="8" t="n">
        <v>2</v>
      </c>
      <c r="C55" s="8" t="inlineStr">
        <is>
          <t>5 (court)</t>
        </is>
      </c>
      <c r="D55" s="8" t="inlineStr">
        <is>
          <t>In Attachment 5d.</t>
        </is>
      </c>
      <c r="E55" s="8" t="inlineStr">
        <is>
          <t>FL-351[0].Page2[0].List5[0].Li4[0].Choice2[0]</t>
        </is>
      </c>
      <c r="F55" s="8" t="inlineStr">
        <is>
          <t>checkbox</t>
        </is>
      </c>
      <c r="G55" s="8" t="inlineStr">
        <is>
          <t>3</t>
        </is>
      </c>
      <c r="H55" s="8" t="inlineStr"/>
      <c r="I55" s="8" t="inlineStr">
        <is>
          <t>361, 475, 370, 484</t>
        </is>
      </c>
      <c r="J55" s="8" t="inlineStr">
        <is>
          <t>court/clerk</t>
        </is>
      </c>
      <c r="K55" s="8" t="inlineStr"/>
      <c r="L55" s="8" t="inlineStr"/>
      <c r="M55" s="8" t="inlineStr"/>
      <c r="N55" s="8" t="inlineStr">
        <is>
          <t>Judge completes (mandatory findings).</t>
        </is>
      </c>
      <c r="O55" s="8" t="inlineStr"/>
    </row>
    <row r="56">
      <c r="A56" s="8" t="n">
        <v>55</v>
      </c>
      <c r="B56" s="8" t="n">
        <v>2</v>
      </c>
      <c r="C56" s="8" t="inlineStr">
        <is>
          <t>5 (court)</t>
        </is>
      </c>
      <c r="D56" s="8" t="inlineStr">
        <is>
          <t>Below</t>
        </is>
      </c>
      <c r="E56" s="8" t="inlineStr">
        <is>
          <t>FL-351[0].Page2[0].List5[0].Li4[0].Choice2[1]</t>
        </is>
      </c>
      <c r="F56" s="8" t="inlineStr">
        <is>
          <t>checkbox</t>
        </is>
      </c>
      <c r="G56" s="8" t="inlineStr">
        <is>
          <t>3</t>
        </is>
      </c>
      <c r="H56" s="8" t="inlineStr"/>
      <c r="I56" s="8" t="inlineStr">
        <is>
          <t>480, 474, 489, 483</t>
        </is>
      </c>
      <c r="J56" s="8" t="inlineStr">
        <is>
          <t>court/clerk</t>
        </is>
      </c>
      <c r="K56" s="8" t="inlineStr"/>
      <c r="L56" s="8" t="inlineStr"/>
      <c r="M56" s="8" t="inlineStr"/>
      <c r="N56" s="8" t="inlineStr">
        <is>
          <t>Judge completes (mandatory findings).</t>
        </is>
      </c>
      <c r="O56" s="8" t="inlineStr"/>
    </row>
    <row r="57">
      <c r="A57" s="8" t="n">
        <v>56</v>
      </c>
      <c r="B57" s="8" t="n">
        <v>2</v>
      </c>
      <c r="C57" s="8" t="inlineStr">
        <is>
          <t>5 (court)</t>
        </is>
      </c>
      <c r="D57" s="8" t="inlineStr">
        <is>
          <t>Sole or joint custody granted to a parent who has committed domestic violence in the last five years  (Fam. Code, § 3044)</t>
        </is>
      </c>
      <c r="E57" s="8" t="inlineStr">
        <is>
          <t>FL-351[0].Page2[0].List5[0].ChildCustodyOrdersWithAllegationsofAbuseorSubstanceAbuse_cb[0]</t>
        </is>
      </c>
      <c r="F57" s="8" t="inlineStr">
        <is>
          <t>checkbox</t>
        </is>
      </c>
      <c r="G57" s="8" t="inlineStr">
        <is>
          <t>1</t>
        </is>
      </c>
      <c r="H57" s="8" t="inlineStr"/>
      <c r="I57" s="8" t="inlineStr">
        <is>
          <t>56, 310, 65, 319</t>
        </is>
      </c>
      <c r="J57" s="8" t="inlineStr">
        <is>
          <t>court/clerk</t>
        </is>
      </c>
      <c r="K57" s="8" t="inlineStr"/>
      <c r="L57" s="8" t="inlineStr"/>
      <c r="M57" s="8" t="inlineStr"/>
      <c r="N57" s="8" t="inlineStr">
        <is>
          <t>Judge completes (mandatory findings).</t>
        </is>
      </c>
      <c r="O57" s="8" t="inlineStr"/>
    </row>
    <row r="58">
      <c r="A58" s="5" t="n">
        <v>57</v>
      </c>
      <c r="B58" s="5" t="n">
        <v>3</v>
      </c>
      <c r="C58" s="5" t="inlineStr">
        <is>
          <t>Caption</t>
        </is>
      </c>
      <c r="D58" s="5" t="inlineStr">
        <is>
          <t>CASE NUMBER</t>
        </is>
      </c>
      <c r="E58" s="5" t="inlineStr">
        <is>
          <t>FL-351[0].Page3[0].PxCaption[0].CaseNumber[0].CaseNumber_ft[0]</t>
        </is>
      </c>
      <c r="F58" s="5" t="inlineStr">
        <is>
          <t>text</t>
        </is>
      </c>
      <c r="G58" s="5" t="inlineStr"/>
      <c r="H58" s="5" t="inlineStr"/>
      <c r="I58" s="5" t="inlineStr">
        <is>
          <t>399, 65, 572, 78</t>
        </is>
      </c>
      <c r="J58" s="5" t="inlineStr">
        <is>
          <t>question</t>
        </is>
      </c>
      <c r="K58" s="5" t="inlineStr">
        <is>
          <t>X0</t>
        </is>
      </c>
      <c r="L58" s="5">
        <f> X0</f>
        <v/>
      </c>
      <c r="M58" s="5" t="inlineStr">
        <is>
          <t>stage 3</t>
        </is>
      </c>
      <c r="N58" s="5" t="inlineStr"/>
      <c r="O58" s="5" t="inlineStr"/>
    </row>
    <row r="59">
      <c r="A59" s="5" t="n">
        <v>58</v>
      </c>
      <c r="B59" s="5" t="n">
        <v>3</v>
      </c>
      <c r="C59" s="5" t="inlineStr">
        <is>
          <t>Caption</t>
        </is>
      </c>
      <c r="D59" s="5" t="inlineStr">
        <is>
          <t>PETITIONER</t>
        </is>
      </c>
      <c r="E59" s="5" t="inlineStr">
        <is>
          <t>FL-351[0].Page3[0].PxCaption[0].TitlePartyName[0].Petitioner_ft[0]</t>
        </is>
      </c>
      <c r="F59" s="5" t="inlineStr">
        <is>
          <t>text</t>
        </is>
      </c>
      <c r="G59" s="5" t="inlineStr"/>
      <c r="H59" s="5" t="inlineStr"/>
      <c r="I59" s="5" t="inlineStr">
        <is>
          <t>132, 51, 391, 61</t>
        </is>
      </c>
      <c r="J59" s="5" t="inlineStr">
        <is>
          <t>question</t>
        </is>
      </c>
      <c r="K59" s="5" t="inlineStr">
        <is>
          <t>P1</t>
        </is>
      </c>
      <c r="L59" s="5">
        <f> P1</f>
        <v/>
      </c>
      <c r="M59" s="5" t="inlineStr"/>
      <c r="N59" s="5" t="inlineStr"/>
      <c r="O59" s="5" t="inlineStr"/>
    </row>
    <row r="60">
      <c r="A60" s="5" t="n">
        <v>59</v>
      </c>
      <c r="B60" s="5" t="n">
        <v>3</v>
      </c>
      <c r="C60" s="5" t="inlineStr">
        <is>
          <t>Caption</t>
        </is>
      </c>
      <c r="D60" s="5" t="inlineStr">
        <is>
          <t>RESPONDENT</t>
        </is>
      </c>
      <c r="E60" s="5" t="inlineStr">
        <is>
          <t>FL-351[0].Page3[0].PxCaption[0].TitlePartyName[0].Respondent_ft[0]</t>
        </is>
      </c>
      <c r="F60" s="5" t="inlineStr">
        <is>
          <t>text</t>
        </is>
      </c>
      <c r="G60" s="5" t="inlineStr"/>
      <c r="H60" s="5" t="inlineStr"/>
      <c r="I60" s="5" t="inlineStr">
        <is>
          <t>132, 63, 391, 73</t>
        </is>
      </c>
      <c r="J60" s="5" t="inlineStr">
        <is>
          <t>question</t>
        </is>
      </c>
      <c r="K60" s="5" t="inlineStr">
        <is>
          <t>R1</t>
        </is>
      </c>
      <c r="L60" s="5">
        <f> R1</f>
        <v/>
      </c>
      <c r="M60" s="5" t="inlineStr"/>
      <c r="N60" s="5" t="inlineStr"/>
      <c r="O60" s="5" t="inlineStr"/>
    </row>
    <row r="61">
      <c r="A61" s="5" t="n">
        <v>60</v>
      </c>
      <c r="B61" s="5" t="n">
        <v>3</v>
      </c>
      <c r="C61" s="5" t="inlineStr">
        <is>
          <t>Caption</t>
        </is>
      </c>
      <c r="D61" s="5" t="inlineStr">
        <is>
          <t>OTHER PARENT/PARTY</t>
        </is>
      </c>
      <c r="E61" s="5" t="inlineStr">
        <is>
          <t>FL-351[0].Page3[0].PxCaption[0].TitlePartyName[0].OtherParentParty_ft[0]</t>
        </is>
      </c>
      <c r="F61" s="5" t="inlineStr">
        <is>
          <t>text</t>
        </is>
      </c>
      <c r="G61" s="5" t="inlineStr"/>
      <c r="H61" s="5" t="inlineStr"/>
      <c r="I61" s="5" t="inlineStr">
        <is>
          <t>132, 74, 391, 84</t>
        </is>
      </c>
      <c r="J61" s="5" t="inlineStr">
        <is>
          <t>question</t>
        </is>
      </c>
      <c r="K61" s="5" t="inlineStr">
        <is>
          <t>PR13</t>
        </is>
      </c>
      <c r="L61" s="5">
        <f> PR13.name</f>
        <v/>
      </c>
      <c r="M61" s="5" t="inlineStr">
        <is>
          <t>PR13 given</t>
        </is>
      </c>
      <c r="N61" s="5" t="inlineStr"/>
      <c r="O61" s="5" t="inlineStr"/>
    </row>
    <row r="62">
      <c r="A62" s="8" t="n">
        <v>61</v>
      </c>
      <c r="B62" s="8" t="n">
        <v>3</v>
      </c>
      <c r="C62" s="8" t="inlineStr">
        <is>
          <t>5 (court)</t>
        </is>
      </c>
      <c r="D62" s="8" t="inlineStr">
        <is>
          <t>Yes</t>
        </is>
      </c>
      <c r="E62" s="8" t="inlineStr">
        <is>
          <t>FL-351[0].Page3[0].List5Cont[0].Li1[0].List[0].Li1[0].item5e1_cb[0]</t>
        </is>
      </c>
      <c r="F62" s="8" t="inlineStr">
        <is>
          <t>checkbox</t>
        </is>
      </c>
      <c r="G62" s="8" t="inlineStr">
        <is>
          <t>1</t>
        </is>
      </c>
      <c r="H62" s="8" t="inlineStr"/>
      <c r="I62" s="8" t="inlineStr">
        <is>
          <t>114, 144, 123, 153</t>
        </is>
      </c>
      <c r="J62" s="8" t="inlineStr">
        <is>
          <t>court/clerk</t>
        </is>
      </c>
      <c r="K62" s="8" t="inlineStr"/>
      <c r="L62" s="8" t="inlineStr"/>
      <c r="M62" s="8" t="inlineStr"/>
      <c r="N62" s="8" t="inlineStr">
        <is>
          <t>Judge completes (mandatory findings).</t>
        </is>
      </c>
      <c r="O62" s="8" t="inlineStr"/>
    </row>
    <row r="63">
      <c r="A63" s="8" t="n">
        <v>62</v>
      </c>
      <c r="B63" s="8" t="n">
        <v>3</v>
      </c>
      <c r="C63" s="8" t="inlineStr">
        <is>
          <t>5 (court)</t>
        </is>
      </c>
      <c r="D63" s="8" t="inlineStr">
        <is>
          <t>No</t>
        </is>
      </c>
      <c r="E63" s="8" t="inlineStr">
        <is>
          <t>FL-351[0].Page3[0].List5Cont[0].Li1[0].List[0].Li1[0].item5e1_cb[1]</t>
        </is>
      </c>
      <c r="F63" s="8" t="inlineStr">
        <is>
          <t>checkbox</t>
        </is>
      </c>
      <c r="G63" s="8" t="inlineStr">
        <is>
          <t>11</t>
        </is>
      </c>
      <c r="H63" s="8" t="inlineStr"/>
      <c r="I63" s="8" t="inlineStr">
        <is>
          <t>185, 144, 194, 153</t>
        </is>
      </c>
      <c r="J63" s="8" t="inlineStr">
        <is>
          <t>court/clerk</t>
        </is>
      </c>
      <c r="K63" s="8" t="inlineStr"/>
      <c r="L63" s="8" t="inlineStr"/>
      <c r="M63" s="8" t="inlineStr"/>
      <c r="N63" s="8" t="inlineStr">
        <is>
          <t>Judge completes (mandatory findings).</t>
        </is>
      </c>
      <c r="O63" s="8" t="inlineStr"/>
    </row>
    <row r="64">
      <c r="A64" s="8" t="n">
        <v>63</v>
      </c>
      <c r="B64" s="8" t="n">
        <v>3</v>
      </c>
      <c r="C64" s="8" t="inlineStr">
        <is>
          <t>5 (court)</t>
        </is>
      </c>
      <c r="D64" s="8" t="inlineStr">
        <is>
          <t>(Explain, as needed):</t>
        </is>
      </c>
      <c r="E64" s="8" t="inlineStr">
        <is>
          <t>FL-351[0].Page3[0].List5Cont[0].Li1[0].List[0].Li1[0].tf1[0]</t>
        </is>
      </c>
      <c r="F64" s="8" t="inlineStr">
        <is>
          <t>text</t>
        </is>
      </c>
      <c r="G64" s="8" t="inlineStr"/>
      <c r="H64" s="8" t="inlineStr"/>
      <c r="I64" s="8" t="inlineStr">
        <is>
          <t>109, 170, 574, 252</t>
        </is>
      </c>
      <c r="J64" s="8" t="inlineStr">
        <is>
          <t>court/clerk</t>
        </is>
      </c>
      <c r="K64" s="8" t="inlineStr"/>
      <c r="L64" s="8" t="inlineStr"/>
      <c r="M64" s="8" t="inlineStr"/>
      <c r="N64" s="8" t="inlineStr">
        <is>
          <t>Judge completes (mandatory findings).</t>
        </is>
      </c>
      <c r="O64" s="8" t="inlineStr"/>
    </row>
    <row r="65">
      <c r="A65" s="8" t="n">
        <v>64</v>
      </c>
      <c r="B65" s="8" t="n">
        <v>3</v>
      </c>
      <c r="C65" s="8" t="inlineStr">
        <is>
          <t>5 (court)</t>
        </is>
      </c>
      <c r="D65" s="8" t="inlineStr">
        <is>
          <t>Yes</t>
        </is>
      </c>
      <c r="E65" s="8" t="inlineStr">
        <is>
          <t>FL-351[0].Page3[0].List5Cont[0].Li1[0].List[0].Li2[0].item5e2_cb[0]</t>
        </is>
      </c>
      <c r="F65" s="8" t="inlineStr">
        <is>
          <t>checkbox</t>
        </is>
      </c>
      <c r="G65" s="8" t="inlineStr">
        <is>
          <t>1</t>
        </is>
      </c>
      <c r="H65" s="8" t="inlineStr"/>
      <c r="I65" s="8" t="inlineStr">
        <is>
          <t>114, 290, 123, 299</t>
        </is>
      </c>
      <c r="J65" s="8" t="inlineStr">
        <is>
          <t>court/clerk</t>
        </is>
      </c>
      <c r="K65" s="8" t="inlineStr"/>
      <c r="L65" s="8" t="inlineStr"/>
      <c r="M65" s="8" t="inlineStr"/>
      <c r="N65" s="8" t="inlineStr">
        <is>
          <t>Judge completes (mandatory findings).</t>
        </is>
      </c>
      <c r="O65" s="8" t="inlineStr"/>
    </row>
    <row r="66">
      <c r="A66" s="8" t="n">
        <v>65</v>
      </c>
      <c r="B66" s="8" t="n">
        <v>3</v>
      </c>
      <c r="C66" s="8" t="inlineStr">
        <is>
          <t>5 (court)</t>
        </is>
      </c>
      <c r="D66" s="8" t="inlineStr">
        <is>
          <t>No</t>
        </is>
      </c>
      <c r="E66" s="8" t="inlineStr">
        <is>
          <t>FL-351[0].Page3[0].List5Cont[0].Li1[0].List[0].Li2[0].item5e2_cb[1]</t>
        </is>
      </c>
      <c r="F66" s="8" t="inlineStr">
        <is>
          <t>checkbox</t>
        </is>
      </c>
      <c r="G66" s="8" t="inlineStr">
        <is>
          <t>11</t>
        </is>
      </c>
      <c r="H66" s="8" t="inlineStr"/>
      <c r="I66" s="8" t="inlineStr">
        <is>
          <t>185, 290, 194, 299</t>
        </is>
      </c>
      <c r="J66" s="8" t="inlineStr">
        <is>
          <t>court/clerk</t>
        </is>
      </c>
      <c r="K66" s="8" t="inlineStr"/>
      <c r="L66" s="8" t="inlineStr"/>
      <c r="M66" s="8" t="inlineStr"/>
      <c r="N66" s="8" t="inlineStr">
        <is>
          <t>Judge completes (mandatory findings).</t>
        </is>
      </c>
      <c r="O66" s="8" t="inlineStr"/>
    </row>
    <row r="67">
      <c r="A67" s="8" t="n">
        <v>66</v>
      </c>
      <c r="B67" s="8" t="n">
        <v>3</v>
      </c>
      <c r="C67" s="8" t="inlineStr">
        <is>
          <t>5 (court)</t>
        </is>
      </c>
      <c r="D67" s="8" t="inlineStr">
        <is>
          <t>Does not apply. The court decided that counseling was not appropriate.</t>
        </is>
      </c>
      <c r="E67" s="8" t="inlineStr">
        <is>
          <t>FL-351[0].Page3[0].List5Cont[0].Li1[0].List[0].Li2[0].item5e2_cb[2]</t>
        </is>
      </c>
      <c r="F67" s="8" t="inlineStr">
        <is>
          <t>checkbox</t>
        </is>
      </c>
      <c r="G67" s="8" t="inlineStr">
        <is>
          <t>21</t>
        </is>
      </c>
      <c r="H67" s="8" t="inlineStr"/>
      <c r="I67" s="8" t="inlineStr">
        <is>
          <t>267, 290, 276, 299</t>
        </is>
      </c>
      <c r="J67" s="8" t="inlineStr">
        <is>
          <t>court/clerk</t>
        </is>
      </c>
      <c r="K67" s="8" t="inlineStr"/>
      <c r="L67" s="8" t="inlineStr"/>
      <c r="M67" s="8" t="inlineStr"/>
      <c r="N67" s="8" t="inlineStr">
        <is>
          <t>Judge completes (mandatory findings).</t>
        </is>
      </c>
      <c r="O67" s="8" t="inlineStr"/>
    </row>
    <row r="68">
      <c r="A68" s="8" t="n">
        <v>67</v>
      </c>
      <c r="B68" s="8" t="n">
        <v>3</v>
      </c>
      <c r="C68" s="8" t="inlineStr">
        <is>
          <t>5 (court)</t>
        </is>
      </c>
      <c r="D68" s="8" t="inlineStr">
        <is>
          <t>(Explain, as needed):</t>
        </is>
      </c>
      <c r="E68" s="8" t="inlineStr">
        <is>
          <t>FL-351[0].Page3[0].List5Cont[0].Li1[0].List[0].Li2[0].tf1[0]</t>
        </is>
      </c>
      <c r="F68" s="8" t="inlineStr">
        <is>
          <t>text</t>
        </is>
      </c>
      <c r="G68" s="8" t="inlineStr"/>
      <c r="H68" s="8" t="inlineStr"/>
      <c r="I68" s="8" t="inlineStr">
        <is>
          <t>109, 314, 574, 423</t>
        </is>
      </c>
      <c r="J68" s="8" t="inlineStr">
        <is>
          <t>court/clerk</t>
        </is>
      </c>
      <c r="K68" s="8" t="inlineStr"/>
      <c r="L68" s="8" t="inlineStr"/>
      <c r="M68" s="8" t="inlineStr"/>
      <c r="N68" s="8" t="inlineStr">
        <is>
          <t>Judge completes (mandatory findings).</t>
        </is>
      </c>
      <c r="O68" s="8" t="inlineStr"/>
    </row>
    <row r="69">
      <c r="A69" s="8" t="n">
        <v>68</v>
      </c>
      <c r="B69" s="8" t="n">
        <v>3</v>
      </c>
      <c r="C69" s="8" t="inlineStr">
        <is>
          <t>5 (court)</t>
        </is>
      </c>
      <c r="D69" s="8" t="inlineStr">
        <is>
          <t>Yes</t>
        </is>
      </c>
      <c r="E69" s="8" t="inlineStr">
        <is>
          <t>FL-351[0].Page3[0].List5Cont[0].Li1[0].List[0].Li3[0].item5e3_cb[0]</t>
        </is>
      </c>
      <c r="F69" s="8" t="inlineStr">
        <is>
          <t>checkbox</t>
        </is>
      </c>
      <c r="G69" s="8" t="inlineStr">
        <is>
          <t>1</t>
        </is>
      </c>
      <c r="H69" s="8" t="inlineStr"/>
      <c r="I69" s="8" t="inlineStr">
        <is>
          <t>114, 442, 123, 451</t>
        </is>
      </c>
      <c r="J69" s="8" t="inlineStr">
        <is>
          <t>court/clerk</t>
        </is>
      </c>
      <c r="K69" s="8" t="inlineStr"/>
      <c r="L69" s="8" t="inlineStr"/>
      <c r="M69" s="8" t="inlineStr"/>
      <c r="N69" s="8" t="inlineStr">
        <is>
          <t>Judge completes (mandatory findings).</t>
        </is>
      </c>
      <c r="O69" s="8" t="inlineStr"/>
    </row>
    <row r="70">
      <c r="A70" s="8" t="n">
        <v>69</v>
      </c>
      <c r="B70" s="8" t="n">
        <v>3</v>
      </c>
      <c r="C70" s="8" t="inlineStr">
        <is>
          <t>5 (court)</t>
        </is>
      </c>
      <c r="D70" s="8" t="inlineStr">
        <is>
          <t>No</t>
        </is>
      </c>
      <c r="E70" s="8" t="inlineStr">
        <is>
          <t>FL-351[0].Page3[0].List5Cont[0].Li1[0].List[0].Li3[0].item5e3_cb[1]</t>
        </is>
      </c>
      <c r="F70" s="8" t="inlineStr">
        <is>
          <t>checkbox</t>
        </is>
      </c>
      <c r="G70" s="8" t="inlineStr">
        <is>
          <t>11</t>
        </is>
      </c>
      <c r="H70" s="8" t="inlineStr"/>
      <c r="I70" s="8" t="inlineStr">
        <is>
          <t>177, 442, 186, 451</t>
        </is>
      </c>
      <c r="J70" s="8" t="inlineStr">
        <is>
          <t>court/clerk</t>
        </is>
      </c>
      <c r="K70" s="8" t="inlineStr"/>
      <c r="L70" s="8" t="inlineStr"/>
      <c r="M70" s="8" t="inlineStr"/>
      <c r="N70" s="8" t="inlineStr">
        <is>
          <t>Judge completes (mandatory findings).</t>
        </is>
      </c>
      <c r="O70" s="8" t="inlineStr"/>
    </row>
    <row r="71">
      <c r="A71" s="8" t="n">
        <v>70</v>
      </c>
      <c r="B71" s="8" t="n">
        <v>3</v>
      </c>
      <c r="C71" s="8" t="inlineStr">
        <is>
          <t>5 (court)</t>
        </is>
      </c>
      <c r="D71" s="8" t="inlineStr">
        <is>
          <t>Does not apply. The court decided that a parenting class was not appropriate.</t>
        </is>
      </c>
      <c r="E71" s="8" t="inlineStr">
        <is>
          <t>FL-351[0].Page3[0].List5Cont[0].Li1[0].List[0].Li3[0].item5e3_cb[2]</t>
        </is>
      </c>
      <c r="F71" s="8" t="inlineStr">
        <is>
          <t>checkbox</t>
        </is>
      </c>
      <c r="G71" s="8" t="inlineStr">
        <is>
          <t>15</t>
        </is>
      </c>
      <c r="H71" s="8" t="inlineStr"/>
      <c r="I71" s="8" t="inlineStr">
        <is>
          <t>238, 442, 247, 451</t>
        </is>
      </c>
      <c r="J71" s="8" t="inlineStr">
        <is>
          <t>court/clerk</t>
        </is>
      </c>
      <c r="K71" s="8" t="inlineStr"/>
      <c r="L71" s="8" t="inlineStr"/>
      <c r="M71" s="8" t="inlineStr"/>
      <c r="N71" s="8" t="inlineStr">
        <is>
          <t>Judge completes (mandatory findings).</t>
        </is>
      </c>
      <c r="O71" s="8" t="inlineStr"/>
    </row>
    <row r="72">
      <c r="A72" s="8" t="n">
        <v>71</v>
      </c>
      <c r="B72" s="8" t="n">
        <v>3</v>
      </c>
      <c r="C72" s="8" t="inlineStr">
        <is>
          <t>5 (court)</t>
        </is>
      </c>
      <c r="D72" s="8" t="inlineStr">
        <is>
          <t>(Explain, as needed):</t>
        </is>
      </c>
      <c r="E72" s="8" t="inlineStr">
        <is>
          <t>FL-351[0].Page3[0].List5Cont[0].Li1[0].List[0].Li3[0].tf1[0]</t>
        </is>
      </c>
      <c r="F72" s="8" t="inlineStr">
        <is>
          <t>text</t>
        </is>
      </c>
      <c r="G72" s="8" t="inlineStr"/>
      <c r="H72" s="8" t="inlineStr"/>
      <c r="I72" s="8" t="inlineStr">
        <is>
          <t>109, 468, 574, 556</t>
        </is>
      </c>
      <c r="J72" s="8" t="inlineStr">
        <is>
          <t>court/clerk</t>
        </is>
      </c>
      <c r="K72" s="8" t="inlineStr"/>
      <c r="L72" s="8" t="inlineStr"/>
      <c r="M72" s="8" t="inlineStr"/>
      <c r="N72" s="8" t="inlineStr">
        <is>
          <t>Judge completes (mandatory findings).</t>
        </is>
      </c>
      <c r="O72" s="8" t="inlineStr"/>
    </row>
    <row r="73">
      <c r="A73" s="8" t="n">
        <v>72</v>
      </c>
      <c r="B73" s="8" t="n">
        <v>3</v>
      </c>
      <c r="C73" s="8" t="inlineStr">
        <is>
          <t>5 (court)</t>
        </is>
      </c>
      <c r="D73" s="8" t="inlineStr">
        <is>
          <t>Yes</t>
        </is>
      </c>
      <c r="E73" s="8" t="inlineStr">
        <is>
          <t>FL-351[0].Page3[0].List5Cont[0].Li1[0].List[0].Li4[0].item5e4_cb[0]</t>
        </is>
      </c>
      <c r="F73" s="8" t="inlineStr">
        <is>
          <t>checkbox</t>
        </is>
      </c>
      <c r="G73" s="8" t="inlineStr">
        <is>
          <t>1</t>
        </is>
      </c>
      <c r="H73" s="8" t="inlineStr"/>
      <c r="I73" s="8" t="inlineStr">
        <is>
          <t>114, 578, 123, 587</t>
        </is>
      </c>
      <c r="J73" s="8" t="inlineStr">
        <is>
          <t>court/clerk</t>
        </is>
      </c>
      <c r="K73" s="8" t="inlineStr"/>
      <c r="L73" s="8" t="inlineStr"/>
      <c r="M73" s="8" t="inlineStr"/>
      <c r="N73" s="8" t="inlineStr">
        <is>
          <t>Judge completes (mandatory findings).</t>
        </is>
      </c>
      <c r="O73" s="8" t="inlineStr"/>
    </row>
    <row r="74">
      <c r="A74" s="8" t="n">
        <v>73</v>
      </c>
      <c r="B74" s="8" t="n">
        <v>3</v>
      </c>
      <c r="C74" s="8" t="inlineStr">
        <is>
          <t>5 (court)</t>
        </is>
      </c>
      <c r="D74" s="8" t="inlineStr">
        <is>
          <t>No</t>
        </is>
      </c>
      <c r="E74" s="8" t="inlineStr">
        <is>
          <t>FL-351[0].Page3[0].List5Cont[0].Li1[0].List[0].Li4[0].item5e4_cb[1]</t>
        </is>
      </c>
      <c r="F74" s="8" t="inlineStr">
        <is>
          <t>checkbox</t>
        </is>
      </c>
      <c r="G74" s="8" t="inlineStr">
        <is>
          <t>11</t>
        </is>
      </c>
      <c r="H74" s="8" t="inlineStr"/>
      <c r="I74" s="8" t="inlineStr">
        <is>
          <t>185, 578, 194, 587</t>
        </is>
      </c>
      <c r="J74" s="8" t="inlineStr">
        <is>
          <t>court/clerk</t>
        </is>
      </c>
      <c r="K74" s="8" t="inlineStr"/>
      <c r="L74" s="8" t="inlineStr"/>
      <c r="M74" s="8" t="inlineStr"/>
      <c r="N74" s="8" t="inlineStr">
        <is>
          <t>Judge completes (mandatory findings).</t>
        </is>
      </c>
      <c r="O74" s="8" t="inlineStr"/>
    </row>
    <row r="75">
      <c r="A75" s="8" t="n">
        <v>74</v>
      </c>
      <c r="B75" s="8" t="n">
        <v>3</v>
      </c>
      <c r="C75" s="8" t="inlineStr">
        <is>
          <t>5 (court)</t>
        </is>
      </c>
      <c r="D75" s="8" t="inlineStr">
        <is>
          <t>Does not apply. The parent is not on probation or parole.</t>
        </is>
      </c>
      <c r="E75" s="8" t="inlineStr">
        <is>
          <t>FL-351[0].Page3[0].List5Cont[0].Li1[0].List[0].Li4[0].item5e4_cb[2]</t>
        </is>
      </c>
      <c r="F75" s="8" t="inlineStr">
        <is>
          <t>checkbox</t>
        </is>
      </c>
      <c r="G75" s="8" t="inlineStr">
        <is>
          <t>12</t>
        </is>
      </c>
      <c r="H75" s="8" t="inlineStr"/>
      <c r="I75" s="8" t="inlineStr">
        <is>
          <t>267, 578, 276, 587</t>
        </is>
      </c>
      <c r="J75" s="8" t="inlineStr">
        <is>
          <t>court/clerk</t>
        </is>
      </c>
      <c r="K75" s="8" t="inlineStr"/>
      <c r="L75" s="8" t="inlineStr"/>
      <c r="M75" s="8" t="inlineStr"/>
      <c r="N75" s="8" t="inlineStr">
        <is>
          <t>Judge completes (mandatory findings).</t>
        </is>
      </c>
      <c r="O75" s="8" t="inlineStr"/>
    </row>
    <row r="76">
      <c r="A76" s="8" t="n">
        <v>75</v>
      </c>
      <c r="B76" s="8" t="n">
        <v>3</v>
      </c>
      <c r="C76" s="8" t="inlineStr">
        <is>
          <t>5 (court)</t>
        </is>
      </c>
      <c r="D76" s="8" t="inlineStr">
        <is>
          <t>(Explain, as needed):</t>
        </is>
      </c>
      <c r="E76" s="8" t="inlineStr">
        <is>
          <t>FL-351[0].Page3[0].List5Cont[0].Li1[0].List[0].Li4[0].tf1[0]</t>
        </is>
      </c>
      <c r="F76" s="8" t="inlineStr">
        <is>
          <t>text</t>
        </is>
      </c>
      <c r="G76" s="8" t="inlineStr"/>
      <c r="H76" s="8" t="inlineStr"/>
      <c r="I76" s="8" t="inlineStr">
        <is>
          <t>109, 603, 574, 725</t>
        </is>
      </c>
      <c r="J76" s="8" t="inlineStr">
        <is>
          <t>court/clerk</t>
        </is>
      </c>
      <c r="K76" s="8" t="inlineStr"/>
      <c r="L76" s="8" t="inlineStr"/>
      <c r="M76" s="8" t="inlineStr"/>
      <c r="N76" s="8" t="inlineStr">
        <is>
          <t>Judge completes (mandatory findings).</t>
        </is>
      </c>
      <c r="O76" s="8" t="inlineStr"/>
    </row>
    <row r="77">
      <c r="A77" s="5" t="n">
        <v>76</v>
      </c>
      <c r="B77" s="5" t="n">
        <v>4</v>
      </c>
      <c r="C77" s="5" t="inlineStr">
        <is>
          <t>Caption</t>
        </is>
      </c>
      <c r="D77" s="5" t="inlineStr">
        <is>
          <t>CASE NUMBER</t>
        </is>
      </c>
      <c r="E77" s="5" t="inlineStr">
        <is>
          <t>FL-351[0].Page4[0].PxCaption[0].CaseNumber[0].CaseNumber_ft[0]</t>
        </is>
      </c>
      <c r="F77" s="5" t="inlineStr">
        <is>
          <t>text</t>
        </is>
      </c>
      <c r="G77" s="5" t="inlineStr"/>
      <c r="H77" s="5" t="inlineStr"/>
      <c r="I77" s="5" t="inlineStr">
        <is>
          <t>399, 64, 571, 76</t>
        </is>
      </c>
      <c r="J77" s="5" t="inlineStr">
        <is>
          <t>question</t>
        </is>
      </c>
      <c r="K77" s="5" t="inlineStr">
        <is>
          <t>X0</t>
        </is>
      </c>
      <c r="L77" s="5">
        <f> X0</f>
        <v/>
      </c>
      <c r="M77" s="5" t="inlineStr">
        <is>
          <t>stage 3</t>
        </is>
      </c>
      <c r="N77" s="5" t="inlineStr"/>
      <c r="O77" s="5" t="inlineStr"/>
    </row>
    <row r="78">
      <c r="A78" s="5" t="n">
        <v>77</v>
      </c>
      <c r="B78" s="5" t="n">
        <v>4</v>
      </c>
      <c r="C78" s="5" t="inlineStr">
        <is>
          <t>Caption</t>
        </is>
      </c>
      <c r="D78" s="5" t="inlineStr">
        <is>
          <t>PETITIONER</t>
        </is>
      </c>
      <c r="E78" s="5" t="inlineStr">
        <is>
          <t>FL-351[0].Page4[0].PxCaption[0].TitlePartyName[0].Petitioner_ft[0]</t>
        </is>
      </c>
      <c r="F78" s="5" t="inlineStr">
        <is>
          <t>text</t>
        </is>
      </c>
      <c r="G78" s="5" t="inlineStr"/>
      <c r="H78" s="5" t="inlineStr"/>
      <c r="I78" s="5" t="inlineStr">
        <is>
          <t>132, 49, 391, 59</t>
        </is>
      </c>
      <c r="J78" s="5" t="inlineStr">
        <is>
          <t>question</t>
        </is>
      </c>
      <c r="K78" s="5" t="inlineStr">
        <is>
          <t>P1</t>
        </is>
      </c>
      <c r="L78" s="5">
        <f> P1</f>
        <v/>
      </c>
      <c r="M78" s="5" t="inlineStr"/>
      <c r="N78" s="5" t="inlineStr"/>
      <c r="O78" s="5" t="inlineStr"/>
    </row>
    <row r="79">
      <c r="A79" s="5" t="n">
        <v>78</v>
      </c>
      <c r="B79" s="5" t="n">
        <v>4</v>
      </c>
      <c r="C79" s="5" t="inlineStr">
        <is>
          <t>Caption</t>
        </is>
      </c>
      <c r="D79" s="5" t="inlineStr">
        <is>
          <t>RESPONDENT</t>
        </is>
      </c>
      <c r="E79" s="5" t="inlineStr">
        <is>
          <t>FL-351[0].Page4[0].PxCaption[0].TitlePartyName[0].Respondent_ft[0]</t>
        </is>
      </c>
      <c r="F79" s="5" t="inlineStr">
        <is>
          <t>text</t>
        </is>
      </c>
      <c r="G79" s="5" t="inlineStr"/>
      <c r="H79" s="5" t="inlineStr"/>
      <c r="I79" s="5" t="inlineStr">
        <is>
          <t>132, 60, 391, 70</t>
        </is>
      </c>
      <c r="J79" s="5" t="inlineStr">
        <is>
          <t>question</t>
        </is>
      </c>
      <c r="K79" s="5" t="inlineStr">
        <is>
          <t>R1</t>
        </is>
      </c>
      <c r="L79" s="5">
        <f> R1</f>
        <v/>
      </c>
      <c r="M79" s="5" t="inlineStr"/>
      <c r="N79" s="5" t="inlineStr"/>
      <c r="O79" s="5" t="inlineStr"/>
    </row>
    <row r="80">
      <c r="A80" s="5" t="n">
        <v>79</v>
      </c>
      <c r="B80" s="5" t="n">
        <v>4</v>
      </c>
      <c r="C80" s="5" t="inlineStr">
        <is>
          <t>Caption</t>
        </is>
      </c>
      <c r="D80" s="5" t="inlineStr">
        <is>
          <t>OTHER PARENT/PARTY</t>
        </is>
      </c>
      <c r="E80" s="5" t="inlineStr">
        <is>
          <t>FL-351[0].Page4[0].PxCaption[0].TitlePartyName[0].OtherParentParty_ft[0]</t>
        </is>
      </c>
      <c r="F80" s="5" t="inlineStr">
        <is>
          <t>text</t>
        </is>
      </c>
      <c r="G80" s="5" t="inlineStr"/>
      <c r="H80" s="5" t="inlineStr"/>
      <c r="I80" s="5" t="inlineStr">
        <is>
          <t>132, 72, 391, 82</t>
        </is>
      </c>
      <c r="J80" s="5" t="inlineStr">
        <is>
          <t>question</t>
        </is>
      </c>
      <c r="K80" s="5" t="inlineStr">
        <is>
          <t>PR13</t>
        </is>
      </c>
      <c r="L80" s="5">
        <f> PR13.name</f>
        <v/>
      </c>
      <c r="M80" s="5" t="inlineStr">
        <is>
          <t>PR13 given</t>
        </is>
      </c>
      <c r="N80" s="5" t="inlineStr"/>
      <c r="O80" s="5" t="inlineStr"/>
    </row>
    <row r="81">
      <c r="A81" s="8" t="n">
        <v>80</v>
      </c>
      <c r="B81" s="8" t="n">
        <v>4</v>
      </c>
      <c r="C81" s="8" t="inlineStr">
        <is>
          <t>5 (court)</t>
        </is>
      </c>
      <c r="D81" s="8" t="inlineStr">
        <is>
          <t>Yes</t>
        </is>
      </c>
      <c r="E81" s="8" t="inlineStr">
        <is>
          <t>FL-351[0].Page4[0].List5cont[0].Li1[0].List[0].Li1[0].item5e5[0]</t>
        </is>
      </c>
      <c r="F81" s="8" t="inlineStr">
        <is>
          <t>checkbox</t>
        </is>
      </c>
      <c r="G81" s="8" t="inlineStr">
        <is>
          <t>1</t>
        </is>
      </c>
      <c r="H81" s="8" t="inlineStr"/>
      <c r="I81" s="8" t="inlineStr">
        <is>
          <t>105, 116, 114, 125</t>
        </is>
      </c>
      <c r="J81" s="8" t="inlineStr">
        <is>
          <t>court/clerk</t>
        </is>
      </c>
      <c r="K81" s="8" t="inlineStr"/>
      <c r="L81" s="8" t="inlineStr"/>
      <c r="M81" s="8" t="inlineStr"/>
      <c r="N81" s="8" t="inlineStr">
        <is>
          <t>Judge completes (mandatory findings).</t>
        </is>
      </c>
      <c r="O81" s="8" t="inlineStr"/>
    </row>
    <row r="82">
      <c r="A82" s="8" t="n">
        <v>81</v>
      </c>
      <c r="B82" s="8" t="n">
        <v>4</v>
      </c>
      <c r="C82" s="8" t="inlineStr">
        <is>
          <t>5 (court)</t>
        </is>
      </c>
      <c r="D82" s="8" t="inlineStr">
        <is>
          <t>No</t>
        </is>
      </c>
      <c r="E82" s="8" t="inlineStr">
        <is>
          <t>FL-351[0].Page4[0].List5cont[0].Li1[0].List[0].Li1[0].item5e5[1]</t>
        </is>
      </c>
      <c r="F82" s="8" t="inlineStr">
        <is>
          <t>checkbox</t>
        </is>
      </c>
      <c r="G82" s="8" t="inlineStr">
        <is>
          <t>11</t>
        </is>
      </c>
      <c r="H82" s="8" t="inlineStr"/>
      <c r="I82" s="8" t="inlineStr">
        <is>
          <t>176, 116, 185, 125</t>
        </is>
      </c>
      <c r="J82" s="8" t="inlineStr">
        <is>
          <t>court/clerk</t>
        </is>
      </c>
      <c r="K82" s="8" t="inlineStr"/>
      <c r="L82" s="8" t="inlineStr"/>
      <c r="M82" s="8" t="inlineStr"/>
      <c r="N82" s="8" t="inlineStr">
        <is>
          <t>Judge completes (mandatory findings).</t>
        </is>
      </c>
      <c r="O82" s="8" t="inlineStr"/>
    </row>
    <row r="83">
      <c r="A83" s="8" t="n">
        <v>82</v>
      </c>
      <c r="B83" s="8" t="n">
        <v>4</v>
      </c>
      <c r="C83" s="8" t="inlineStr">
        <is>
          <t>5 (court)</t>
        </is>
      </c>
      <c r="D83" s="8" t="inlineStr">
        <is>
          <t>Does not apply. The parent who committed abuse has not been restrained by a protective order or restraining order.</t>
        </is>
      </c>
      <c r="E83" s="8" t="inlineStr">
        <is>
          <t>FL-351[0].Page4[0].List5cont[0].Li1[0].List[0].Li1[0].item5e5[2]</t>
        </is>
      </c>
      <c r="F83" s="8" t="inlineStr">
        <is>
          <t>checkbox</t>
        </is>
      </c>
      <c r="G83" s="8" t="inlineStr">
        <is>
          <t>15</t>
        </is>
      </c>
      <c r="H83" s="8" t="inlineStr"/>
      <c r="I83" s="8" t="inlineStr">
        <is>
          <t>242, 116, 251, 125</t>
        </is>
      </c>
      <c r="J83" s="8" t="inlineStr">
        <is>
          <t>court/clerk</t>
        </is>
      </c>
      <c r="K83" s="8" t="inlineStr"/>
      <c r="L83" s="8" t="inlineStr"/>
      <c r="M83" s="8" t="inlineStr"/>
      <c r="N83" s="8" t="inlineStr">
        <is>
          <t>Judge completes (mandatory findings).</t>
        </is>
      </c>
      <c r="O83" s="8" t="inlineStr"/>
    </row>
    <row r="84">
      <c r="A84" s="8" t="n">
        <v>83</v>
      </c>
      <c r="B84" s="8" t="n">
        <v>4</v>
      </c>
      <c r="C84" s="8" t="inlineStr">
        <is>
          <t>5 (court)</t>
        </is>
      </c>
      <c r="D84" s="8" t="inlineStr">
        <is>
          <t>(Explain, as needed):</t>
        </is>
      </c>
      <c r="E84" s="8" t="inlineStr">
        <is>
          <t>FL-351[0].Page4[0].List5cont[0].Li1[0].List[0].Li1[0].tf1[0]</t>
        </is>
      </c>
      <c r="F84" s="8" t="inlineStr">
        <is>
          <t>text</t>
        </is>
      </c>
      <c r="G84" s="8" t="inlineStr"/>
      <c r="H84" s="8" t="inlineStr"/>
      <c r="I84" s="8" t="inlineStr">
        <is>
          <t>99, 149, 574, 250</t>
        </is>
      </c>
      <c r="J84" s="8" t="inlineStr">
        <is>
          <t>court/clerk</t>
        </is>
      </c>
      <c r="K84" s="8" t="inlineStr"/>
      <c r="L84" s="8" t="inlineStr"/>
      <c r="M84" s="8" t="inlineStr"/>
      <c r="N84" s="8" t="inlineStr">
        <is>
          <t>Judge completes (mandatory findings).</t>
        </is>
      </c>
      <c r="O84" s="8" t="inlineStr"/>
    </row>
    <row r="85">
      <c r="A85" s="8" t="n">
        <v>84</v>
      </c>
      <c r="B85" s="8" t="n">
        <v>4</v>
      </c>
      <c r="C85" s="8" t="inlineStr">
        <is>
          <t>5 (court)</t>
        </is>
      </c>
      <c r="D85" s="8" t="inlineStr">
        <is>
          <t>Yes</t>
        </is>
      </c>
      <c r="E85" s="8" t="inlineStr">
        <is>
          <t>FL-351[0].Page4[0].List5cont[0].Li1[0].List[0].Li2[0].item5e6[0]</t>
        </is>
      </c>
      <c r="F85" s="8" t="inlineStr">
        <is>
          <t>checkbox</t>
        </is>
      </c>
      <c r="G85" s="8" t="inlineStr">
        <is>
          <t>1</t>
        </is>
      </c>
      <c r="H85" s="8" t="inlineStr"/>
      <c r="I85" s="8" t="inlineStr">
        <is>
          <t>103, 269, 112, 278</t>
        </is>
      </c>
      <c r="J85" s="8" t="inlineStr">
        <is>
          <t>court/clerk</t>
        </is>
      </c>
      <c r="K85" s="8" t="inlineStr"/>
      <c r="L85" s="8" t="inlineStr"/>
      <c r="M85" s="8" t="inlineStr"/>
      <c r="N85" s="8" t="inlineStr">
        <is>
          <t>Judge completes (mandatory findings).</t>
        </is>
      </c>
      <c r="O85" s="8" t="inlineStr"/>
    </row>
    <row r="86">
      <c r="A86" s="8" t="n">
        <v>85</v>
      </c>
      <c r="B86" s="8" t="n">
        <v>4</v>
      </c>
      <c r="C86" s="8" t="inlineStr">
        <is>
          <t>5 (court)</t>
        </is>
      </c>
      <c r="D86" s="8" t="inlineStr">
        <is>
          <t>No</t>
        </is>
      </c>
      <c r="E86" s="8" t="inlineStr">
        <is>
          <t>FL-351[0].Page4[0].List5cont[0].Li1[0].List[0].Li2[0].item5e6[1]</t>
        </is>
      </c>
      <c r="F86" s="8" t="inlineStr">
        <is>
          <t>checkbox</t>
        </is>
      </c>
      <c r="G86" s="8" t="inlineStr">
        <is>
          <t>11</t>
        </is>
      </c>
      <c r="H86" s="8" t="inlineStr"/>
      <c r="I86" s="8" t="inlineStr">
        <is>
          <t>174, 269, 183, 278</t>
        </is>
      </c>
      <c r="J86" s="8" t="inlineStr">
        <is>
          <t>court/clerk</t>
        </is>
      </c>
      <c r="K86" s="8" t="inlineStr"/>
      <c r="L86" s="8" t="inlineStr"/>
      <c r="M86" s="8" t="inlineStr"/>
      <c r="N86" s="8" t="inlineStr">
        <is>
          <t>Judge completes (mandatory findings).</t>
        </is>
      </c>
      <c r="O86" s="8" t="inlineStr"/>
    </row>
    <row r="87">
      <c r="A87" s="8" t="n">
        <v>86</v>
      </c>
      <c r="B87" s="8" t="n">
        <v>4</v>
      </c>
      <c r="C87" s="8" t="inlineStr">
        <is>
          <t>5 (court)</t>
        </is>
      </c>
      <c r="D87" s="8" t="inlineStr">
        <is>
          <t>(Explain, as needed):</t>
        </is>
      </c>
      <c r="E87" s="8" t="inlineStr">
        <is>
          <t>FL-351[0].Page4[0].List5cont[0].Li1[0].List[0].Li2[0].tf1[0]</t>
        </is>
      </c>
      <c r="F87" s="8" t="inlineStr">
        <is>
          <t>text</t>
        </is>
      </c>
      <c r="G87" s="8" t="inlineStr"/>
      <c r="H87" s="8" t="inlineStr"/>
      <c r="I87" s="8" t="inlineStr">
        <is>
          <t>99, 293, 574, 390</t>
        </is>
      </c>
      <c r="J87" s="8" t="inlineStr">
        <is>
          <t>court/clerk</t>
        </is>
      </c>
      <c r="K87" s="8" t="inlineStr"/>
      <c r="L87" s="8" t="inlineStr"/>
      <c r="M87" s="8" t="inlineStr"/>
      <c r="N87" s="8" t="inlineStr">
        <is>
          <t>Judge completes (mandatory findings).</t>
        </is>
      </c>
      <c r="O87" s="8" t="inlineStr"/>
    </row>
    <row r="88">
      <c r="A88" s="8" t="n">
        <v>87</v>
      </c>
      <c r="B88" s="8" t="n">
        <v>4</v>
      </c>
      <c r="C88" s="8" t="inlineStr">
        <is>
          <t>5 (court)</t>
        </is>
      </c>
      <c r="D88" s="8" t="inlineStr">
        <is>
          <t>Yes</t>
        </is>
      </c>
      <c r="E88" s="8" t="inlineStr">
        <is>
          <t>FL-351[0].Page4[0].List5cont[0].Li1[0].List[0].Li3[0].item5e7[0]</t>
        </is>
      </c>
      <c r="F88" s="8" t="inlineStr">
        <is>
          <t>checkbox</t>
        </is>
      </c>
      <c r="G88" s="8" t="inlineStr">
        <is>
          <t>1</t>
        </is>
      </c>
      <c r="H88" s="8" t="inlineStr"/>
      <c r="I88" s="8" t="inlineStr">
        <is>
          <t>103, 426, 112, 435</t>
        </is>
      </c>
      <c r="J88" s="8" t="inlineStr">
        <is>
          <t>court/clerk</t>
        </is>
      </c>
      <c r="K88" s="8" t="inlineStr"/>
      <c r="L88" s="8" t="inlineStr"/>
      <c r="M88" s="8" t="inlineStr"/>
      <c r="N88" s="8" t="inlineStr">
        <is>
          <t>Judge completes (mandatory findings).</t>
        </is>
      </c>
      <c r="O88" s="8" t="inlineStr"/>
    </row>
    <row r="89">
      <c r="A89" s="8" t="n">
        <v>88</v>
      </c>
      <c r="B89" s="8" t="n">
        <v>4</v>
      </c>
      <c r="C89" s="8" t="inlineStr">
        <is>
          <t>5 (court)</t>
        </is>
      </c>
      <c r="D89" s="8" t="inlineStr">
        <is>
          <t>No</t>
        </is>
      </c>
      <c r="E89" s="8" t="inlineStr">
        <is>
          <t>FL-351[0].Page4[0].List5cont[0].Li1[0].List[0].Li3[0].item5e7[1]</t>
        </is>
      </c>
      <c r="F89" s="8" t="inlineStr">
        <is>
          <t>checkbox</t>
        </is>
      </c>
      <c r="G89" s="8" t="inlineStr">
        <is>
          <t>11</t>
        </is>
      </c>
      <c r="H89" s="8" t="inlineStr"/>
      <c r="I89" s="8" t="inlineStr">
        <is>
          <t>174, 426, 183, 435</t>
        </is>
      </c>
      <c r="J89" s="8" t="inlineStr">
        <is>
          <t>court/clerk</t>
        </is>
      </c>
      <c r="K89" s="8" t="inlineStr"/>
      <c r="L89" s="8" t="inlineStr"/>
      <c r="M89" s="8" t="inlineStr"/>
      <c r="N89" s="8" t="inlineStr">
        <is>
          <t>Judge completes (mandatory findings).</t>
        </is>
      </c>
      <c r="O89" s="8" t="inlineStr"/>
    </row>
    <row r="90">
      <c r="A90" s="8" t="n">
        <v>89</v>
      </c>
      <c r="B90" s="8" t="n">
        <v>4</v>
      </c>
      <c r="C90" s="8" t="inlineStr">
        <is>
          <t>5 (court)</t>
        </is>
      </c>
      <c r="D90" s="8" t="inlineStr">
        <is>
          <t>Does not apply.</t>
        </is>
      </c>
      <c r="E90" s="8" t="inlineStr">
        <is>
          <t>FL-351[0].Page4[0].List5cont[0].Li1[0].List[0].Li3[0].item5e7[2]</t>
        </is>
      </c>
      <c r="F90" s="8" t="inlineStr">
        <is>
          <t>checkbox</t>
        </is>
      </c>
      <c r="G90" s="8" t="inlineStr">
        <is>
          <t>15</t>
        </is>
      </c>
      <c r="H90" s="8" t="inlineStr"/>
      <c r="I90" s="8" t="inlineStr">
        <is>
          <t>241, 427, 250, 436</t>
        </is>
      </c>
      <c r="J90" s="8" t="inlineStr">
        <is>
          <t>court/clerk</t>
        </is>
      </c>
      <c r="K90" s="8" t="inlineStr"/>
      <c r="L90" s="8" t="inlineStr"/>
      <c r="M90" s="8" t="inlineStr"/>
      <c r="N90" s="8" t="inlineStr">
        <is>
          <t>Judge completes (mandatory findings).</t>
        </is>
      </c>
      <c r="O90" s="8" t="inlineStr"/>
    </row>
    <row r="91">
      <c r="A91" s="8" t="n">
        <v>90</v>
      </c>
      <c r="B91" s="8" t="n">
        <v>4</v>
      </c>
      <c r="C91" s="8" t="inlineStr">
        <is>
          <t>5 (court)</t>
        </is>
      </c>
      <c r="D91" s="8" t="inlineStr">
        <is>
          <t>(Explain, as needed):</t>
        </is>
      </c>
      <c r="E91" s="8" t="inlineStr">
        <is>
          <t>FL-351[0].Page4[0].List5cont[0].Li1[0].List[0].Li3[0].tf1[0]</t>
        </is>
      </c>
      <c r="F91" s="8" t="inlineStr">
        <is>
          <t>text</t>
        </is>
      </c>
      <c r="G91" s="8" t="inlineStr"/>
      <c r="H91" s="8" t="inlineStr"/>
      <c r="I91" s="8" t="inlineStr">
        <is>
          <t>99, 452, 574, 570</t>
        </is>
      </c>
      <c r="J91" s="8" t="inlineStr">
        <is>
          <t>court/clerk</t>
        </is>
      </c>
      <c r="K91" s="8" t="inlineStr"/>
      <c r="L91" s="8" t="inlineStr"/>
      <c r="M91" s="8" t="inlineStr"/>
      <c r="N91" s="8" t="inlineStr">
        <is>
          <t>Judge completes (mandatory findings).</t>
        </is>
      </c>
      <c r="O91" s="8" t="inlineStr"/>
    </row>
    <row r="92">
      <c r="A92" s="8" t="n">
        <v>91</v>
      </c>
      <c r="B92" s="8" t="n">
        <v>4</v>
      </c>
      <c r="C92" s="8" t="inlineStr">
        <is>
          <t>5 (court)</t>
        </is>
      </c>
      <c r="D92" s="8" t="inlineStr">
        <is>
          <t>Additional reasons, if any:</t>
        </is>
      </c>
      <c r="E92" s="8" t="inlineStr">
        <is>
          <t>FL-351[0].Page4[0].List5cont[0].Li1[0].List[0].Li4[0].tf1[0]</t>
        </is>
      </c>
      <c r="F92" s="8" t="inlineStr">
        <is>
          <t>text</t>
        </is>
      </c>
      <c r="G92" s="8" t="inlineStr"/>
      <c r="H92" s="8" t="inlineStr"/>
      <c r="I92" s="8" t="inlineStr">
        <is>
          <t>99, 588, 574, 725</t>
        </is>
      </c>
      <c r="J92" s="8" t="inlineStr">
        <is>
          <t>court/clerk</t>
        </is>
      </c>
      <c r="K92" s="8" t="inlineStr"/>
      <c r="L92" s="8" t="inlineStr"/>
      <c r="M92" s="8" t="inlineStr"/>
      <c r="N92" s="8" t="inlineStr">
        <is>
          <t>Judge completes (mandatory findings).</t>
        </is>
      </c>
      <c r="O92" s="8" t="inlineStr"/>
    </row>
    <row r="93">
      <c r="A93" s="5" t="n">
        <v>92</v>
      </c>
      <c r="B93" s="5" t="n">
        <v>5</v>
      </c>
      <c r="C93" s="5" t="inlineStr">
        <is>
          <t>Caption</t>
        </is>
      </c>
      <c r="D93" s="5" t="inlineStr">
        <is>
          <t>CASE NUMBER</t>
        </is>
      </c>
      <c r="E93" s="5" t="inlineStr">
        <is>
          <t>FL-351[0].Page5[0].PxCaption[0].CaseNumber[0].CaseNumber_ft[0]</t>
        </is>
      </c>
      <c r="F93" s="5" t="inlineStr">
        <is>
          <t>text</t>
        </is>
      </c>
      <c r="G93" s="5" t="inlineStr"/>
      <c r="H93" s="5" t="inlineStr"/>
      <c r="I93" s="5" t="inlineStr">
        <is>
          <t>399, 66, 572, 79</t>
        </is>
      </c>
      <c r="J93" s="5" t="inlineStr">
        <is>
          <t>question</t>
        </is>
      </c>
      <c r="K93" s="5" t="inlineStr">
        <is>
          <t>X0</t>
        </is>
      </c>
      <c r="L93" s="5">
        <f> X0</f>
        <v/>
      </c>
      <c r="M93" s="5" t="inlineStr">
        <is>
          <t>stage 3</t>
        </is>
      </c>
      <c r="N93" s="5" t="inlineStr"/>
      <c r="O93" s="5" t="inlineStr"/>
    </row>
    <row r="94">
      <c r="A94" s="5" t="n">
        <v>93</v>
      </c>
      <c r="B94" s="5" t="n">
        <v>5</v>
      </c>
      <c r="C94" s="5" t="inlineStr">
        <is>
          <t>Caption</t>
        </is>
      </c>
      <c r="D94" s="5" t="inlineStr">
        <is>
          <t>PETITIONER</t>
        </is>
      </c>
      <c r="E94" s="5" t="inlineStr">
        <is>
          <t>FL-351[0].Page5[0].PxCaption[0].TitlePartyName[0].Petitioner_ft[0]</t>
        </is>
      </c>
      <c r="F94" s="5" t="inlineStr">
        <is>
          <t>text</t>
        </is>
      </c>
      <c r="G94" s="5" t="inlineStr"/>
      <c r="H94" s="5" t="inlineStr"/>
      <c r="I94" s="5" t="inlineStr">
        <is>
          <t>132, 52, 391, 62</t>
        </is>
      </c>
      <c r="J94" s="5" t="inlineStr">
        <is>
          <t>question</t>
        </is>
      </c>
      <c r="K94" s="5" t="inlineStr">
        <is>
          <t>P1</t>
        </is>
      </c>
      <c r="L94" s="5">
        <f> P1</f>
        <v/>
      </c>
      <c r="M94" s="5" t="inlineStr"/>
      <c r="N94" s="5" t="inlineStr"/>
      <c r="O94" s="5" t="inlineStr"/>
    </row>
    <row r="95">
      <c r="A95" s="5" t="n">
        <v>94</v>
      </c>
      <c r="B95" s="5" t="n">
        <v>5</v>
      </c>
      <c r="C95" s="5" t="inlineStr">
        <is>
          <t>Caption</t>
        </is>
      </c>
      <c r="D95" s="5" t="inlineStr">
        <is>
          <t>RESPONDENT</t>
        </is>
      </c>
      <c r="E95" s="5" t="inlineStr">
        <is>
          <t>FL-351[0].Page5[0].PxCaption[0].TitlePartyName[0].Respondent_ft[0]</t>
        </is>
      </c>
      <c r="F95" s="5" t="inlineStr">
        <is>
          <t>text</t>
        </is>
      </c>
      <c r="G95" s="5" t="inlineStr"/>
      <c r="H95" s="5" t="inlineStr"/>
      <c r="I95" s="5" t="inlineStr">
        <is>
          <t>132, 63, 391, 73</t>
        </is>
      </c>
      <c r="J95" s="5" t="inlineStr">
        <is>
          <t>question</t>
        </is>
      </c>
      <c r="K95" s="5" t="inlineStr">
        <is>
          <t>R1</t>
        </is>
      </c>
      <c r="L95" s="5">
        <f> R1</f>
        <v/>
      </c>
      <c r="M95" s="5" t="inlineStr"/>
      <c r="N95" s="5" t="inlineStr"/>
      <c r="O95" s="5" t="inlineStr"/>
    </row>
    <row r="96">
      <c r="A96" s="5" t="n">
        <v>95</v>
      </c>
      <c r="B96" s="5" t="n">
        <v>5</v>
      </c>
      <c r="C96" s="5" t="inlineStr">
        <is>
          <t>Caption</t>
        </is>
      </c>
      <c r="D96" s="5" t="inlineStr">
        <is>
          <t>OTHER PARENT/PARTY</t>
        </is>
      </c>
      <c r="E96" s="5" t="inlineStr">
        <is>
          <t>FL-351[0].Page5[0].PxCaption[0].TitlePartyName[0].OtherParentParty_ft[0]</t>
        </is>
      </c>
      <c r="F96" s="5" t="inlineStr">
        <is>
          <t>text</t>
        </is>
      </c>
      <c r="G96" s="5" t="inlineStr"/>
      <c r="H96" s="5" t="inlineStr"/>
      <c r="I96" s="5" t="inlineStr">
        <is>
          <t>132, 75, 391, 85</t>
        </is>
      </c>
      <c r="J96" s="5" t="inlineStr">
        <is>
          <t>question</t>
        </is>
      </c>
      <c r="K96" s="5" t="inlineStr">
        <is>
          <t>PR13</t>
        </is>
      </c>
      <c r="L96" s="5">
        <f> PR13.name</f>
        <v/>
      </c>
      <c r="M96" s="5" t="inlineStr">
        <is>
          <t>PR13 given</t>
        </is>
      </c>
      <c r="N96" s="5" t="inlineStr"/>
      <c r="O96" s="5" t="inlineStr"/>
    </row>
    <row r="97">
      <c r="A97" s="8" t="n">
        <v>96</v>
      </c>
      <c r="B97" s="8" t="n">
        <v>5</v>
      </c>
      <c r="C97" s="8" t="inlineStr">
        <is>
          <t>6 (court)</t>
        </is>
      </c>
      <c r="D97" s="8" t="inlineStr">
        <is>
          <t>In-person visitation granted when a parent is staying in a confidential location (Fam. Code, § 3100(e))</t>
        </is>
      </c>
      <c r="E97" s="8" t="inlineStr">
        <is>
          <t>FL-351[0].Page5[0].List6[0].SupervisedVisits_cb[0]</t>
        </is>
      </c>
      <c r="F97" s="8" t="inlineStr">
        <is>
          <t>checkbox</t>
        </is>
      </c>
      <c r="G97" s="8" t="inlineStr">
        <is>
          <t>1</t>
        </is>
      </c>
      <c r="H97" s="8" t="inlineStr"/>
      <c r="I97" s="8" t="inlineStr">
        <is>
          <t>55, 102, 64, 111</t>
        </is>
      </c>
      <c r="J97" s="8" t="inlineStr">
        <is>
          <t>court/clerk</t>
        </is>
      </c>
      <c r="K97" s="8" t="inlineStr"/>
      <c r="L97" s="8" t="inlineStr"/>
      <c r="M97" s="8" t="inlineStr"/>
      <c r="N97" s="8" t="inlineStr">
        <is>
          <t>Judge completes (mandatory findings).</t>
        </is>
      </c>
      <c r="O97" s="8" t="inlineStr"/>
    </row>
    <row r="98">
      <c r="A98" s="8" t="n">
        <v>97</v>
      </c>
      <c r="B98" s="8" t="n">
        <v>5</v>
      </c>
      <c r="C98" s="8" t="inlineStr">
        <is>
          <t>6 (court)</t>
        </is>
      </c>
      <c r="D98" s="8" t="inlineStr">
        <is>
          <t>(parent's name):</t>
        </is>
      </c>
      <c r="E98" s="8" t="inlineStr">
        <is>
          <t>FL-351[0].Page5[0].List6[0].Li1[0].T481[0]</t>
        </is>
      </c>
      <c r="F98" s="8" t="inlineStr">
        <is>
          <t>text</t>
        </is>
      </c>
      <c r="G98" s="8" t="inlineStr"/>
      <c r="H98" s="8" t="inlineStr"/>
      <c r="I98" s="8" t="inlineStr">
        <is>
          <t>239, 120, 569, 129</t>
        </is>
      </c>
      <c r="J98" s="8" t="inlineStr">
        <is>
          <t>court/clerk</t>
        </is>
      </c>
      <c r="K98" s="8" t="inlineStr"/>
      <c r="L98" s="8" t="inlineStr"/>
      <c r="M98" s="8" t="inlineStr"/>
      <c r="N98" s="8" t="inlineStr">
        <is>
          <t>Judge completes (mandatory findings).</t>
        </is>
      </c>
      <c r="O98" s="8" t="inlineStr"/>
    </row>
    <row r="99">
      <c r="A99" s="8" t="n">
        <v>98</v>
      </c>
      <c r="B99" s="8" t="n">
        <v>5</v>
      </c>
      <c r="C99" s="8" t="inlineStr">
        <is>
          <t>6 (court)</t>
        </is>
      </c>
      <c r="D99" s="8" t="inlineStr">
        <is>
          <t>named in the attached order</t>
        </is>
      </c>
      <c r="E99" s="8" t="inlineStr">
        <is>
          <t>FL-351[0].Page5[0].List6[0].Li2[0].item6b_cb[0]</t>
        </is>
      </c>
      <c r="F99" s="8" t="inlineStr">
        <is>
          <t>checkbox</t>
        </is>
      </c>
      <c r="G99" s="8" t="inlineStr">
        <is>
          <t>1</t>
        </is>
      </c>
      <c r="H99" s="8" t="inlineStr"/>
      <c r="I99" s="8" t="inlineStr">
        <is>
          <t>94, 166, 103, 175</t>
        </is>
      </c>
      <c r="J99" s="8" t="inlineStr">
        <is>
          <t>court/clerk</t>
        </is>
      </c>
      <c r="K99" s="8" t="inlineStr"/>
      <c r="L99" s="8" t="inlineStr"/>
      <c r="M99" s="8" t="inlineStr"/>
      <c r="N99" s="8" t="inlineStr">
        <is>
          <t>Judge completes (mandatory findings).</t>
        </is>
      </c>
      <c r="O99" s="8" t="inlineStr"/>
    </row>
    <row r="100">
      <c r="A100" s="8" t="n">
        <v>99</v>
      </c>
      <c r="B100" s="8" t="n">
        <v>5</v>
      </c>
      <c r="C100" s="8" t="inlineStr">
        <is>
          <t>6 (court)</t>
        </is>
      </c>
      <c r="D100" s="8" t="inlineStr">
        <is>
          <t>only named below:</t>
        </is>
      </c>
      <c r="E100" s="8" t="inlineStr">
        <is>
          <t>FL-351[0].Page5[0].List6[0].Li2[0].item6b_cb[1]</t>
        </is>
      </c>
      <c r="F100" s="8" t="inlineStr">
        <is>
          <t>checkbox</t>
        </is>
      </c>
      <c r="G100" s="8" t="inlineStr">
        <is>
          <t>11</t>
        </is>
      </c>
      <c r="H100" s="8" t="inlineStr"/>
      <c r="I100" s="8" t="inlineStr">
        <is>
          <t>93, 181, 102, 190</t>
        </is>
      </c>
      <c r="J100" s="8" t="inlineStr">
        <is>
          <t>court/clerk</t>
        </is>
      </c>
      <c r="K100" s="8" t="inlineStr"/>
      <c r="L100" s="8" t="inlineStr"/>
      <c r="M100" s="8" t="inlineStr"/>
      <c r="N100" s="8" t="inlineStr">
        <is>
          <t>Judge completes (mandatory findings).</t>
        </is>
      </c>
      <c r="O100" s="8" t="inlineStr"/>
    </row>
    <row r="101">
      <c r="A101" s="8" t="n">
        <v>100</v>
      </c>
      <c r="B101" s="8" t="n">
        <v>5</v>
      </c>
      <c r="C101" s="8" t="inlineStr">
        <is>
          <t>6 (court)</t>
        </is>
      </c>
      <c r="D101" s="8" t="inlineStr">
        <is>
          <t>Child's name</t>
        </is>
      </c>
      <c r="E101" s="8" t="inlineStr">
        <is>
          <t>FL-351[0].Page5[0].List6[0].Li2[0].Child1Name[0]</t>
        </is>
      </c>
      <c r="F101" s="8" t="inlineStr">
        <is>
          <t>text</t>
        </is>
      </c>
      <c r="G101" s="8" t="inlineStr"/>
      <c r="H101" s="8" t="inlineStr"/>
      <c r="I101" s="8" t="inlineStr">
        <is>
          <t>111, 209, 318, 221</t>
        </is>
      </c>
      <c r="J101" s="8" t="inlineStr">
        <is>
          <t>court/clerk</t>
        </is>
      </c>
      <c r="K101" s="8" t="inlineStr"/>
      <c r="L101" s="8" t="inlineStr"/>
      <c r="M101" s="8" t="inlineStr"/>
      <c r="N101" s="8" t="inlineStr">
        <is>
          <t>Judge completes (mandatory findings).</t>
        </is>
      </c>
      <c r="O101" s="8" t="inlineStr"/>
    </row>
    <row r="102">
      <c r="A102" s="8" t="n">
        <v>101</v>
      </c>
      <c r="B102" s="8" t="n">
        <v>5</v>
      </c>
      <c r="C102" s="8" t="inlineStr">
        <is>
          <t>6 (court)</t>
        </is>
      </c>
      <c r="D102" s="8" t="inlineStr">
        <is>
          <t>Child's name</t>
        </is>
      </c>
      <c r="E102" s="8" t="inlineStr">
        <is>
          <t>FL-351[0].Page5[0].List6[0].Li2[0].Child2Name[0]</t>
        </is>
      </c>
      <c r="F102" s="8" t="inlineStr">
        <is>
          <t>text</t>
        </is>
      </c>
      <c r="G102" s="8" t="inlineStr"/>
      <c r="H102" s="8" t="inlineStr"/>
      <c r="I102" s="8" t="inlineStr">
        <is>
          <t>111, 223, 318, 235</t>
        </is>
      </c>
      <c r="J102" s="8" t="inlineStr">
        <is>
          <t>court/clerk</t>
        </is>
      </c>
      <c r="K102" s="8" t="inlineStr"/>
      <c r="L102" s="8" t="inlineStr"/>
      <c r="M102" s="8" t="inlineStr"/>
      <c r="N102" s="8" t="inlineStr">
        <is>
          <t>Judge completes (mandatory findings).</t>
        </is>
      </c>
      <c r="O102" s="8" t="inlineStr"/>
    </row>
    <row r="103">
      <c r="A103" s="8" t="n">
        <v>102</v>
      </c>
      <c r="B103" s="8" t="n">
        <v>5</v>
      </c>
      <c r="C103" s="8" t="inlineStr">
        <is>
          <t>6 (court)</t>
        </is>
      </c>
      <c r="D103" s="8" t="inlineStr">
        <is>
          <t>Child's name</t>
        </is>
      </c>
      <c r="E103" s="8" t="inlineStr">
        <is>
          <t>FL-351[0].Page5[0].List6[0].Li2[0].Child3Name[0]</t>
        </is>
      </c>
      <c r="F103" s="8" t="inlineStr">
        <is>
          <t>text</t>
        </is>
      </c>
      <c r="G103" s="8" t="inlineStr"/>
      <c r="H103" s="8" t="inlineStr"/>
      <c r="I103" s="8" t="inlineStr">
        <is>
          <t>111, 236, 318, 249</t>
        </is>
      </c>
      <c r="J103" s="8" t="inlineStr">
        <is>
          <t>court/clerk</t>
        </is>
      </c>
      <c r="K103" s="8" t="inlineStr"/>
      <c r="L103" s="8" t="inlineStr"/>
      <c r="M103" s="8" t="inlineStr"/>
      <c r="N103" s="8" t="inlineStr">
        <is>
          <t>Judge completes (mandatory findings).</t>
        </is>
      </c>
      <c r="O103" s="8" t="inlineStr"/>
    </row>
    <row r="104">
      <c r="A104" s="8" t="n">
        <v>103</v>
      </c>
      <c r="B104" s="8" t="n">
        <v>5</v>
      </c>
      <c r="C104" s="8" t="inlineStr">
        <is>
          <t>6 (court)</t>
        </is>
      </c>
      <c r="D104" s="8" t="inlineStr">
        <is>
          <t>Child's name</t>
        </is>
      </c>
      <c r="E104" s="8" t="inlineStr">
        <is>
          <t>FL-351[0].Page5[0].List6[0].Li2[0].Child4Name[0]</t>
        </is>
      </c>
      <c r="F104" s="8" t="inlineStr">
        <is>
          <t>text</t>
        </is>
      </c>
      <c r="G104" s="8" t="inlineStr"/>
      <c r="H104" s="8" t="inlineStr"/>
      <c r="I104" s="8" t="inlineStr">
        <is>
          <t>111, 252, 318, 264</t>
        </is>
      </c>
      <c r="J104" s="8" t="inlineStr">
        <is>
          <t>court/clerk</t>
        </is>
      </c>
      <c r="K104" s="8" t="inlineStr"/>
      <c r="L104" s="8" t="inlineStr"/>
      <c r="M104" s="8" t="inlineStr"/>
      <c r="N104" s="8" t="inlineStr">
        <is>
          <t>Judge completes (mandatory findings).</t>
        </is>
      </c>
      <c r="O104" s="8" t="inlineStr"/>
    </row>
    <row r="105">
      <c r="A105" s="8" t="n">
        <v>104</v>
      </c>
      <c r="B105" s="8" t="n">
        <v>5</v>
      </c>
      <c r="C105" s="8" t="inlineStr">
        <is>
          <t>6 (court)</t>
        </is>
      </c>
      <c r="D105" s="8" t="inlineStr">
        <is>
          <t>Has access to firearms and ammunition.</t>
        </is>
      </c>
      <c r="E105" s="8" t="inlineStr">
        <is>
          <t>FL-351[0].Page5[0].List6[0].Li3[0].List[0].Li1[0].CheckBox1[0]</t>
        </is>
      </c>
      <c r="F105" s="8" t="inlineStr">
        <is>
          <t>checkbox</t>
        </is>
      </c>
      <c r="G105" s="8" t="inlineStr">
        <is>
          <t>1</t>
        </is>
      </c>
      <c r="H105" s="8" t="inlineStr"/>
      <c r="I105" s="8" t="inlineStr">
        <is>
          <t>108, 368, 117, 377</t>
        </is>
      </c>
      <c r="J105" s="8" t="inlineStr">
        <is>
          <t>court/clerk</t>
        </is>
      </c>
      <c r="K105" s="8" t="inlineStr"/>
      <c r="L105" s="8" t="inlineStr"/>
      <c r="M105" s="8" t="inlineStr"/>
      <c r="N105" s="8" t="inlineStr">
        <is>
          <t>Judge completes (mandatory findings).</t>
        </is>
      </c>
      <c r="O105" s="8" t="inlineStr"/>
    </row>
    <row r="106">
      <c r="A106" s="8" t="n">
        <v>105</v>
      </c>
      <c r="B106" s="8" t="n">
        <v>5</v>
      </c>
      <c r="C106" s="8" t="inlineStr">
        <is>
          <t>6 (court)</t>
        </is>
      </c>
      <c r="D106" s="8" t="inlineStr">
        <is>
          <t>Does not have access to firearms and ammunition.</t>
        </is>
      </c>
      <c r="E106" s="8" t="inlineStr">
        <is>
          <t>FL-351[0].Page5[0].List6[0].Li3[0].List[0].Li1[0].CheckBox2[0]</t>
        </is>
      </c>
      <c r="F106" s="8" t="inlineStr">
        <is>
          <t>checkbox</t>
        </is>
      </c>
      <c r="G106" s="8" t="inlineStr">
        <is>
          <t>1</t>
        </is>
      </c>
      <c r="H106" s="8" t="inlineStr"/>
      <c r="I106" s="8" t="inlineStr">
        <is>
          <t>108, 382, 117, 391</t>
        </is>
      </c>
      <c r="J106" s="8" t="inlineStr">
        <is>
          <t>court/clerk</t>
        </is>
      </c>
      <c r="K106" s="8" t="inlineStr"/>
      <c r="L106" s="8" t="inlineStr"/>
      <c r="M106" s="8" t="inlineStr"/>
      <c r="N106" s="8" t="inlineStr">
        <is>
          <t>Judge completes (mandatory findings).</t>
        </is>
      </c>
      <c r="O106" s="8" t="inlineStr"/>
    </row>
    <row r="107">
      <c r="A107" s="8" t="n">
        <v>106</v>
      </c>
      <c r="B107" s="8" t="n">
        <v>5</v>
      </c>
      <c r="C107" s="8" t="inlineStr">
        <is>
          <t>6 (court)</t>
        </is>
      </c>
      <c r="D107" s="8" t="inlineStr">
        <is>
          <t>Is prohibited from having firearms or ammunition.</t>
        </is>
      </c>
      <c r="E107" s="8" t="inlineStr">
        <is>
          <t>FL-351[0].Page5[0].List6[0].Li3[0].List[0].Li1[0].CheckBox3[0]</t>
        </is>
      </c>
      <c r="F107" s="8" t="inlineStr">
        <is>
          <t>checkbox</t>
        </is>
      </c>
      <c r="G107" s="8" t="inlineStr">
        <is>
          <t>1</t>
        </is>
      </c>
      <c r="H107" s="8" t="inlineStr"/>
      <c r="I107" s="8" t="inlineStr">
        <is>
          <t>108, 395, 117, 404</t>
        </is>
      </c>
      <c r="J107" s="8" t="inlineStr">
        <is>
          <t>court/clerk</t>
        </is>
      </c>
      <c r="K107" s="8" t="inlineStr"/>
      <c r="L107" s="8" t="inlineStr"/>
      <c r="M107" s="8" t="inlineStr"/>
      <c r="N107" s="8" t="inlineStr">
        <is>
          <t>Judge completes (mandatory findings).</t>
        </is>
      </c>
      <c r="O107" s="8" t="inlineStr"/>
    </row>
    <row r="108">
      <c r="A108" s="8" t="n">
        <v>107</v>
      </c>
      <c r="B108" s="8" t="n">
        <v>5</v>
      </c>
      <c r="C108" s="8" t="inlineStr">
        <is>
          <t>6 (court)</t>
        </is>
      </c>
      <c r="D108" s="8" t="inlineStr">
        <is>
          <t>Other considerations related to firearms and ammunition (specify):</t>
        </is>
      </c>
      <c r="E108" s="8" t="inlineStr">
        <is>
          <t>FL-351[0].Page5[0].List6[0].Li3[0].List[0].Li1[0].CheckBox4[0]</t>
        </is>
      </c>
      <c r="F108" s="8" t="inlineStr">
        <is>
          <t>checkbox</t>
        </is>
      </c>
      <c r="G108" s="8" t="inlineStr">
        <is>
          <t>1</t>
        </is>
      </c>
      <c r="H108" s="8" t="inlineStr"/>
      <c r="I108" s="8" t="inlineStr">
        <is>
          <t>108, 410, 117, 419</t>
        </is>
      </c>
      <c r="J108" s="8" t="inlineStr">
        <is>
          <t>court/clerk</t>
        </is>
      </c>
      <c r="K108" s="8" t="inlineStr"/>
      <c r="L108" s="8" t="inlineStr"/>
      <c r="M108" s="8" t="inlineStr"/>
      <c r="N108" s="8" t="inlineStr">
        <is>
          <t>Judge completes (mandatory findings).</t>
        </is>
      </c>
      <c r="O108" s="8" t="inlineStr"/>
    </row>
    <row r="109">
      <c r="A109" s="8" t="n">
        <v>108</v>
      </c>
      <c r="B109" s="8" t="n">
        <v>5</v>
      </c>
      <c r="C109" s="8" t="inlineStr">
        <is>
          <t>6 (court)</t>
        </is>
      </c>
      <c r="D109" s="8" t="inlineStr">
        <is>
          <t>Other considerations related to firearms and ammunition (specify):</t>
        </is>
      </c>
      <c r="E109" s="8" t="inlineStr">
        <is>
          <t>FL-351[0].Page5[0].List6[0].Li3[0].List[0].Li1[0].SpecifyReasonsforOrders_ft[0]</t>
        </is>
      </c>
      <c r="F109" s="8" t="inlineStr">
        <is>
          <t>text</t>
        </is>
      </c>
      <c r="G109" s="8" t="inlineStr"/>
      <c r="H109" s="8" t="inlineStr"/>
      <c r="I109" s="8" t="inlineStr">
        <is>
          <t>131, 422, 575, 487</t>
        </is>
      </c>
      <c r="J109" s="8" t="inlineStr">
        <is>
          <t>court/clerk</t>
        </is>
      </c>
      <c r="K109" s="8" t="inlineStr"/>
      <c r="L109" s="8" t="inlineStr"/>
      <c r="M109" s="8" t="inlineStr"/>
      <c r="N109" s="8" t="inlineStr">
        <is>
          <t>Judge completes (mandatory findings).</t>
        </is>
      </c>
      <c r="O109" s="8" t="inlineStr"/>
    </row>
    <row r="110">
      <c r="A110" s="8" t="n">
        <v>109</v>
      </c>
      <c r="B110" s="8" t="n">
        <v>5</v>
      </c>
      <c r="C110" s="8" t="inlineStr">
        <is>
          <t>6 (court)</t>
        </is>
      </c>
      <c r="D110" s="8" t="inlineStr">
        <is>
          <t>Is the subject of an emergency protective order, protective order, or other restraining order.</t>
        </is>
      </c>
      <c r="E110" s="8" t="inlineStr">
        <is>
          <t>FL-351[0].Page5[0].List6[0].Li3[0].List[0].Li2[0].ReasonableRightOfVisitation_cb[0]</t>
        </is>
      </c>
      <c r="F110" s="8" t="inlineStr">
        <is>
          <t>checkbox</t>
        </is>
      </c>
      <c r="G110" s="8" t="inlineStr">
        <is>
          <t>1</t>
        </is>
      </c>
      <c r="H110" s="8" t="inlineStr"/>
      <c r="I110" s="8" t="inlineStr">
        <is>
          <t>108, 522, 117, 531</t>
        </is>
      </c>
      <c r="J110" s="8" t="inlineStr">
        <is>
          <t>court/clerk</t>
        </is>
      </c>
      <c r="K110" s="8" t="inlineStr"/>
      <c r="L110" s="8" t="inlineStr"/>
      <c r="M110" s="8" t="inlineStr"/>
      <c r="N110" s="8" t="inlineStr">
        <is>
          <t>Judge completes (mandatory findings).</t>
        </is>
      </c>
      <c r="O110" s="8" t="inlineStr"/>
    </row>
    <row r="111">
      <c r="A111" s="8" t="n">
        <v>110</v>
      </c>
      <c r="B111" s="8" t="n">
        <v>5</v>
      </c>
      <c r="C111" s="8" t="inlineStr">
        <is>
          <t>6 (court)</t>
        </is>
      </c>
      <c r="D111" s="8" t="inlineStr">
        <is>
          <t>Violated the terms of that emergency protective order, protective order, or other restraining order.</t>
        </is>
      </c>
      <c r="E111" s="8" t="inlineStr">
        <is>
          <t>FL-351[0].Page5[0].List6[0].Li3[0].List[0].Li2[0].CheckBox1[0]</t>
        </is>
      </c>
      <c r="F111" s="8" t="inlineStr">
        <is>
          <t>checkbox</t>
        </is>
      </c>
      <c r="G111" s="8" t="inlineStr">
        <is>
          <t>1</t>
        </is>
      </c>
      <c r="H111" s="8" t="inlineStr"/>
      <c r="I111" s="8" t="inlineStr">
        <is>
          <t>108, 536, 117, 545</t>
        </is>
      </c>
      <c r="J111" s="8" t="inlineStr">
        <is>
          <t>court/clerk</t>
        </is>
      </c>
      <c r="K111" s="8" t="inlineStr"/>
      <c r="L111" s="8" t="inlineStr"/>
      <c r="M111" s="8" t="inlineStr"/>
      <c r="N111" s="8" t="inlineStr">
        <is>
          <t>Judge completes (mandatory findings).</t>
        </is>
      </c>
      <c r="O111" s="8" t="inlineStr"/>
    </row>
    <row r="112">
      <c r="A112" s="8" t="n">
        <v>111</v>
      </c>
      <c r="B112" s="8" t="n">
        <v>5</v>
      </c>
      <c r="C112" s="8" t="inlineStr">
        <is>
          <t>6 (court)</t>
        </is>
      </c>
      <c r="D112" s="8" t="inlineStr">
        <is>
          <t>Complied with the terms of that emergency protective order, protective order, or other restraining order.</t>
        </is>
      </c>
      <c r="E112" s="8" t="inlineStr">
        <is>
          <t>FL-351[0].Page5[0].List6[0].Li3[0].List[0].Li2[0].CheckBox2[0]</t>
        </is>
      </c>
      <c r="F112" s="8" t="inlineStr">
        <is>
          <t>checkbox</t>
        </is>
      </c>
      <c r="G112" s="8" t="inlineStr">
        <is>
          <t>1</t>
        </is>
      </c>
      <c r="H112" s="8" t="inlineStr"/>
      <c r="I112" s="8" t="inlineStr">
        <is>
          <t>108, 552, 117, 561</t>
        </is>
      </c>
      <c r="J112" s="8" t="inlineStr">
        <is>
          <t>court/clerk</t>
        </is>
      </c>
      <c r="K112" s="8" t="inlineStr"/>
      <c r="L112" s="8" t="inlineStr"/>
      <c r="M112" s="8" t="inlineStr"/>
      <c r="N112" s="8" t="inlineStr">
        <is>
          <t>Judge completes (mandatory findings).</t>
        </is>
      </c>
      <c r="O112" s="8" t="inlineStr"/>
    </row>
    <row r="113">
      <c r="A113" s="8" t="n">
        <v>112</v>
      </c>
      <c r="B113" s="8" t="n">
        <v>5</v>
      </c>
      <c r="C113" s="8" t="inlineStr">
        <is>
          <t>6 (court)</t>
        </is>
      </c>
      <c r="D113" s="8" t="inlineStr">
        <is>
          <t>Other considerations related to restraining orders or violation of restraining orders (specify, as needed):</t>
        </is>
      </c>
      <c r="E113" s="8" t="inlineStr">
        <is>
          <t>FL-351[0].Page5[0].List6[0].Li3[0].List[0].Li2[0].CheckBox3[0]</t>
        </is>
      </c>
      <c r="F113" s="8" t="inlineStr">
        <is>
          <t>checkbox</t>
        </is>
      </c>
      <c r="G113" s="8" t="inlineStr">
        <is>
          <t>1</t>
        </is>
      </c>
      <c r="H113" s="8" t="inlineStr"/>
      <c r="I113" s="8" t="inlineStr">
        <is>
          <t>108, 568, 117, 577</t>
        </is>
      </c>
      <c r="J113" s="8" t="inlineStr">
        <is>
          <t>court/clerk</t>
        </is>
      </c>
      <c r="K113" s="8" t="inlineStr"/>
      <c r="L113" s="8" t="inlineStr"/>
      <c r="M113" s="8" t="inlineStr"/>
      <c r="N113" s="8" t="inlineStr">
        <is>
          <t>Judge completes (mandatory findings).</t>
        </is>
      </c>
      <c r="O113" s="8" t="inlineStr"/>
    </row>
    <row r="114">
      <c r="A114" s="8" t="n">
        <v>113</v>
      </c>
      <c r="B114" s="8" t="n">
        <v>5</v>
      </c>
      <c r="C114" s="8" t="inlineStr">
        <is>
          <t>6 (court)</t>
        </is>
      </c>
      <c r="D114" s="8" t="inlineStr">
        <is>
          <t>Other considerations related to restraining orders or violation of restraining orders (specify, as needed):</t>
        </is>
      </c>
      <c r="E114" s="8" t="inlineStr">
        <is>
          <t>FL-351[0].Page5[0].List6[0].Li3[0].List[0].Li2[0].SpecifyReasonsforOrders_ft[0]</t>
        </is>
      </c>
      <c r="F114" s="8" t="inlineStr">
        <is>
          <t>text</t>
        </is>
      </c>
      <c r="G114" s="8" t="inlineStr"/>
      <c r="H114" s="8" t="inlineStr"/>
      <c r="I114" s="8" t="inlineStr">
        <is>
          <t>127, 581, 573, 629</t>
        </is>
      </c>
      <c r="J114" s="8" t="inlineStr">
        <is>
          <t>court/clerk</t>
        </is>
      </c>
      <c r="K114" s="8" t="inlineStr"/>
      <c r="L114" s="8" t="inlineStr"/>
      <c r="M114" s="8" t="inlineStr"/>
      <c r="N114" s="8" t="inlineStr">
        <is>
          <t>Judge completes (mandatory findings).</t>
        </is>
      </c>
      <c r="O114" s="8" t="inlineStr"/>
    </row>
    <row r="115">
      <c r="A115" s="7" t="n">
        <v>114</v>
      </c>
      <c r="B115" s="7" t="n">
        <v>6</v>
      </c>
      <c r="C115" s="7" t="inlineStr">
        <is>
          <t>—</t>
        </is>
      </c>
      <c r="D115" s="7" t="inlineStr">
        <is>
          <t>Print</t>
        </is>
      </c>
      <c r="E115" s="7" t="inlineStr">
        <is>
          <t>FL-351[0].#pageSet[0].MPLast[0].#area[0].Print[0]</t>
        </is>
      </c>
      <c r="F115" s="7" t="inlineStr">
        <is>
          <t>button</t>
        </is>
      </c>
      <c r="G115" s="7" t="inlineStr"/>
      <c r="H115" s="7" t="inlineStr"/>
      <c r="I115" s="7" t="inlineStr">
        <is>
          <t>258, 761, 339, 778</t>
        </is>
      </c>
      <c r="J115" s="7" t="inlineStr">
        <is>
          <t>ignore (UI button)</t>
        </is>
      </c>
      <c r="K115" s="7" t="inlineStr"/>
      <c r="L115" s="7" t="inlineStr"/>
      <c r="M115" s="7" t="inlineStr"/>
      <c r="N115" s="7" t="inlineStr">
        <is>
          <t>Print/Save/Clear button. Do not fill.</t>
        </is>
      </c>
      <c r="O115" s="7" t="inlineStr"/>
    </row>
    <row r="116">
      <c r="A116" s="7" t="n">
        <v>115</v>
      </c>
      <c r="B116" s="7" t="n">
        <v>6</v>
      </c>
      <c r="C116" s="7" t="inlineStr">
        <is>
          <t>—</t>
        </is>
      </c>
      <c r="D116" s="7" t="inlineStr">
        <is>
          <t>Save</t>
        </is>
      </c>
      <c r="E116" s="7" t="inlineStr">
        <is>
          <t>FL-351[0].#pageSet[0].MPLast[0].#area[0].Save[0]</t>
        </is>
      </c>
      <c r="F116" s="7" t="inlineStr">
        <is>
          <t>button</t>
        </is>
      </c>
      <c r="G116" s="7" t="inlineStr"/>
      <c r="H116" s="7" t="inlineStr"/>
      <c r="I116" s="7" t="inlineStr">
        <is>
          <t>345, 761, 426, 778</t>
        </is>
      </c>
      <c r="J116" s="7" t="inlineStr">
        <is>
          <t>ignore (UI button)</t>
        </is>
      </c>
      <c r="K116" s="7" t="inlineStr"/>
      <c r="L116" s="7" t="inlineStr"/>
      <c r="M116" s="7" t="inlineStr"/>
      <c r="N116" s="7" t="inlineStr">
        <is>
          <t>Print/Save/Clear button. Do not fill.</t>
        </is>
      </c>
      <c r="O116" s="7" t="inlineStr"/>
    </row>
    <row r="117">
      <c r="A117" s="7" t="n">
        <v>116</v>
      </c>
      <c r="B117" s="7" t="n">
        <v>6</v>
      </c>
      <c r="C117" s="7" t="inlineStr">
        <is>
          <t>—</t>
        </is>
      </c>
      <c r="D117" s="7" t="inlineStr">
        <is>
          <t>Clear</t>
        </is>
      </c>
      <c r="E117" s="7" t="inlineStr">
        <is>
          <t>FL-351[0].#pageSet[0].MPLast[0].#area[0].Reset[0]</t>
        </is>
      </c>
      <c r="F117" s="7" t="inlineStr">
        <is>
          <t>button</t>
        </is>
      </c>
      <c r="G117" s="7" t="inlineStr"/>
      <c r="H117" s="7" t="inlineStr"/>
      <c r="I117" s="7" t="inlineStr">
        <is>
          <t>495, 761, 576, 778</t>
        </is>
      </c>
      <c r="J117" s="7" t="inlineStr">
        <is>
          <t>ignore (UI button)</t>
        </is>
      </c>
      <c r="K117" s="7" t="inlineStr"/>
      <c r="L117" s="7" t="inlineStr"/>
      <c r="M117" s="7" t="inlineStr"/>
      <c r="N117" s="7" t="inlineStr">
        <is>
          <t>Print/Save/Clear button. Do not fill.</t>
        </is>
      </c>
      <c r="O117" s="7" t="inlineStr"/>
    </row>
    <row r="118">
      <c r="A118" s="5" t="n">
        <v>117</v>
      </c>
      <c r="B118" s="5" t="n">
        <v>6</v>
      </c>
      <c r="C118" s="5" t="inlineStr">
        <is>
          <t>Caption</t>
        </is>
      </c>
      <c r="D118" s="5" t="inlineStr">
        <is>
          <t>CASE NUMBER</t>
        </is>
      </c>
      <c r="E118" s="5" t="inlineStr">
        <is>
          <t>FL-351[0].Page6[0].PxCaption[0].CaseNumber[0].CaseNumber_ft[0]</t>
        </is>
      </c>
      <c r="F118" s="5" t="inlineStr">
        <is>
          <t>text</t>
        </is>
      </c>
      <c r="G118" s="5" t="inlineStr"/>
      <c r="H118" s="5" t="inlineStr"/>
      <c r="I118" s="5" t="inlineStr">
        <is>
          <t>399, 64, 572, 78</t>
        </is>
      </c>
      <c r="J118" s="5" t="inlineStr">
        <is>
          <t>question</t>
        </is>
      </c>
      <c r="K118" s="5" t="inlineStr">
        <is>
          <t>X0</t>
        </is>
      </c>
      <c r="L118" s="5">
        <f> X0</f>
        <v/>
      </c>
      <c r="M118" s="5" t="inlineStr">
        <is>
          <t>stage 3</t>
        </is>
      </c>
      <c r="N118" s="5" t="inlineStr"/>
      <c r="O118" s="5" t="inlineStr"/>
    </row>
    <row r="119">
      <c r="A119" s="5" t="n">
        <v>118</v>
      </c>
      <c r="B119" s="5" t="n">
        <v>6</v>
      </c>
      <c r="C119" s="5" t="inlineStr">
        <is>
          <t>Caption</t>
        </is>
      </c>
      <c r="D119" s="5" t="inlineStr">
        <is>
          <t>PETITIONER</t>
        </is>
      </c>
      <c r="E119" s="5" t="inlineStr">
        <is>
          <t>FL-351[0].Page6[0].PxCaption[0].TitlePartyName[0].Petitioner_ft[0]</t>
        </is>
      </c>
      <c r="F119" s="5" t="inlineStr">
        <is>
          <t>text</t>
        </is>
      </c>
      <c r="G119" s="5" t="inlineStr"/>
      <c r="H119" s="5" t="inlineStr"/>
      <c r="I119" s="5" t="inlineStr">
        <is>
          <t>132, 51, 391, 61</t>
        </is>
      </c>
      <c r="J119" s="5" t="inlineStr">
        <is>
          <t>question</t>
        </is>
      </c>
      <c r="K119" s="5" t="inlineStr">
        <is>
          <t>P1</t>
        </is>
      </c>
      <c r="L119" s="5">
        <f> P1</f>
        <v/>
      </c>
      <c r="M119" s="5" t="inlineStr"/>
      <c r="N119" s="5" t="inlineStr"/>
      <c r="O119" s="5" t="inlineStr"/>
    </row>
    <row r="120">
      <c r="A120" s="5" t="n">
        <v>119</v>
      </c>
      <c r="B120" s="5" t="n">
        <v>6</v>
      </c>
      <c r="C120" s="5" t="inlineStr">
        <is>
          <t>Caption</t>
        </is>
      </c>
      <c r="D120" s="5" t="inlineStr">
        <is>
          <t>RESPONDENT</t>
        </is>
      </c>
      <c r="E120" s="5" t="inlineStr">
        <is>
          <t>FL-351[0].Page6[0].PxCaption[0].TitlePartyName[0].Respondent_ft[0]</t>
        </is>
      </c>
      <c r="F120" s="5" t="inlineStr">
        <is>
          <t>text</t>
        </is>
      </c>
      <c r="G120" s="5" t="inlineStr"/>
      <c r="H120" s="5" t="inlineStr"/>
      <c r="I120" s="5" t="inlineStr">
        <is>
          <t>132, 62, 391, 72</t>
        </is>
      </c>
      <c r="J120" s="5" t="inlineStr">
        <is>
          <t>question</t>
        </is>
      </c>
      <c r="K120" s="5" t="inlineStr">
        <is>
          <t>R1</t>
        </is>
      </c>
      <c r="L120" s="5">
        <f> R1</f>
        <v/>
      </c>
      <c r="M120" s="5" t="inlineStr"/>
      <c r="N120" s="5" t="inlineStr"/>
      <c r="O120" s="5" t="inlineStr"/>
    </row>
    <row r="121">
      <c r="A121" s="5" t="n">
        <v>120</v>
      </c>
      <c r="B121" s="5" t="n">
        <v>6</v>
      </c>
      <c r="C121" s="5" t="inlineStr">
        <is>
          <t>Caption</t>
        </is>
      </c>
      <c r="D121" s="5" t="inlineStr">
        <is>
          <t>OTHER PARENT/PARTY</t>
        </is>
      </c>
      <c r="E121" s="5" t="inlineStr">
        <is>
          <t>FL-351[0].Page6[0].PxCaption[0].TitlePartyName[0].OtherParentParty_ft[0]</t>
        </is>
      </c>
      <c r="F121" s="5" t="inlineStr">
        <is>
          <t>text</t>
        </is>
      </c>
      <c r="G121" s="5" t="inlineStr"/>
      <c r="H121" s="5" t="inlineStr"/>
      <c r="I121" s="5" t="inlineStr">
        <is>
          <t>132, 74, 391, 84</t>
        </is>
      </c>
      <c r="J121" s="5" t="inlineStr">
        <is>
          <t>question</t>
        </is>
      </c>
      <c r="K121" s="5" t="inlineStr">
        <is>
          <t>PR13</t>
        </is>
      </c>
      <c r="L121" s="5">
        <f> PR13.name</f>
        <v/>
      </c>
      <c r="M121" s="5" t="inlineStr">
        <is>
          <t>PR13 given</t>
        </is>
      </c>
      <c r="N121" s="5" t="inlineStr"/>
      <c r="O121" s="5" t="inlineStr"/>
    </row>
    <row r="122">
      <c r="A122" s="8" t="n">
        <v>121</v>
      </c>
      <c r="B122" s="8" t="n">
        <v>6</v>
      </c>
      <c r="C122" s="8" t="inlineStr">
        <is>
          <t>6 (court)</t>
        </is>
      </c>
      <c r="D122" s="8" t="inlineStr">
        <is>
          <t>Additional information or reasons for the court's decisions, if any.</t>
        </is>
      </c>
      <c r="E122" s="8" t="inlineStr">
        <is>
          <t>FL-351[0].Page6[0].List6Cont[0].Li1[0].tf1[0]</t>
        </is>
      </c>
      <c r="F122" s="8" t="inlineStr">
        <is>
          <t>text</t>
        </is>
      </c>
      <c r="G122" s="8" t="inlineStr"/>
      <c r="H122" s="8" t="inlineStr"/>
      <c r="I122" s="8" t="inlineStr">
        <is>
          <t>92, 104, 574, 342</t>
        </is>
      </c>
      <c r="J122" s="8" t="inlineStr">
        <is>
          <t>court/clerk</t>
        </is>
      </c>
      <c r="K122" s="8" t="inlineStr"/>
      <c r="L122" s="8" t="inlineStr"/>
      <c r="M122" s="8" t="inlineStr"/>
      <c r="N122" s="8" t="inlineStr">
        <is>
          <t>Judge completes (mandatory findings).</t>
        </is>
      </c>
      <c r="O122" s="8" t="inlineStr"/>
    </row>
    <row r="123">
      <c r="A123" s="8" t="n">
        <v>122</v>
      </c>
      <c r="B123" s="8" t="n">
        <v>6</v>
      </c>
      <c r="C123" s="8" t="inlineStr">
        <is>
          <t>7 (court)</t>
        </is>
      </c>
      <c r="D123" s="8" t="inlineStr">
        <is>
          <t>Other findings, reasons, or information (if any):</t>
        </is>
      </c>
      <c r="E123" s="8" t="inlineStr">
        <is>
          <t>FL-351[0].Page6[0].List7[0].Li1[0].tf1[0]</t>
        </is>
      </c>
      <c r="F123" s="8" t="inlineStr">
        <is>
          <t>text</t>
        </is>
      </c>
      <c r="G123" s="8" t="inlineStr"/>
      <c r="H123" s="8" t="inlineStr"/>
      <c r="I123" s="8" t="inlineStr">
        <is>
          <t>52, 360, 574, 637</t>
        </is>
      </c>
      <c r="J123" s="8" t="inlineStr">
        <is>
          <t>court/clerk</t>
        </is>
      </c>
      <c r="K123" s="8" t="inlineStr"/>
      <c r="L123" s="8" t="inlineStr"/>
      <c r="M123" s="8" t="inlineStr"/>
      <c r="N123" s="8" t="inlineStr">
        <is>
          <t>Judge completes (mandatory findings).</t>
        </is>
      </c>
      <c r="O123" s="8" t="inlineStr"/>
    </row>
    <row r="124">
      <c r="A124" s="8" t="n">
        <v>123</v>
      </c>
      <c r="B124" s="8" t="n">
        <v>6</v>
      </c>
      <c r="C124" s="8" t="inlineStr">
        <is>
          <t>(court)</t>
        </is>
      </c>
      <c r="D124" s="8" t="inlineStr">
        <is>
          <t>Date</t>
        </is>
      </c>
      <c r="E124" s="8" t="inlineStr">
        <is>
          <t>FL-351[0].Page6[0].DateOrderSignedByCourt_dt[0]</t>
        </is>
      </c>
      <c r="F124" s="8" t="inlineStr">
        <is>
          <t>text</t>
        </is>
      </c>
      <c r="G124" s="8" t="inlineStr"/>
      <c r="H124" s="8" t="inlineStr"/>
      <c r="I124" s="8" t="inlineStr">
        <is>
          <t>61, 665, 169, 674</t>
        </is>
      </c>
      <c r="J124" s="8" t="inlineStr">
        <is>
          <t>court/clerk</t>
        </is>
      </c>
      <c r="K124" s="8" t="inlineStr"/>
      <c r="L124" s="8" t="inlineStr"/>
      <c r="M124" s="8" t="inlineStr"/>
      <c r="N124" s="8" t="inlineStr">
        <is>
          <t>Judge completes (mandatory findings).</t>
        </is>
      </c>
      <c r="O124" s="8" t="inlineStr"/>
    </row>
  </sheetData>
  <autoFilter ref="A1:O124"/>
  <dataValidations count="1">
    <dataValidation sqref="J2:J124" showDropDown="0" showInputMessage="0" showErrorMessage="0" allowBlank="1" type="list">
      <formula1>"question,derived,court/clerk,server,ignore (UI button)"</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34" customWidth="1" min="4" max="4"/>
    <col width="70" customWidth="1" min="5" max="5"/>
    <col width="60" customWidth="1" min="6" max="6"/>
    <col width="24" customWidth="1" min="7" max="7"/>
  </cols>
  <sheetData>
    <row r="1">
      <c r="A1" s="4" t="inlineStr">
        <is>
          <t>Direction</t>
        </is>
      </c>
      <c r="B1" s="4" t="inlineStr">
        <is>
          <t>Form</t>
        </is>
      </c>
      <c r="C1" s="4" t="inlineStr">
        <is>
          <t>Item</t>
        </is>
      </c>
      <c r="D1" s="4" t="inlineStr">
        <is>
          <t>Field / question</t>
        </is>
      </c>
      <c r="E1" s="4" t="inlineStr">
        <is>
          <t>Issue</t>
        </is>
      </c>
      <c r="F1" s="4" t="inlineStr">
        <is>
          <t>Proposed fix</t>
        </is>
      </c>
      <c r="G1" s="4" t="inlineStr">
        <is>
          <t>Decision</t>
        </is>
      </c>
    </row>
    <row r="2">
      <c r="A2" s="5" t="inlineStr">
        <is>
          <t>Question → no field (by design)</t>
        </is>
      </c>
      <c r="B2" s="5" t="inlineStr">
        <is>
          <t>—</t>
        </is>
      </c>
      <c r="C2" s="5" t="inlineStr">
        <is>
          <t>—</t>
        </is>
      </c>
      <c r="D2" s="5" t="inlineStr">
        <is>
          <t>PR14, A0, V1, X6</t>
        </is>
      </c>
      <c r="E2" s="5" t="inlineStr">
        <is>
          <t>These four switch branches on or off and never print: PR14 adds DV-160/DV-165; A0 guides the incident cards and pre-checks DV-108 3d and SER-001; V1 adds SER-001; X6 adds DV-901.</t>
        </is>
      </c>
      <c r="F2" s="5" t="inlineStr">
        <is>
          <t>None needed.</t>
        </is>
      </c>
      <c r="G2" s="5" t="inlineStr"/>
    </row>
    <row r="3">
      <c r="A3" s="5" t="inlineStr">
        <is>
          <t>Question → no field</t>
        </is>
      </c>
      <c r="B3" s="5" t="inlineStr">
        <is>
          <t>FL-155</t>
        </is>
      </c>
      <c r="C3" s="5" t="inlineStr">
        <is>
          <t>12</t>
        </is>
      </c>
      <c r="D3" s="5" t="inlineStr">
        <is>
          <t>F20</t>
        </is>
      </c>
      <c r="E3" s="5" t="inlineStr">
        <is>
          <t>FL-155 item 12 ("Other information … attach extra sheet") has no field.</t>
        </is>
      </c>
      <c r="F3" s="5" t="inlineStr">
        <is>
          <t>Print F20 on an attached sheet titled "FL-155, Item 12".</t>
        </is>
      </c>
      <c r="G3" s="5" t="inlineStr"/>
    </row>
    <row r="4">
      <c r="A4" s="5" t="inlineStr">
        <is>
          <t>Question → no field</t>
        </is>
      </c>
      <c r="B4" s="5" t="inlineStr">
        <is>
          <t>DV-100</t>
        </is>
      </c>
      <c r="C4" s="5" t="inlineStr">
        <is>
          <t>4a</t>
        </is>
      </c>
      <c r="D4" s="5" t="inlineStr">
        <is>
          <t>C2.type, C2.caseNumber, C2.county</t>
        </is>
      </c>
      <c r="E4" s="5" t="inlineStr">
        <is>
          <t>4a has only "date of order" and "date it expires".</t>
        </is>
      </c>
      <c r="F4" s="5" t="inlineStr">
        <is>
          <t>Rely on the attached copy of the order, or list them on the 4a overflow sheet.</t>
        </is>
      </c>
      <c r="G4" s="5" t="inlineStr"/>
    </row>
    <row r="5">
      <c r="A5" s="5" t="inlineStr">
        <is>
          <t>Question → no field</t>
        </is>
      </c>
      <c r="B5" s="5" t="inlineStr">
        <is>
          <t>DV-101</t>
        </is>
      </c>
      <c r="C5" s="5" t="inlineStr">
        <is>
          <t>3f / 4f</t>
        </is>
      </c>
      <c r="D5" s="5" t="inlineStr">
        <is>
          <t>A5 = "don't know"</t>
        </is>
      </c>
      <c r="E5" s="5" t="inlineStr">
        <is>
          <t>DV-101 asks "Did the police come?" with Yes/No only.</t>
        </is>
      </c>
      <c r="F5" s="5" t="inlineStr">
        <is>
          <t>Leave both boxes off when the answer is "don't know".</t>
        </is>
      </c>
      <c r="G5" s="5" t="inlineStr"/>
    </row>
    <row r="6">
      <c r="A6" s="5" t="inlineStr">
        <is>
          <t>Question → no field</t>
        </is>
      </c>
      <c r="B6" s="5" t="inlineStr">
        <is>
          <t>DV-160</t>
        </is>
      </c>
      <c r="C6" s="5" t="inlineStr">
        <is>
          <t>12</t>
        </is>
      </c>
      <c r="D6" s="5" t="inlineStr">
        <is>
          <t>L1</t>
        </is>
      </c>
      <c r="E6" s="5" t="inlineStr">
        <is>
          <t>Item 12 has a date line but no printed-name field for the lawyer.</t>
        </is>
      </c>
      <c r="F6" s="5" t="inlineStr">
        <is>
          <t>None needed; the lawyer signs by hand.</t>
        </is>
      </c>
      <c r="G6" s="5" t="inlineStr"/>
    </row>
    <row r="7">
      <c r="A7" s="5" t="inlineStr">
        <is>
          <t>Map change (done)</t>
        </is>
      </c>
      <c r="B7" s="5" t="inlineStr">
        <is>
          <t>DV-100</t>
        </is>
      </c>
      <c r="C7" s="5" t="inlineStr">
        <is>
          <t>22b</t>
        </is>
      </c>
      <c r="D7" s="5" t="inlineStr">
        <is>
          <t>O22.finding</t>
        </is>
      </c>
      <c r="E7" s="5" t="inlineStr">
        <is>
          <t>The form asks "Do you want the judge to make this special decision?", not "did you agree to these debts?".</t>
        </is>
      </c>
      <c r="F7" s="5" t="inlineStr">
        <is>
          <t>O22 now asks for the finding.</t>
        </is>
      </c>
      <c r="G7" s="5" t="inlineStr"/>
    </row>
    <row r="8">
      <c r="A8" s="5" t="inlineStr">
        <is>
          <t>Map change (done)</t>
        </is>
      </c>
      <c r="B8" s="5" t="inlineStr">
        <is>
          <t>DV-100</t>
        </is>
      </c>
      <c r="C8" s="5" t="inlineStr">
        <is>
          <t>13b</t>
        </is>
      </c>
      <c r="D8" s="5" t="inlineStr">
        <is>
          <t>O13.years, O13.months</t>
        </is>
      </c>
      <c r="E8" s="5" t="inlineStr">
        <is>
          <t>Years and months at the address had no question.</t>
        </is>
      </c>
      <c r="F8" s="5" t="inlineStr">
        <is>
          <t>Added under O13.</t>
        </is>
      </c>
      <c r="G8" s="5" t="inlineStr"/>
    </row>
    <row r="9">
      <c r="A9" s="5" t="inlineStr">
        <is>
          <t>Map change (done)</t>
        </is>
      </c>
      <c r="B9" s="5" t="inlineStr">
        <is>
          <t>DV-105, DV-105(A)</t>
        </is>
      </c>
      <c r="C9" s="5" t="inlineStr">
        <is>
          <t>4b / 2b–3b</t>
        </is>
      </c>
      <c r="D9" s="5" t="inlineStr">
        <is>
          <t>K2 lived with</t>
        </is>
      </c>
      <c r="E9" s="5" t="inlineStr">
        <is>
          <t>The forms say "check all that apply".</t>
        </is>
      </c>
      <c r="F9" s="5" t="inlineStr">
        <is>
          <t>K2 "lived with" is now multi-select.</t>
        </is>
      </c>
      <c r="G9" s="5" t="inlineStr"/>
    </row>
    <row r="10">
      <c r="A10" s="5" t="inlineStr">
        <is>
          <t>Map change (done)</t>
        </is>
      </c>
      <c r="B10" s="5" t="inlineStr">
        <is>
          <t>FL-150</t>
        </is>
      </c>
      <c r="C10" s="5" t="inlineStr">
        <is>
          <t>5e, 5f, 5i, 6d, 10e, 10f, 11c, 18d</t>
        </is>
      </c>
      <c r="D10" s="5" t="inlineStr">
        <is>
          <t>F2, F3, F9, F10, F18</t>
        </is>
      </c>
      <c r="E10" s="5" t="inlineStr">
        <is>
          <t>FL-150 splits spousal and partner support, asks which marriage or partnership and whether it is taxable or deductible, asks the disability type, other investment income, real vs personal property, and a special-needs description.</t>
        </is>
      </c>
      <c r="F10" s="5" t="inlineStr">
        <is>
          <t>F2, F3, F9, F10 and F18 now carry these details.</t>
        </is>
      </c>
      <c r="G10" s="5" t="inlineStr"/>
    </row>
    <row r="11">
      <c r="A11" s="5" t="inlineStr">
        <is>
          <t>Map change (done)</t>
        </is>
      </c>
      <c r="B11" s="5" t="inlineStr">
        <is>
          <t>FL-155</t>
        </is>
      </c>
      <c r="C11" s="5" t="inlineStr">
        <is>
          <t>5, 9</t>
        </is>
      </c>
      <c r="D11" s="5" t="inlineStr">
        <is>
          <t>F3, F4</t>
        </is>
      </c>
      <c r="E11" s="5" t="inlineStr">
        <is>
          <t>FL-155 asks SSI vs other Social Security, and gross pay before a job ended.</t>
        </is>
      </c>
      <c r="F11" s="5" t="inlineStr">
        <is>
          <t>Added to F3 and F4.</t>
        </is>
      </c>
      <c r="G11" s="5" t="inlineStr"/>
    </row>
    <row r="12">
      <c r="A12" s="5" t="inlineStr">
        <is>
          <t>Map change (done)</t>
        </is>
      </c>
      <c r="B12" s="5" t="inlineStr">
        <is>
          <t>SER-001</t>
        </is>
      </c>
      <c r="C12" s="5" t="inlineStr">
        <is>
          <t>Signature</t>
        </is>
      </c>
      <c r="D12" s="5" t="inlineStr">
        <is>
          <t>G1 → G2</t>
        </is>
      </c>
      <c r="E12" s="5" t="inlineStr">
        <is>
          <t>SER-001 is a stage-2 form.</t>
        </is>
      </c>
      <c r="F12" s="5" t="inlineStr">
        <is>
          <t>Signed with G2.</t>
        </is>
      </c>
      <c r="G12" s="5" t="inlineStr"/>
    </row>
    <row r="13">
      <c r="A13" s="5" t="inlineStr">
        <is>
          <t>Map change (done)</t>
        </is>
      </c>
      <c r="B13" s="5" t="inlineStr">
        <is>
          <t>CLETS-001</t>
        </is>
      </c>
      <c r="C13" s="5" t="inlineStr">
        <is>
          <t>1</t>
        </is>
      </c>
      <c r="D13" s="5" t="inlineStr">
        <is>
          <t>R11, R18 + R20</t>
        </is>
      </c>
      <c r="E13" s="5" t="inlineStr">
        <is>
          <t>One vehicle row; one combined firearms-or-body-armor question.</t>
        </is>
      </c>
      <c r="F13" s="5" t="inlineStr">
        <is>
          <t>R11 asks for the main vehicle; the combined answer is derived from R18 and R20.</t>
        </is>
      </c>
      <c r="G13" s="5" t="inlineStr"/>
    </row>
    <row r="14">
      <c r="A14" s="5" t="inlineStr">
        <is>
          <t>Map change (done)</t>
        </is>
      </c>
      <c r="B14" s="5" t="inlineStr">
        <is>
          <t>DV-200</t>
        </is>
      </c>
      <c r="C14" s="5" t="inlineStr">
        <is>
          <t>4b</t>
        </is>
      </c>
      <c r="D14" s="5" t="inlineStr">
        <is>
          <t>X7</t>
        </is>
      </c>
      <c r="E14" s="5" t="inlineStr">
        <is>
          <t>Serving DV-110 depends on whether the temporary order was granted.</t>
        </is>
      </c>
      <c r="F14" s="5" t="inlineStr">
        <is>
          <t>Added X7 to the stage-2 check-in.</t>
        </is>
      </c>
      <c r="G14" s="5" t="inlineStr"/>
    </row>
    <row r="15">
      <c r="A15" s="5" t="inlineStr">
        <is>
          <t>Still needed</t>
        </is>
      </c>
      <c r="B15" s="5" t="inlineStr">
        <is>
          <t>All captions</t>
        </is>
      </c>
      <c r="C15" s="5" t="inlineStr">
        <is>
          <t>Caption</t>
        </is>
      </c>
      <c r="D15" s="5" t="inlineStr">
        <is>
          <t>S1 + S2</t>
        </is>
      </c>
      <c r="E15" s="5" t="inlineStr">
        <is>
          <t>Every court caption needs the courthouse street, mailing address, city/ZIP and branch.</t>
        </is>
      </c>
      <c r="F15" s="5" t="inlineStr">
        <is>
          <t>Build a courthouse table (county → branches → addresses). The live app covers only 3 counties.</t>
        </is>
      </c>
      <c r="G15" s="5" t="inlineStr"/>
    </row>
    <row r="16">
      <c r="A16" s="5" t="inlineStr">
        <is>
          <t>Still needed</t>
        </is>
      </c>
      <c r="B16" s="5" t="inlineStr">
        <is>
          <t>DV-100</t>
        </is>
      </c>
      <c r="C16" s="5" t="inlineStr">
        <is>
          <t>4a, 4b, 9c, 16a, 22a, 23, 28</t>
        </is>
      </c>
      <c r="D16" s="5" t="inlineStr">
        <is>
          <t>(row tables)</t>
        </is>
      </c>
      <c r="E16" s="5" t="inlineStr">
        <is>
          <t>These tables have fixed rows and no "need more space" box.</t>
        </is>
      </c>
      <c r="F16" s="5" t="inlineStr">
        <is>
          <t>Generate overflow sheets ("DV-100, Item 9 — Firearms", etc.) and count them in item 32.</t>
        </is>
      </c>
      <c r="G16" s="5" t="inlineStr"/>
    </row>
    <row r="17">
      <c r="A17" s="5" t="inlineStr">
        <is>
          <t>Assumption</t>
        </is>
      </c>
      <c r="B17" s="5" t="inlineStr">
        <is>
          <t>FL-155</t>
        </is>
      </c>
      <c r="C17" s="5" t="inlineStr">
        <is>
          <t>Caption</t>
        </is>
      </c>
      <c r="D17" s="5" t="inlineStr">
        <is>
          <t>widgets 0–6</t>
        </is>
      </c>
      <c r="E17" s="5" t="inlineStr">
        <is>
          <t>The name-and-address and telephone lines are unlabeled.</t>
        </is>
      </c>
      <c r="F17" s="5" t="inlineStr">
        <is>
          <t>Mapped as name/SBN, firm or street, address lines; phone, fax, email. Check one printed sample.</t>
        </is>
      </c>
      <c r="G17" s="5" t="inlineStr"/>
    </row>
    <row r="18">
      <c r="A18" s="5" t="inlineStr">
        <is>
          <t>Assumption</t>
        </is>
      </c>
      <c r="B18" s="5" t="inlineStr">
        <is>
          <t>DV-110</t>
        </is>
      </c>
      <c r="C18" s="5" t="inlineStr">
        <is>
          <t>Caption</t>
        </is>
      </c>
      <c r="D18" s="5" t="inlineStr">
        <is>
          <t>OrigAmen_cb</t>
        </is>
      </c>
      <c r="E18" s="5" t="inlineStr">
        <is>
          <t>The map has S3 drive Original or Amended.</t>
        </is>
      </c>
      <c r="F18" s="5" t="inlineStr">
        <is>
          <t>Kept. The court fills "number of times amended".</t>
        </is>
      </c>
      <c r="G18" s="5" t="inlineStr"/>
    </row>
    <row r="19">
      <c r="A19" s="5" t="inlineStr">
        <is>
          <t>Quirk</t>
        </is>
      </c>
      <c r="B19" s="5" t="inlineStr">
        <is>
          <t>All</t>
        </is>
      </c>
      <c r="C19" s="5" t="inlineStr">
        <is>
          <t>—</t>
        </is>
      </c>
      <c r="D19" s="5" t="inlineStr">
        <is>
          <t>checkbox exports</t>
        </is>
      </c>
      <c r="E19" s="5" t="inlineStr">
        <is>
          <t>Every choice is a separate checkbox with its own "on" value (1, 2, 3, 5, 6, 8, 9, 11, 12, 21, 99, Yes, No…).</t>
        </is>
      </c>
      <c r="F19" s="5" t="inlineStr">
        <is>
          <t>Set the value from the JSON; turn siblings Off.</t>
        </is>
      </c>
      <c r="G19" s="5" t="inlineStr"/>
    </row>
    <row r="20">
      <c r="A20" s="5" t="inlineStr">
        <is>
          <t>Quirk</t>
        </is>
      </c>
      <c r="B20" s="5" t="inlineStr">
        <is>
          <t>DV-108</t>
        </is>
      </c>
      <c r="C20" s="5" t="inlineStr">
        <is>
          <t>8</t>
        </is>
      </c>
      <c r="D20" s="5" t="inlineStr">
        <is>
          <t>DateField1, TextField2</t>
        </is>
      </c>
      <c r="E20" s="5" t="inlineStr">
        <is>
          <t>Names are swapped: DateField1 holds the embassy name; TextField2 the date.</t>
        </is>
      </c>
      <c r="F20" s="5" t="inlineStr">
        <is>
          <t>Handled in the map.</t>
        </is>
      </c>
      <c r="G20" s="5" t="inlineStr"/>
    </row>
    <row r="21">
      <c r="A21" s="5" t="inlineStr">
        <is>
          <t>Quirk</t>
        </is>
      </c>
      <c r="B21" s="5" t="inlineStr">
        <is>
          <t>DV-160</t>
        </is>
      </c>
      <c r="C21" s="5" t="inlineStr">
        <is>
          <t>1–9</t>
        </is>
      </c>
      <c r="D21" s="5" t="inlineStr">
        <is>
          <t>ProtectedFullName_ft[n], CheckBox4[n], DocTitle_ft[n]</t>
        </is>
      </c>
      <c r="E21" s="5" t="inlineStr">
        <is>
          <t>Indexes do not follow the printed order.</t>
        </is>
      </c>
      <c r="F21" s="5" t="inlineStr">
        <is>
          <t>Handled in the map; positions checked on the rendered pages.</t>
        </is>
      </c>
      <c r="G21" s="5" t="inlineStr"/>
    </row>
    <row r="22">
      <c r="A22" s="5" t="inlineStr">
        <is>
          <t>Quirk</t>
        </is>
      </c>
      <c r="B22" s="5" t="inlineStr">
        <is>
          <t>DV-900, DV-110, DV-145, DV-105(A), INT-300</t>
        </is>
      </c>
      <c r="C22" s="5" t="inlineStr">
        <is>
          <t>various</t>
        </is>
      </c>
      <c r="D22" s="5" t="inlineStr">
        <is>
          <t>row/option widgets</t>
        </is>
      </c>
      <c r="E22" s="5" t="inlineStr">
        <is>
          <t>Rows or options are numbered out of order.</t>
        </is>
      </c>
      <c r="F22" s="5" t="inlineStr">
        <is>
          <t>Handled in the map; fill by the JSON, not by index order.</t>
        </is>
      </c>
      <c r="G22" s="5" t="inlineStr"/>
    </row>
    <row r="23">
      <c r="A23" s="5" t="inlineStr">
        <is>
          <t>Quirk</t>
        </is>
      </c>
      <c r="B23" s="5" t="inlineStr">
        <is>
          <t>FL-155</t>
        </is>
      </c>
      <c r="C23" s="5" t="inlineStr">
        <is>
          <t>—</t>
        </is>
      </c>
      <c r="D23" s="5" t="inlineStr">
        <is>
          <t>numeric names ("0.0" …)</t>
        </is>
      </c>
      <c r="E23" s="5" t="inlineStr">
        <is>
          <t>Legacy form: no tooltips, numeric names, three shared-name checkbox groups, one field with no /FT.</t>
        </is>
      </c>
      <c r="F23" s="5" t="inlineStr">
        <is>
          <t>Keyed by widget order in the map; set /FT /Tx on TEXT.0.3.156564.3.0 before filling.</t>
        </is>
      </c>
      <c r="G23" s="5" t="inlineStr"/>
    </row>
    <row r="24">
      <c r="A24" s="5" t="inlineStr">
        <is>
          <t>Quirk</t>
        </is>
      </c>
      <c r="B24" s="5" t="inlineStr">
        <is>
          <t>SER-001</t>
        </is>
      </c>
      <c r="C24" s="5" t="inlineStr">
        <is>
          <t>2b, 2d</t>
        </is>
      </c>
      <c r="D24" s="5" t="inlineStr">
        <is>
          <t>lawyersname\.2b …</t>
        </is>
      </c>
      <c r="E24" s="5" t="inlineStr">
        <is>
          <t>Field names contain a literal backslash-dot.</t>
        </is>
      </c>
      <c r="F24" s="5" t="inlineStr">
        <is>
          <t>Use the names exactly as in the JSON.</t>
        </is>
      </c>
      <c r="G24" s="5" t="inlineStr"/>
    </row>
    <row r="25">
      <c r="A25" s="5" t="inlineStr">
        <is>
          <t>Privacy</t>
        </is>
      </c>
      <c r="B25" s="5" t="inlineStr">
        <is>
          <t>DV-901</t>
        </is>
      </c>
      <c r="C25" s="5" t="inlineStr">
        <is>
          <t>3a–3d</t>
        </is>
      </c>
      <c r="D25" s="5" t="inlineStr">
        <is>
          <t>W5–W8</t>
        </is>
      </c>
      <c r="E25" s="5" t="inlineStr">
        <is>
          <t>DV-901 is confidential and never filed.</t>
        </is>
      </c>
      <c r="F25" s="5" t="inlineStr">
        <is>
          <t>Keep W5–W8 out of every filed bundle.</t>
        </is>
      </c>
      <c r="G25" s="5" t="inlineStr"/>
    </row>
    <row r="26">
      <c r="A26" s="5" t="inlineStr">
        <is>
          <t>Resolved</t>
        </is>
      </c>
      <c r="B26" s="5" t="inlineStr">
        <is>
          <t>—</t>
        </is>
      </c>
      <c r="C26" s="5" t="inlineStr">
        <is>
          <t>—</t>
        </is>
      </c>
      <c r="D26" s="5" t="inlineStr">
        <is>
          <t>DV-120-INFO</t>
        </is>
      </c>
      <c r="E26" s="5" t="inlineStr">
        <is>
          <t>Added in pass 2. Information sheet with no fields, served blank.</t>
        </is>
      </c>
      <c r="F26" s="5" t="inlineStr"/>
      <c r="G26" s="5" t="inlineStr"/>
    </row>
  </sheetData>
  <autoFilter ref="A1:G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2026-10-14T22:53:30Z</dcterms:created>
  <dcterms:modified xmlns:dcterms="http://purl.org/dc/terms/" xmlns:xsi="http://www.w3.org/2001/XMLSchema-instance" xsi:type="dcterms:W3CDTF">2026-10-14T22:53:32Z</dcterms:modified>
</cp:coreProperties>
</file>